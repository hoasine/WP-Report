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 IT\Downloads\"/>
    </mc:Choice>
  </mc:AlternateContent>
  <xr:revisionPtr revIDLastSave="0" documentId="13_ncr:1_{A8738288-C631-4266-9BA0-1AE9C8EB7E6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Aggregated Metadata" sheetId="4" r:id="rId1"/>
    <sheet name="Store KPI Report" sheetId="6" r:id="rId2"/>
    <sheet name="Data" sheetId="5" r:id="rId3"/>
    <sheet name="CaptionData" sheetId="7" r:id="rId4"/>
    <sheet name="TranslationData" sheetId="8" state="hidden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 forceFullCalc="1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A1" i="6"/>
  <c r="A2" i="6"/>
  <c r="A3" i="6"/>
</calcChain>
</file>

<file path=xl/sharedStrings.xml><?xml version="1.0" encoding="utf-8"?>
<sst xmlns="http://schemas.openxmlformats.org/spreadsheetml/2006/main" count="543" uniqueCount="79">
  <si>
    <t>Language</t>
  </si>
  <si>
    <t>Value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</si>
  <si>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</si>
  <si>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</si>
  <si>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</si>
  <si>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</si>
  <si>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</si>
  <si>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</si>
  <si>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</si>
  <si>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</si>
  <si>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</si>
  <si>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</si>
  <si>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</si>
  <si>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</si>
  <si>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</si>
  <si>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</si>
  <si>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</si>
  <si>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</si>
  <si>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</si>
  <si>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</si>
  <si>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</si>
  <si>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</si>
  <si>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</si>
  <si>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</si>
  <si>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</si>
  <si>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</si>
  <si>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</si>
  <si>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/>
  </si>
  <si>
    <t>6dc7cd47-bf68-4031-88d2-04300818fac2</t>
  </si>
  <si>
    <t>default</t>
  </si>
  <si>
    <t>FromDateFilter</t>
  </si>
  <si>
    <t>worldPOS-Report by World POS Sdn. Bhd</t>
  </si>
  <si>
    <t>ToDateFilter</t>
  </si>
  <si>
    <t>World POS Sdn. Bhd</t>
  </si>
  <si>
    <t>Production</t>
  </si>
  <si>
    <t>StoreFilter</t>
  </si>
  <si>
    <t>24.1.0.20</t>
  </si>
  <si>
    <t>HO</t>
  </si>
  <si>
    <t>DivisionFilter</t>
  </si>
  <si>
    <t>{423CCAD4-A92C-F011-B000-00505693A2C3}</t>
  </si>
  <si>
    <t>Store KPI Report</t>
  </si>
  <si>
    <t>SUPER</t>
  </si>
  <si>
    <t>Monthly Business Report Excel</t>
  </si>
  <si>
    <t>AboutText Monthly Business Report Excel</t>
  </si>
  <si>
    <t>USERID</t>
  </si>
  <si>
    <t>COMPANYNAME</t>
  </si>
  <si>
    <t>DatePrint</t>
  </si>
  <si>
    <t>Time</t>
  </si>
  <si>
    <t>Type</t>
  </si>
  <si>
    <t>TypeDetail</t>
  </si>
  <si>
    <t>STT</t>
  </si>
  <si>
    <t>Sum of Value</t>
  </si>
  <si>
    <t>TTL ACTUAL SALES</t>
  </si>
  <si>
    <t>DateFilter</t>
  </si>
  <si>
    <t xml:space="preserve"> </t>
  </si>
  <si>
    <t>August 2025</t>
  </si>
  <si>
    <t>September 2025</t>
  </si>
  <si>
    <t>Caption</t>
  </si>
  <si>
    <t>CaptionKey</t>
  </si>
  <si>
    <t>1. FULL PRICE TY</t>
  </si>
  <si>
    <t>1. VALUE</t>
  </si>
  <si>
    <t>2. QTY</t>
  </si>
  <si>
    <t>3. UAP</t>
  </si>
  <si>
    <t>2. SALE TY</t>
  </si>
  <si>
    <t>3.TRANS</t>
  </si>
  <si>
    <t>4. % to TTL</t>
  </si>
  <si>
    <t>5. COST</t>
  </si>
  <si>
    <t>6. PROFIT</t>
  </si>
  <si>
    <t>7. MARGIN</t>
  </si>
  <si>
    <t>8. TY/LY</t>
  </si>
  <si>
    <t>3. DISCOUNT TY</t>
  </si>
  <si>
    <t>4. STORE KPI</t>
  </si>
  <si>
    <t>1. ADT</t>
  </si>
  <si>
    <t>2. AUP</t>
  </si>
  <si>
    <t>3. UPT</t>
  </si>
  <si>
    <t>5. SALE LY</t>
  </si>
  <si>
    <t>07/11/25 05:12 pm</t>
  </si>
  <si>
    <t>From 01/08/25 To 31/10/25</t>
  </si>
  <si>
    <t>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</si>
</sst>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4"/>
      <color rgb="FFFFC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3" fontId="0" fillId="0" borderId="0" xfId="0" applyNumberFormat="1"/>
    <xf numFmtId="0" fontId="0" fillId="0" borderId="0" xfId="0" pivotButton="1"/>
    <xf numFmtId="0" fontId="3" fillId="3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43" fontId="0" fillId="0" borderId="0" xfId="1" applyFont="1"/>
    <xf numFmtId="49" fontId="0" fillId="0" borderId="0" xfId="1" applyNumberFormat="1" applyFont="1"/>
    <xf numFmtId="49" fontId="1" fillId="0" borderId="0" xfId="0" pivotButton="1" applyNumberFormat="1" applyFont="1" applyAlignment="1">
      <alignment horizontal="center" vertical="center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67">
    <dxf>
      <numFmt numFmtId="165" formatCode="0.0%"/>
    </dxf>
    <dxf>
      <numFmt numFmtId="14" formatCode="0.00%"/>
    </dxf>
    <dxf>
      <numFmt numFmtId="35" formatCode="_(* #,##0.00_);_(* \(#,##0.00\);_(* &quot;-&quot;??_);_(@_)"/>
    </dxf>
    <dxf>
      <numFmt numFmtId="164" formatCode="_(* #,##0.000_);_(* \(#,##0.000\);_(* &quot;-&quot;??_);_(@_)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0" formatCode="@"/>
    </dxf>
    <dxf>
      <numFmt numFmtId="30" formatCode="@"/>
    </dxf>
    <dxf>
      <numFmt numFmtId="30" formatCode="@"/>
    </dxf>
    <dxf>
      <numFmt numFmtId="164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m IT" refreshedDate="45968.717627777776" createdVersion="8" refreshedVersion="8" minRefreshableVersion="3" recordCount="55" xr:uid="{408707D3-83CA-4C79-A00F-A278F6BE7A2D}">
  <cacheSource type="worksheet">
    <worksheetSource name="Data"/>
  </cacheSource>
  <cacheFields count="9">
    <cacheField name="USERID" numFmtId="49">
      <sharedItems/>
    </cacheField>
    <cacheField name="COMPANYNAME" numFmtId="49">
      <sharedItems/>
    </cacheField>
    <cacheField name="DatePrint" numFmtId="49">
      <sharedItems/>
    </cacheField>
    <cacheField name="DateFilter" numFmtId="49">
      <sharedItems/>
    </cacheField>
    <cacheField name="Time" numFmtId="49">
      <sharedItems count="6">
        <s v="August 2025"/>
        <s v="September 2025"/>
        <s v="October 2025"/>
        <s v="01/08/2025..31/08/2025" u="1"/>
        <s v="01/09/2025..30/09/2025" u="1"/>
        <s v="01/10/2025..31/10/2025" u="1"/>
      </sharedItems>
    </cacheField>
    <cacheField name="Type" numFmtId="49">
      <sharedItems count="12">
        <s v="1. FULL PRICE TY"/>
        <s v="2. SALE TY"/>
        <s v="3. DISCOUNT TY"/>
        <s v="4. STORE KPI"/>
        <s v="5. SALE LY"/>
        <s v="FULL PRICE TY" u="1"/>
        <s v="SALE TY" u="1"/>
        <s v="DISCOUNT TY" u="1"/>
        <s v="STORE KPI" u="1"/>
        <s v="SALE LY" u="1"/>
        <s v="PRICE TY" u="1"/>
        <s v="PRICE LY" u="1"/>
      </sharedItems>
    </cacheField>
    <cacheField name="TypeDetail" numFmtId="49">
      <sharedItems count="25">
        <s v="1. VALUE"/>
        <s v="2. QTY"/>
        <s v="3. UAP"/>
        <s v="3.TRANS"/>
        <s v="4. % to TTL"/>
        <s v="5. COST"/>
        <s v="6. PROFIT"/>
        <s v="7. MARGIN"/>
        <s v="8. TY/LY"/>
        <s v="1. ADT"/>
        <s v="2. AUP"/>
        <s v="3. UPT"/>
        <s v="3. QTY" u="1"/>
        <s v="VALUE" u="1"/>
        <s v="QTY" u="1"/>
        <s v="UAP" u="1"/>
        <s v="TRANS" u="1"/>
        <s v="% to TTL" u="1"/>
        <s v="COST" u="1"/>
        <s v="PROFIT" u="1"/>
        <s v="MARGIN" u="1"/>
        <s v="TY/LY" u="1"/>
        <s v="ADT" u="1"/>
        <s v="AUP" u="1"/>
        <s v="UPT" u="1"/>
      </sharedItems>
    </cacheField>
    <cacheField name="Value" numFmtId="3">
      <sharedItems containsSemiMixedTypes="0" containsString="0" containsNumber="1" minValue="0" maxValue="23882051914"/>
    </cacheField>
    <cacheField name="STT" numFmtId="1">
      <sharedItems containsSemiMixedTypes="0" containsString="0" containsNumber="1" containsInteger="1" minValue="1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SUPER"/>
    <s v="HO"/>
    <s v="07/11/25 05:12 pm"/>
    <s v="From 01/08/25 To 31/10/25"/>
    <x v="0"/>
    <x v="0"/>
    <x v="0"/>
    <n v="1315000"/>
    <n v="1"/>
  </r>
  <r>
    <s v="SUPER"/>
    <s v="HO"/>
    <s v="07/11/25 05:12 pm"/>
    <s v="From 01/08/25 To 31/10/25"/>
    <x v="0"/>
    <x v="0"/>
    <x v="1"/>
    <n v="1"/>
    <n v="2"/>
  </r>
  <r>
    <s v="SUPER"/>
    <s v="HO"/>
    <s v="07/11/25 05:12 pm"/>
    <s v="From 01/08/25 To 31/10/25"/>
    <x v="0"/>
    <x v="0"/>
    <x v="2"/>
    <n v="1315000"/>
    <n v="3"/>
  </r>
  <r>
    <s v="SUPER"/>
    <s v="HO"/>
    <s v="07/11/25 05:12 pm"/>
    <s v="From 01/08/25 To 31/10/25"/>
    <x v="0"/>
    <x v="1"/>
    <x v="0"/>
    <n v="21419113919"/>
    <n v="4"/>
  </r>
  <r>
    <s v="SUPER"/>
    <s v="HO"/>
    <s v="07/11/25 05:12 pm"/>
    <s v="From 01/08/25 To 31/10/25"/>
    <x v="0"/>
    <x v="1"/>
    <x v="1"/>
    <n v="9926"/>
    <n v="5"/>
  </r>
  <r>
    <s v="SUPER"/>
    <s v="HO"/>
    <s v="07/11/25 05:12 pm"/>
    <s v="From 01/08/25 To 31/10/25"/>
    <x v="0"/>
    <x v="1"/>
    <x v="3"/>
    <n v="5815"/>
    <n v="6"/>
  </r>
  <r>
    <s v="SUPER"/>
    <s v="HO"/>
    <s v="07/11/25 05:12 pm"/>
    <s v="From 01/08/25 To 31/10/25"/>
    <x v="0"/>
    <x v="1"/>
    <x v="4"/>
    <n v="0.29648077005530515"/>
    <n v="7"/>
  </r>
  <r>
    <s v="SUPER"/>
    <s v="HO"/>
    <s v="07/11/25 05:12 pm"/>
    <s v="From 01/08/25 To 31/10/25"/>
    <x v="0"/>
    <x v="1"/>
    <x v="5"/>
    <n v="14682614527"/>
    <n v="8"/>
  </r>
  <r>
    <s v="SUPER"/>
    <s v="HO"/>
    <s v="07/11/25 05:12 pm"/>
    <s v="From 01/08/25 To 31/10/25"/>
    <x v="0"/>
    <x v="1"/>
    <x v="6"/>
    <n v="6736499392"/>
    <n v="9"/>
  </r>
  <r>
    <s v="SUPER"/>
    <s v="HO"/>
    <s v="07/11/25 05:12 pm"/>
    <s v="From 01/08/25 To 31/10/25"/>
    <x v="0"/>
    <x v="1"/>
    <x v="7"/>
    <n v="31.450878021729615"/>
    <n v="10"/>
  </r>
  <r>
    <s v="SUPER"/>
    <s v="HO"/>
    <s v="07/11/25 05:12 pm"/>
    <s v="From 01/08/25 To 31/10/25"/>
    <x v="0"/>
    <x v="1"/>
    <x v="8"/>
    <n v="0"/>
    <n v="11"/>
  </r>
  <r>
    <s v="SUPER"/>
    <s v="HO"/>
    <s v="07/11/25 05:12 pm"/>
    <s v="From 01/08/25 To 31/10/25"/>
    <x v="0"/>
    <x v="2"/>
    <x v="0"/>
    <n v="411596398"/>
    <n v="12"/>
  </r>
  <r>
    <s v="SUPER"/>
    <s v="HO"/>
    <s v="07/11/25 05:12 pm"/>
    <s v="From 01/08/25 To 31/10/25"/>
    <x v="0"/>
    <x v="2"/>
    <x v="1"/>
    <n v="232"/>
    <n v="13"/>
  </r>
  <r>
    <s v="SUPER"/>
    <s v="HO"/>
    <s v="07/11/25 05:12 pm"/>
    <s v="From 01/08/25 To 31/10/25"/>
    <x v="0"/>
    <x v="2"/>
    <x v="2"/>
    <n v="1"/>
    <n v="14"/>
  </r>
  <r>
    <s v="SUPER"/>
    <s v="HO"/>
    <s v="07/11/25 05:12 pm"/>
    <s v="From 01/08/25 To 31/10/25"/>
    <x v="0"/>
    <x v="3"/>
    <x v="9"/>
    <n v="3683424.577644024"/>
    <n v="15"/>
  </r>
  <r>
    <s v="SUPER"/>
    <s v="HO"/>
    <s v="07/11/25 05:12 pm"/>
    <s v="From 01/08/25 To 31/10/25"/>
    <x v="0"/>
    <x v="3"/>
    <x v="10"/>
    <n v="2157879.7016925248"/>
    <n v="16"/>
  </r>
  <r>
    <s v="SUPER"/>
    <s v="HO"/>
    <s v="07/11/25 05:12 pm"/>
    <s v="From 01/08/25 To 31/10/25"/>
    <x v="0"/>
    <x v="3"/>
    <x v="11"/>
    <n v="1.7069647463456579"/>
    <n v="17"/>
  </r>
  <r>
    <s v="SUPER"/>
    <s v="HO"/>
    <s v="07/11/25 05:12 pm"/>
    <s v="From 01/08/25 To 31/10/25"/>
    <x v="1"/>
    <x v="0"/>
    <x v="0"/>
    <n v="2112800"/>
    <n v="18"/>
  </r>
  <r>
    <s v="SUPER"/>
    <s v="HO"/>
    <s v="07/11/25 05:12 pm"/>
    <s v="From 01/08/25 To 31/10/25"/>
    <x v="1"/>
    <x v="0"/>
    <x v="1"/>
    <n v="2"/>
    <n v="19"/>
  </r>
  <r>
    <s v="SUPER"/>
    <s v="HO"/>
    <s v="07/11/25 05:12 pm"/>
    <s v="From 01/08/25 To 31/10/25"/>
    <x v="1"/>
    <x v="0"/>
    <x v="2"/>
    <n v="1056400"/>
    <n v="20"/>
  </r>
  <r>
    <s v="SUPER"/>
    <s v="HO"/>
    <s v="07/11/25 05:12 pm"/>
    <s v="From 01/08/25 To 31/10/25"/>
    <x v="1"/>
    <x v="1"/>
    <x v="0"/>
    <n v="20613475001"/>
    <n v="21"/>
  </r>
  <r>
    <s v="SUPER"/>
    <s v="HO"/>
    <s v="07/11/25 05:12 pm"/>
    <s v="From 01/08/25 To 31/10/25"/>
    <x v="1"/>
    <x v="1"/>
    <x v="1"/>
    <n v="12204"/>
    <n v="22"/>
  </r>
  <r>
    <s v="SUPER"/>
    <s v="HO"/>
    <s v="07/11/25 05:12 pm"/>
    <s v="From 01/08/25 To 31/10/25"/>
    <x v="1"/>
    <x v="1"/>
    <x v="3"/>
    <n v="5387"/>
    <n v="23"/>
  </r>
  <r>
    <s v="SUPER"/>
    <s v="HO"/>
    <s v="07/11/25 05:12 pm"/>
    <s v="From 01/08/25 To 31/10/25"/>
    <x v="1"/>
    <x v="1"/>
    <x v="4"/>
    <n v="0.28532921412734108"/>
    <n v="24"/>
  </r>
  <r>
    <s v="SUPER"/>
    <s v="HO"/>
    <s v="07/11/25 05:12 pm"/>
    <s v="From 01/08/25 To 31/10/25"/>
    <x v="1"/>
    <x v="1"/>
    <x v="5"/>
    <n v="14192973957.59268"/>
    <n v="25"/>
  </r>
  <r>
    <s v="SUPER"/>
    <s v="HO"/>
    <s v="07/11/25 05:12 pm"/>
    <s v="From 01/08/25 To 31/10/25"/>
    <x v="1"/>
    <x v="1"/>
    <x v="6"/>
    <n v="6420501043.40732"/>
    <n v="26"/>
  </r>
  <r>
    <s v="SUPER"/>
    <s v="HO"/>
    <s v="07/11/25 05:12 pm"/>
    <s v="From 01/08/25 To 31/10/25"/>
    <x v="1"/>
    <x v="1"/>
    <x v="7"/>
    <n v="31.147106652788281"/>
    <n v="27"/>
  </r>
  <r>
    <s v="SUPER"/>
    <s v="HO"/>
    <s v="07/11/25 05:12 pm"/>
    <s v="From 01/08/25 To 31/10/25"/>
    <x v="1"/>
    <x v="1"/>
    <x v="8"/>
    <n v="0"/>
    <n v="28"/>
  </r>
  <r>
    <s v="SUPER"/>
    <s v="HO"/>
    <s v="07/11/25 05:12 pm"/>
    <s v="From 01/08/25 To 31/10/25"/>
    <x v="1"/>
    <x v="2"/>
    <x v="0"/>
    <n v="498586758"/>
    <n v="29"/>
  </r>
  <r>
    <s v="SUPER"/>
    <s v="HO"/>
    <s v="07/11/25 05:12 pm"/>
    <s v="From 01/08/25 To 31/10/25"/>
    <x v="1"/>
    <x v="2"/>
    <x v="1"/>
    <n v="289"/>
    <n v="30"/>
  </r>
  <r>
    <s v="SUPER"/>
    <s v="HO"/>
    <s v="07/11/25 05:12 pm"/>
    <s v="From 01/08/25 To 31/10/25"/>
    <x v="1"/>
    <x v="2"/>
    <x v="2"/>
    <n v="1"/>
    <n v="31"/>
  </r>
  <r>
    <s v="SUPER"/>
    <s v="HO"/>
    <s v="07/11/25 05:12 pm"/>
    <s v="From 01/08/25 To 31/10/25"/>
    <x v="1"/>
    <x v="3"/>
    <x v="9"/>
    <n v="3826522.1832188601"/>
    <n v="32"/>
  </r>
  <r>
    <s v="SUPER"/>
    <s v="HO"/>
    <s v="07/11/25 05:12 pm"/>
    <s v="From 01/08/25 To 31/10/25"/>
    <x v="1"/>
    <x v="3"/>
    <x v="10"/>
    <n v="1689075.3032612258"/>
    <n v="33"/>
  </r>
  <r>
    <s v="SUPER"/>
    <s v="HO"/>
    <s v="07/11/25 05:12 pm"/>
    <s v="From 01/08/25 To 31/10/25"/>
    <x v="1"/>
    <x v="3"/>
    <x v="11"/>
    <n v="2.2654538704288103"/>
    <n v="34"/>
  </r>
  <r>
    <s v="SUPER"/>
    <s v="HO"/>
    <s v="07/11/25 05:12 pm"/>
    <s v="From 01/08/25 To 31/10/25"/>
    <x v="2"/>
    <x v="0"/>
    <x v="0"/>
    <n v="1000800"/>
    <n v="35"/>
  </r>
  <r>
    <s v="SUPER"/>
    <s v="HO"/>
    <s v="07/11/25 05:12 pm"/>
    <s v="From 01/08/25 To 31/10/25"/>
    <x v="2"/>
    <x v="0"/>
    <x v="1"/>
    <n v="1"/>
    <n v="36"/>
  </r>
  <r>
    <s v="SUPER"/>
    <s v="HO"/>
    <s v="07/11/25 05:12 pm"/>
    <s v="From 01/08/25 To 31/10/25"/>
    <x v="2"/>
    <x v="0"/>
    <x v="2"/>
    <n v="1000800"/>
    <n v="37"/>
  </r>
  <r>
    <s v="SUPER"/>
    <s v="HO"/>
    <s v="07/11/25 05:12 pm"/>
    <s v="From 01/08/25 To 31/10/25"/>
    <x v="2"/>
    <x v="1"/>
    <x v="0"/>
    <n v="23882051914"/>
    <n v="38"/>
  </r>
  <r>
    <s v="SUPER"/>
    <s v="HO"/>
    <s v="07/11/25 05:12 pm"/>
    <s v="From 01/08/25 To 31/10/25"/>
    <x v="2"/>
    <x v="1"/>
    <x v="1"/>
    <n v="15657"/>
    <n v="39"/>
  </r>
  <r>
    <s v="SUPER"/>
    <s v="HO"/>
    <s v="07/11/25 05:12 pm"/>
    <s v="From 01/08/25 To 31/10/25"/>
    <x v="2"/>
    <x v="1"/>
    <x v="3"/>
    <n v="6505"/>
    <n v="40"/>
  </r>
  <r>
    <s v="SUPER"/>
    <s v="HO"/>
    <s v="07/11/25 05:12 pm"/>
    <s v="From 01/08/25 To 31/10/25"/>
    <x v="2"/>
    <x v="1"/>
    <x v="4"/>
    <n v="0.33057245826040532"/>
    <n v="41"/>
  </r>
  <r>
    <s v="SUPER"/>
    <s v="HO"/>
    <s v="07/11/25 05:12 pm"/>
    <s v="From 01/08/25 To 31/10/25"/>
    <x v="2"/>
    <x v="1"/>
    <x v="5"/>
    <n v="16516644940.936592"/>
    <n v="42"/>
  </r>
  <r>
    <s v="SUPER"/>
    <s v="HO"/>
    <s v="07/11/25 05:12 pm"/>
    <s v="From 01/08/25 To 31/10/25"/>
    <x v="2"/>
    <x v="1"/>
    <x v="6"/>
    <n v="7365406973.0634079"/>
    <n v="43"/>
  </r>
  <r>
    <s v="SUPER"/>
    <s v="HO"/>
    <s v="07/11/25 05:12 pm"/>
    <s v="From 01/08/25 To 31/10/25"/>
    <x v="2"/>
    <x v="1"/>
    <x v="7"/>
    <n v="30.840762760195243"/>
    <n v="44"/>
  </r>
  <r>
    <s v="SUPER"/>
    <s v="HO"/>
    <s v="07/11/25 05:12 pm"/>
    <s v="From 01/08/25 To 31/10/25"/>
    <x v="2"/>
    <x v="1"/>
    <x v="8"/>
    <n v="0"/>
    <n v="45"/>
  </r>
  <r>
    <s v="SUPER"/>
    <s v="HO"/>
    <s v="07/11/25 05:12 pm"/>
    <s v="From 01/08/25 To 31/10/25"/>
    <x v="2"/>
    <x v="2"/>
    <x v="0"/>
    <n v="663209857"/>
    <n v="46"/>
  </r>
  <r>
    <s v="SUPER"/>
    <s v="HO"/>
    <s v="07/11/25 05:12 pm"/>
    <s v="From 01/08/25 To 31/10/25"/>
    <x v="2"/>
    <x v="2"/>
    <x v="1"/>
    <n v="268"/>
    <n v="47"/>
  </r>
  <r>
    <s v="SUPER"/>
    <s v="HO"/>
    <s v="07/11/25 05:12 pm"/>
    <s v="From 01/08/25 To 31/10/25"/>
    <x v="2"/>
    <x v="2"/>
    <x v="2"/>
    <n v="1"/>
    <n v="48"/>
  </r>
  <r>
    <s v="SUPER"/>
    <s v="HO"/>
    <s v="07/11/25 05:12 pm"/>
    <s v="From 01/08/25 To 31/10/25"/>
    <x v="2"/>
    <x v="3"/>
    <x v="9"/>
    <n v="3671337.7269792468"/>
    <n v="49"/>
  </r>
  <r>
    <s v="SUPER"/>
    <s v="HO"/>
    <s v="07/11/25 05:12 pm"/>
    <s v="From 01/08/25 To 31/10/25"/>
    <x v="2"/>
    <x v="3"/>
    <x v="10"/>
    <n v="1525327.4518745609"/>
    <n v="50"/>
  </r>
  <r>
    <s v="SUPER"/>
    <s v="HO"/>
    <s v="07/11/25 05:12 pm"/>
    <s v="From 01/08/25 To 31/10/25"/>
    <x v="2"/>
    <x v="3"/>
    <x v="11"/>
    <n v="2.4069177555726364"/>
    <n v="51"/>
  </r>
  <r>
    <s v="SUPER"/>
    <s v="HO"/>
    <s v="07/11/25 05:12 pm"/>
    <s v="From 01/08/25 To 31/10/25"/>
    <x v="2"/>
    <x v="4"/>
    <x v="0"/>
    <n v="0"/>
    <n v="52"/>
  </r>
  <r>
    <s v="SUPER"/>
    <s v="HO"/>
    <s v="07/11/25 05:12 pm"/>
    <s v="From 01/08/25 To 31/10/25"/>
    <x v="2"/>
    <x v="4"/>
    <x v="1"/>
    <n v="0"/>
    <n v="53"/>
  </r>
  <r>
    <s v="SUPER"/>
    <s v="HO"/>
    <s v="07/11/25 05:12 pm"/>
    <s v="From 01/08/25 To 31/10/25"/>
    <x v="2"/>
    <x v="4"/>
    <x v="2"/>
    <n v="0"/>
    <n v="54"/>
  </r>
  <r>
    <s v="SUPER"/>
    <s v="HO"/>
    <s v="07/11/25 05:12 pm"/>
    <s v="From 01/08/25 To 31/10/25"/>
    <x v="2"/>
    <x v="4"/>
    <x v="4"/>
    <n v="0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71898-838B-484D-A61C-01EE235B552E}" name="PivotTable1" cacheId="6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:E26" firstHeaderRow="1" firstDataRow="2" firstDataCol="2"/>
  <pivotFields count="9"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Col" compact="0" outline="0" showAll="0" defaultSubtotal="0">
      <items count="6">
        <item m="1" x="3"/>
        <item m="1" x="4"/>
        <item m="1" x="5"/>
        <item x="0"/>
        <item x="1"/>
        <item x="2"/>
      </items>
    </pivotField>
    <pivotField name="TTL ACTUAL SALES" axis="axisRow" compact="0" outline="0" showAll="0" sortType="ascending" defaultSubtotal="0">
      <items count="12">
        <item x="0"/>
        <item x="1"/>
        <item x="2"/>
        <item x="3"/>
        <item x="4"/>
        <item m="1" x="7"/>
        <item m="1" x="5"/>
        <item m="1" x="11"/>
        <item m="1" x="10"/>
        <item m="1" x="9"/>
        <item m="1" x="6"/>
        <item m="1" x="8"/>
      </items>
    </pivotField>
    <pivotField name=" " axis="axisRow" compact="0" outline="0" showAll="0" sortType="ascending" defaultSubtotal="0">
      <items count="25">
        <item m="1" x="17"/>
        <item x="9"/>
        <item x="0"/>
        <item x="10"/>
        <item x="1"/>
        <item m="1" x="12"/>
        <item x="2"/>
        <item x="11"/>
        <item x="3"/>
        <item x="4"/>
        <item x="5"/>
        <item x="6"/>
        <item x="7"/>
        <item x="8"/>
        <item m="1" x="22"/>
        <item m="1" x="23"/>
        <item m="1" x="18"/>
        <item m="1" x="20"/>
        <item m="1" x="19"/>
        <item m="1" x="14"/>
        <item m="1" x="16"/>
        <item m="1" x="21"/>
        <item m="1" x="15"/>
        <item m="1" x="24"/>
        <item m="1" x="13"/>
      </items>
    </pivotField>
    <pivotField dataField="1" compact="0" numFmtId="3" outline="0" showAll="0" defaultSubtotal="0"/>
    <pivotField compact="0" numFmtId="1" outline="0" defaultSubtotal="0"/>
  </pivotFields>
  <rowFields count="2">
    <field x="5"/>
    <field x="6"/>
  </rowFields>
  <rowItems count="21">
    <i>
      <x/>
      <x v="2"/>
    </i>
    <i r="1">
      <x v="4"/>
    </i>
    <i r="1">
      <x v="6"/>
    </i>
    <i>
      <x v="1"/>
      <x v="2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  <x v="2"/>
    </i>
    <i r="1">
      <x v="4"/>
    </i>
    <i r="1">
      <x v="6"/>
    </i>
    <i>
      <x v="3"/>
      <x v="1"/>
    </i>
    <i r="1">
      <x v="3"/>
    </i>
    <i r="1">
      <x v="7"/>
    </i>
    <i>
      <x v="4"/>
      <x v="2"/>
    </i>
    <i r="1">
      <x v="4"/>
    </i>
    <i r="1">
      <x v="6"/>
    </i>
    <i r="1">
      <x v="9"/>
    </i>
  </rowItems>
  <colFields count="1">
    <field x="4"/>
  </colFields>
  <colItems count="3">
    <i>
      <x v="3"/>
    </i>
    <i>
      <x v="4"/>
    </i>
    <i>
      <x v="5"/>
    </i>
  </colItems>
  <dataFields count="1">
    <dataField name="Sum of Value" fld="7" baseField="0" baseItem="0" numFmtId="3"/>
  </dataFields>
  <formats count="22">
    <format dxfId="62">
      <pivotArea dataOnly="0" labelOnly="1" outline="0" fieldPosition="0">
        <references count="1">
          <reference field="5" count="1">
            <x v="11"/>
          </reference>
        </references>
      </pivotArea>
    </format>
    <format dxfId="61">
      <pivotArea field="5" type="button" dataOnly="0" labelOnly="1" outline="0" axis="axisRow" fieldPosition="0"/>
    </format>
    <format dxfId="60">
      <pivotArea field="6" type="button" dataOnly="0" labelOnly="1" outline="0" axis="axisRow" fieldPosition="1"/>
    </format>
    <format dxfId="59">
      <pivotArea dataOnly="0" labelOnly="1" outline="0" fieldPosition="0">
        <references count="1">
          <reference field="4" count="0"/>
        </references>
      </pivotArea>
    </format>
    <format dxfId="58">
      <pivotArea field="6" type="button" dataOnly="0" labelOnly="1" outline="0" axis="axisRow" fieldPosition="1"/>
    </format>
    <format dxfId="57">
      <pivotArea dataOnly="0" labelOnly="1" outline="0" fieldPosition="0">
        <references count="1">
          <reference field="4" count="0"/>
        </references>
      </pivotArea>
    </format>
    <format dxfId="56">
      <pivotArea field="5" type="button" dataOnly="0" labelOnly="1" outline="0" axis="axisRow" fieldPosition="0"/>
    </format>
    <format dxfId="55">
      <pivotArea field="6" type="button" dataOnly="0" labelOnly="1" outline="0" axis="axisRow" fieldPosition="1"/>
    </format>
    <format dxfId="54">
      <pivotArea dataOnly="0" labelOnly="1" outline="0" fieldPosition="0">
        <references count="1">
          <reference field="4" count="0"/>
        </references>
      </pivotArea>
    </format>
    <format dxfId="53">
      <pivotArea field="5" type="button" dataOnly="0" labelOnly="1" outline="0" axis="axisRow" fieldPosition="0"/>
    </format>
    <format dxfId="41">
      <pivotArea outline="0" fieldPosition="0">
        <references count="3">
          <reference field="4" count="1" selected="0">
            <x v="3"/>
          </reference>
          <reference field="5" count="1" selected="0">
            <x v="3"/>
          </reference>
          <reference field="6" count="1" selected="0">
            <x v="7"/>
          </reference>
        </references>
      </pivotArea>
    </format>
    <format dxfId="40">
      <pivotArea outline="0" fieldPosition="0">
        <references count="3">
          <reference field="4" count="1" selected="0">
            <x v="4"/>
          </reference>
          <reference field="5" count="1" selected="0">
            <x v="3"/>
          </reference>
          <reference field="6" count="1" selected="0">
            <x v="7"/>
          </reference>
        </references>
      </pivotArea>
    </format>
    <format dxfId="39">
      <pivotArea outline="0" fieldPosition="0">
        <references count="3">
          <reference field="4" count="1" selected="0">
            <x v="5"/>
          </reference>
          <reference field="5" count="1" selected="0">
            <x v="3"/>
          </reference>
          <reference field="6" count="1" selected="0">
            <x v="7"/>
          </reference>
        </references>
      </pivotArea>
    </format>
    <format dxfId="21">
      <pivotArea dataOnly="0" labelOnly="1" outline="0" fieldPosition="0">
        <references count="1">
          <reference field="6" count="0"/>
        </references>
      </pivotArea>
    </format>
    <format dxfId="17">
      <pivotArea outline="0" fieldPosition="0">
        <references count="2">
          <reference field="5" count="1" selected="0">
            <x v="1"/>
          </reference>
          <reference field="6" count="1" selected="0">
            <x v="13"/>
          </reference>
        </references>
      </pivotArea>
    </format>
    <format dxfId="15">
      <pivotArea dataOnly="0" labelOnly="1" outline="0" fieldPosition="0">
        <references count="1">
          <reference field="5" count="1">
            <x v="1"/>
          </reference>
        </references>
      </pivotArea>
    </format>
    <format dxfId="13">
      <pivotArea dataOnly="0" labelOnly="1" outline="0" fieldPosition="0">
        <references count="2">
          <reference field="5" count="1" selected="0">
            <x v="1"/>
          </reference>
          <reference field="6" count="1">
            <x v="13"/>
          </reference>
        </references>
      </pivotArea>
    </format>
    <format dxfId="11">
      <pivotArea outline="0" fieldPosition="0">
        <references count="2">
          <reference field="5" count="1" selected="0">
            <x v="1"/>
          </reference>
          <reference field="6" count="1" selected="0">
            <x v="12"/>
          </reference>
        </references>
      </pivotArea>
    </format>
    <format dxfId="9">
      <pivotArea outline="0" fieldPosition="0">
        <references count="2">
          <reference field="5" count="1" selected="0">
            <x v="4"/>
          </reference>
          <reference field="6" count="1" selected="0">
            <x v="9"/>
          </reference>
        </references>
      </pivotArea>
    </format>
    <format dxfId="7">
      <pivotArea dataOnly="0" labelOnly="1" outline="0" fieldPosition="0">
        <references count="1">
          <reference field="5" count="1">
            <x v="4"/>
          </reference>
        </references>
      </pivotArea>
    </format>
    <format dxfId="5">
      <pivotArea dataOnly="0" labelOnly="1" outline="0" fieldPosition="0">
        <references count="2">
          <reference field="5" count="1" selected="0">
            <x v="4"/>
          </reference>
          <reference field="6" count="1">
            <x v="9"/>
          </reference>
        </references>
      </pivotArea>
    </format>
    <format dxfId="1">
      <pivotArea outline="0" fieldPosition="0">
        <references count="2">
          <reference field="5" count="1" selected="0">
            <x v="1"/>
          </reference>
          <reference field="6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66">
  <autoFilter ref="A1:B10" xr:uid="{134EB915-8B19-4838-BDED-CECBACACF4F9}"/>
  <tableColumns count="2">
    <tableColumn id="1" xr3:uid="{00000000-0010-0000-0000-000001000000}" name="Report Property"/>
    <tableColumn id="2" xr3:uid="{00000000-0010-0000-0000-000002000000}" name="Report Property 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65">
  <autoFilter ref="D1:E10" xr:uid="{1DFF5EE2-2A86-40DE-9DFD-1E96553323F6}"/>
  <tableColumns count="2">
    <tableColumn id="1" xr3:uid="{00000000-0010-0000-0100-000001000000}" name="Request Property"/>
    <tableColumn id="2" xr3:uid="{00000000-0010-0000-0100-000002000000}" name="Request Property 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5" totalsRowShown="0" headerRowDxfId="64">
  <autoFilter ref="G1:H5" xr:uid="{8D3A40BA-47FA-41F3-82A4-C5BD4909C0B4}"/>
  <tableColumns count="2">
    <tableColumn id="1" xr3:uid="{00000000-0010-0000-0200-000001000000}" name="Request Page Option"/>
    <tableColumn id="2" xr3:uid="{00000000-0010-0000-0200-000002000000}" name="Request Page Option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63">
  <autoFilter ref="J1:K2" xr:uid="{D269260C-C433-478B-84A3-3CB73C333872}"/>
  <tableColumns count="2">
    <tableColumn id="1" xr3:uid="{00000000-0010-0000-0300-000001000000}" name="Filter"/>
    <tableColumn id="2" xr3:uid="{00000000-0010-0000-0300-000002000000}" name="Filter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26F2-778D-4B1C-A5EA-875FED73D050}" name="Data" displayName="Data" ref="A1:I56" totalsRowShown="0" headerRowDxfId="52">
  <autoFilter ref="A1:I56" xr:uid="{00000000-0009-0000-0100-000005000000}"/>
  <tableColumns count="9">
    <tableColumn id="1" xr3:uid="{21867904-D69E-41E3-B5BE-D9B124B8D7E4}" name="USERID"/>
    <tableColumn id="2" xr3:uid="{21867904-D69E-41E3-B5BE-D9B124B8D7E4}" name="COMPANYNAME"/>
    <tableColumn id="3" xr3:uid="{21867904-D69E-41E3-B5BE-D9B124B8D7E4}" name="DatePrint"/>
    <tableColumn id="4" xr3:uid="{21867904-D69E-41E3-B5BE-D9B124B8D7E4}" name="DateFilter"/>
    <tableColumn id="6" xr3:uid="{21867904-D69E-41E3-B5BE-D9B124B8D7E4}" name="Time"/>
    <tableColumn id="7" xr3:uid="{21867904-D69E-41E3-B5BE-D9B124B8D7E4}" name="Type"/>
    <tableColumn id="8" xr3:uid="{21867904-D69E-41E3-B5BE-D9B124B8D7E4}" name="TypeDetail"/>
    <tableColumn id="9" xr3:uid="{21867904-D69E-41E3-B5BE-D9B124B8D7E4}" name="Value"/>
    <tableColumn id="10" xr3:uid="{21867904-D69E-41E3-B5BE-D9B124B8D7E4}" name="ST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CaptionData" displayName="CaptionData" ref="A1:B2" totalsRowShown="0">
  <autoFilter ref="A1:B2" xr:uid="{00000000-0009-0000-0100-000001000000}"/>
  <tableColumns count="2">
    <tableColumn id="1" xr3:uid="{00000000-0010-0000-0500-000001000000}" name="Caption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ranslationData" displayName="TranslationData" ref="A1:C2" totalsRowShown="0">
  <autoFilter ref="A1:C2" xr:uid="{00000000-0009-0000-0100-000002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0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4</v>
      </c>
      <c r="B1" s="1" t="s">
        <v>5</v>
      </c>
      <c r="C1" s="1" t="s">
        <v>27</v>
      </c>
      <c r="D1" s="1" t="s">
        <v>15</v>
      </c>
      <c r="E1" s="1" t="s">
        <v>16</v>
      </c>
      <c r="F1" s="1" t="s">
        <v>27</v>
      </c>
      <c r="G1" s="1" t="s">
        <v>2</v>
      </c>
      <c r="H1" s="1" t="s">
        <v>3</v>
      </c>
      <c r="I1" s="1" t="s">
        <v>27</v>
      </c>
      <c r="J1" s="1" t="s">
        <v>25</v>
      </c>
      <c r="K1" s="1" t="s">
        <v>26</v>
      </c>
    </row>
    <row r="2" spans="1:11" x14ac:dyDescent="0.25">
      <c r="A2" t="s">
        <v>6</v>
      </c>
      <c r="B2" t="s">
        <v>28</v>
      </c>
      <c r="C2" t="s">
        <v>27</v>
      </c>
      <c r="D2" t="s">
        <v>17</v>
      </c>
      <c r="E2" t="s">
        <v>29</v>
      </c>
      <c r="F2" t="s">
        <v>27</v>
      </c>
      <c r="G2" t="s">
        <v>30</v>
      </c>
      <c r="H2" s="3">
        <v>45870</v>
      </c>
      <c r="I2" t="s">
        <v>27</v>
      </c>
      <c r="J2" t="s">
        <v>27</v>
      </c>
      <c r="K2" t="s">
        <v>27</v>
      </c>
    </row>
    <row r="3" spans="1:11" x14ac:dyDescent="0.25">
      <c r="A3" t="s">
        <v>7</v>
      </c>
      <c r="B3" t="s">
        <v>31</v>
      </c>
      <c r="C3" t="s">
        <v>27</v>
      </c>
      <c r="D3" t="s">
        <v>18</v>
      </c>
      <c r="E3" t="s">
        <v>27</v>
      </c>
      <c r="F3" t="s">
        <v>27</v>
      </c>
      <c r="G3" t="s">
        <v>32</v>
      </c>
      <c r="H3" s="3">
        <v>45961</v>
      </c>
      <c r="I3" t="s">
        <v>27</v>
      </c>
      <c r="J3" t="s">
        <v>27</v>
      </c>
      <c r="K3" t="s">
        <v>27</v>
      </c>
    </row>
    <row r="4" spans="1:11" x14ac:dyDescent="0.25">
      <c r="A4" t="s">
        <v>8</v>
      </c>
      <c r="B4" t="s">
        <v>33</v>
      </c>
      <c r="C4" t="s">
        <v>27</v>
      </c>
      <c r="D4" t="s">
        <v>19</v>
      </c>
      <c r="E4" t="s">
        <v>34</v>
      </c>
      <c r="F4" t="s">
        <v>27</v>
      </c>
      <c r="G4" t="s">
        <v>35</v>
      </c>
      <c r="H4" t="s">
        <v>27</v>
      </c>
      <c r="I4" t="s">
        <v>27</v>
      </c>
      <c r="J4" t="s">
        <v>27</v>
      </c>
      <c r="K4" t="s">
        <v>27</v>
      </c>
    </row>
    <row r="5" spans="1:11" x14ac:dyDescent="0.25">
      <c r="A5" t="s">
        <v>9</v>
      </c>
      <c r="B5" t="s">
        <v>36</v>
      </c>
      <c r="C5" t="s">
        <v>27</v>
      </c>
      <c r="D5" t="s">
        <v>20</v>
      </c>
      <c r="E5" t="s">
        <v>37</v>
      </c>
      <c r="F5" t="s">
        <v>27</v>
      </c>
      <c r="G5" t="s">
        <v>38</v>
      </c>
      <c r="H5" t="s">
        <v>27</v>
      </c>
      <c r="I5" t="s">
        <v>27</v>
      </c>
      <c r="J5" t="s">
        <v>27</v>
      </c>
      <c r="K5" t="s">
        <v>27</v>
      </c>
    </row>
    <row r="6" spans="1:11" x14ac:dyDescent="0.25">
      <c r="A6" t="s">
        <v>10</v>
      </c>
      <c r="B6">
        <v>70034</v>
      </c>
      <c r="C6" t="s">
        <v>27</v>
      </c>
      <c r="D6" t="s">
        <v>21</v>
      </c>
      <c r="E6" t="s">
        <v>39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</row>
    <row r="7" spans="1:11" x14ac:dyDescent="0.25">
      <c r="A7" t="s">
        <v>11</v>
      </c>
      <c r="B7" t="s">
        <v>40</v>
      </c>
      <c r="C7" t="s">
        <v>27</v>
      </c>
      <c r="D7" t="s">
        <v>22</v>
      </c>
      <c r="E7" t="s">
        <v>41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</row>
    <row r="8" spans="1:11" x14ac:dyDescent="0.25">
      <c r="A8" t="s">
        <v>12</v>
      </c>
      <c r="B8" t="s">
        <v>42</v>
      </c>
      <c r="C8" t="s">
        <v>27</v>
      </c>
      <c r="D8" t="s">
        <v>23</v>
      </c>
      <c r="E8" s="3">
        <v>45968.42557486111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</row>
    <row r="9" spans="1:11" x14ac:dyDescent="0.25">
      <c r="A9" t="s">
        <v>13</v>
      </c>
      <c r="B9" t="s">
        <v>43</v>
      </c>
      <c r="C9" t="s">
        <v>27</v>
      </c>
      <c r="D9" t="s">
        <v>0</v>
      </c>
      <c r="E9">
        <v>1033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</row>
    <row r="10" spans="1:11" x14ac:dyDescent="0.25">
      <c r="A10" t="s">
        <v>14</v>
      </c>
      <c r="B10" t="s">
        <v>27</v>
      </c>
      <c r="C10" t="s">
        <v>27</v>
      </c>
      <c r="D10" t="s">
        <v>24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4A2C-82D2-4C9E-9E59-EBAAA470B2BE}">
  <dimension ref="A1:AT26"/>
  <sheetViews>
    <sheetView tabSelected="1" workbookViewId="0">
      <selection activeCell="G8" sqref="G8"/>
    </sheetView>
  </sheetViews>
  <sheetFormatPr defaultColWidth="20.28515625" defaultRowHeight="15" x14ac:dyDescent="0.25"/>
  <cols>
    <col min="1" max="1" width="36.42578125" bestFit="1" customWidth="1"/>
    <col min="2" max="2" width="10.42578125" style="4" bestFit="1" customWidth="1"/>
    <col min="3" max="3" width="13.85546875" bestFit="1" customWidth="1"/>
    <col min="4" max="4" width="15.42578125" bestFit="1" customWidth="1"/>
    <col min="5" max="5" width="13.85546875" bestFit="1" customWidth="1"/>
  </cols>
  <sheetData>
    <row r="1" spans="1:46" s="8" customFormat="1" ht="15" customHeight="1" x14ac:dyDescent="0.25">
      <c r="A1" s="9" t="str">
        <f>"User: "&amp;Data!A2</f>
        <v>User: SUPER</v>
      </c>
      <c r="B1" s="12" t="s">
        <v>40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7"/>
      <c r="AM1" s="7"/>
      <c r="AN1" s="7"/>
      <c r="AO1" s="7"/>
      <c r="AP1" s="7"/>
      <c r="AQ1" s="7"/>
      <c r="AR1" s="7"/>
      <c r="AS1" s="7"/>
      <c r="AT1" s="7"/>
    </row>
    <row r="2" spans="1:46" s="8" customFormat="1" ht="15" customHeight="1" x14ac:dyDescent="0.25">
      <c r="A2" s="9" t="str">
        <f>"Printed Date: "&amp;Data[[#This Row],[DatePrint]]</f>
        <v>Printed Date: 07/11/25 05:12 pm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7"/>
      <c r="AM2" s="7"/>
      <c r="AN2" s="7"/>
      <c r="AO2" s="7"/>
      <c r="AP2" s="7"/>
      <c r="AQ2" s="7"/>
      <c r="AR2" s="7"/>
      <c r="AS2" s="7"/>
      <c r="AT2" s="7"/>
    </row>
    <row r="3" spans="1:46" s="8" customFormat="1" ht="15" customHeight="1" x14ac:dyDescent="0.25">
      <c r="A3" s="9" t="str">
        <f>"Target Date: "&amp;Data!D2</f>
        <v>Target Date: From 01/08/25 To 31/10/25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7"/>
      <c r="AM3" s="7"/>
      <c r="AN3" s="7"/>
      <c r="AO3" s="7"/>
      <c r="AP3" s="7"/>
      <c r="AQ3" s="7"/>
      <c r="AR3" s="7"/>
      <c r="AS3" s="7"/>
      <c r="AT3" s="7"/>
    </row>
    <row r="4" spans="1:46" hidden="1" x14ac:dyDescent="0.25">
      <c r="A4" s="6" t="s">
        <v>51</v>
      </c>
      <c r="C4" s="6" t="s">
        <v>47</v>
      </c>
    </row>
    <row r="5" spans="1:46" s="10" customFormat="1" ht="31.5" customHeight="1" x14ac:dyDescent="0.25">
      <c r="A5" s="11" t="s">
        <v>52</v>
      </c>
      <c r="B5" s="15" t="s">
        <v>54</v>
      </c>
      <c r="C5" s="10" t="s">
        <v>55</v>
      </c>
      <c r="D5" s="10" t="s">
        <v>56</v>
      </c>
      <c r="E5" s="10" t="s">
        <v>78</v>
      </c>
      <c r="F5"/>
      <c r="G5"/>
      <c r="H5"/>
    </row>
    <row r="6" spans="1:46" x14ac:dyDescent="0.25">
      <c r="A6" t="s">
        <v>59</v>
      </c>
      <c r="B6" s="4" t="s">
        <v>60</v>
      </c>
      <c r="C6" s="5">
        <v>1315000</v>
      </c>
      <c r="D6" s="5">
        <v>2112800</v>
      </c>
      <c r="E6" s="5">
        <v>1000800</v>
      </c>
    </row>
    <row r="7" spans="1:46" x14ac:dyDescent="0.25">
      <c r="B7" s="4" t="s">
        <v>61</v>
      </c>
      <c r="C7" s="5">
        <v>1</v>
      </c>
      <c r="D7" s="5">
        <v>2</v>
      </c>
      <c r="E7" s="5">
        <v>1</v>
      </c>
    </row>
    <row r="8" spans="1:46" x14ac:dyDescent="0.25">
      <c r="B8" s="4" t="s">
        <v>62</v>
      </c>
      <c r="C8" s="5">
        <v>1315000</v>
      </c>
      <c r="D8" s="5">
        <v>1056400</v>
      </c>
      <c r="E8" s="5">
        <v>1000800</v>
      </c>
    </row>
    <row r="9" spans="1:46" x14ac:dyDescent="0.25">
      <c r="A9" t="s">
        <v>63</v>
      </c>
      <c r="B9" s="4" t="s">
        <v>60</v>
      </c>
      <c r="C9" s="5">
        <v>21419113919</v>
      </c>
      <c r="D9" s="5">
        <v>20613475001</v>
      </c>
      <c r="E9" s="5">
        <v>23882051914</v>
      </c>
    </row>
    <row r="10" spans="1:46" x14ac:dyDescent="0.25">
      <c r="B10" s="4" t="s">
        <v>61</v>
      </c>
      <c r="C10" s="5">
        <v>9926</v>
      </c>
      <c r="D10" s="5">
        <v>12204</v>
      </c>
      <c r="E10" s="5">
        <v>15657</v>
      </c>
    </row>
    <row r="11" spans="1:46" x14ac:dyDescent="0.25">
      <c r="B11" s="4" t="s">
        <v>64</v>
      </c>
      <c r="C11" s="5">
        <v>5815</v>
      </c>
      <c r="D11" s="5">
        <v>5387</v>
      </c>
      <c r="E11" s="5">
        <v>6505</v>
      </c>
    </row>
    <row r="12" spans="1:46" s="16" customFormat="1" x14ac:dyDescent="0.25">
      <c r="B12" s="16" t="s">
        <v>65</v>
      </c>
      <c r="C12" s="16">
        <v>0.29648077005530515</v>
      </c>
      <c r="D12" s="16">
        <v>0.28532921412734108</v>
      </c>
      <c r="E12" s="16">
        <v>0.33057245826040532</v>
      </c>
    </row>
    <row r="13" spans="1:46" x14ac:dyDescent="0.25">
      <c r="B13" s="4" t="s">
        <v>66</v>
      </c>
      <c r="C13" s="5">
        <v>14682614527</v>
      </c>
      <c r="D13" s="5">
        <v>14192973957.59268</v>
      </c>
      <c r="E13" s="5">
        <v>16516644940.936592</v>
      </c>
    </row>
    <row r="14" spans="1:46" x14ac:dyDescent="0.25">
      <c r="B14" s="4" t="s">
        <v>67</v>
      </c>
      <c r="C14" s="5">
        <v>6736499392</v>
      </c>
      <c r="D14" s="5">
        <v>6420501043.40732</v>
      </c>
      <c r="E14" s="5">
        <v>7365406973.0634079</v>
      </c>
    </row>
    <row r="15" spans="1:46" s="16" customFormat="1" x14ac:dyDescent="0.25">
      <c r="B15" s="16" t="s">
        <v>68</v>
      </c>
      <c r="C15" s="16">
        <v>31.450878021729615</v>
      </c>
      <c r="D15" s="16">
        <v>31.147106652788281</v>
      </c>
      <c r="E15" s="16">
        <v>30.840762760195243</v>
      </c>
    </row>
    <row r="16" spans="1:46" s="16" customFormat="1" x14ac:dyDescent="0.25">
      <c r="B16" s="16" t="s">
        <v>69</v>
      </c>
      <c r="C16" s="16">
        <v>0</v>
      </c>
      <c r="D16" s="16">
        <v>0</v>
      </c>
      <c r="E16" s="16">
        <v>0</v>
      </c>
      <c r="G16" s="16">
        <f>(C9-C13)/C9</f>
        <v>0.31450878021729617</v>
      </c>
    </row>
    <row r="17" spans="1:5" x14ac:dyDescent="0.25">
      <c r="A17" t="s">
        <v>70</v>
      </c>
      <c r="B17" s="4" t="s">
        <v>60</v>
      </c>
      <c r="C17" s="5">
        <v>411596398</v>
      </c>
      <c r="D17" s="5">
        <v>498586758</v>
      </c>
      <c r="E17" s="5">
        <v>663209857</v>
      </c>
    </row>
    <row r="18" spans="1:5" x14ac:dyDescent="0.25">
      <c r="B18" s="4" t="s">
        <v>61</v>
      </c>
      <c r="C18" s="5">
        <v>232</v>
      </c>
      <c r="D18" s="5">
        <v>289</v>
      </c>
      <c r="E18" s="5">
        <v>268</v>
      </c>
    </row>
    <row r="19" spans="1:5" s="13" customFormat="1" x14ac:dyDescent="0.25">
      <c r="B19" s="14" t="s">
        <v>62</v>
      </c>
      <c r="C19" s="13">
        <v>1</v>
      </c>
      <c r="D19" s="13">
        <v>1</v>
      </c>
      <c r="E19" s="13">
        <v>1</v>
      </c>
    </row>
    <row r="20" spans="1:5" x14ac:dyDescent="0.25">
      <c r="A20" t="s">
        <v>71</v>
      </c>
      <c r="B20" s="4" t="s">
        <v>72</v>
      </c>
      <c r="C20" s="5">
        <v>3683424.577644024</v>
      </c>
      <c r="D20" s="5">
        <v>3826522.1832188601</v>
      </c>
      <c r="E20" s="5">
        <v>3671337.7269792468</v>
      </c>
    </row>
    <row r="21" spans="1:5" x14ac:dyDescent="0.25">
      <c r="B21" s="4" t="s">
        <v>73</v>
      </c>
      <c r="C21" s="5">
        <v>2157879.7016925248</v>
      </c>
      <c r="D21" s="5">
        <v>1689075.3032612258</v>
      </c>
      <c r="E21" s="5">
        <v>1525327.4518745609</v>
      </c>
    </row>
    <row r="22" spans="1:5" s="13" customFormat="1" x14ac:dyDescent="0.25">
      <c r="B22" s="14" t="s">
        <v>74</v>
      </c>
      <c r="C22" s="13">
        <v>1.7069647463456579</v>
      </c>
      <c r="D22" s="13">
        <v>2.2654538704288103</v>
      </c>
      <c r="E22" s="13">
        <v>2.4069177555726364</v>
      </c>
    </row>
    <row r="23" spans="1:5" x14ac:dyDescent="0.25">
      <c r="A23" t="s">
        <v>75</v>
      </c>
      <c r="B23" s="4" t="s">
        <v>60</v>
      </c>
      <c r="C23" s="5"/>
      <c r="D23" s="5"/>
      <c r="E23" s="5">
        <v>0</v>
      </c>
    </row>
    <row r="24" spans="1:5" x14ac:dyDescent="0.25">
      <c r="B24" s="4" t="s">
        <v>61</v>
      </c>
      <c r="C24" s="5"/>
      <c r="D24" s="5"/>
      <c r="E24" s="5">
        <v>0</v>
      </c>
    </row>
    <row r="25" spans="1:5" x14ac:dyDescent="0.25">
      <c r="B25" s="4" t="s">
        <v>62</v>
      </c>
      <c r="C25" s="5"/>
      <c r="D25" s="5"/>
      <c r="E25" s="5">
        <v>0</v>
      </c>
    </row>
    <row r="26" spans="1:5" s="16" customFormat="1" x14ac:dyDescent="0.25">
      <c r="B26" s="16" t="s">
        <v>65</v>
      </c>
      <c r="E26" s="16">
        <v>0</v>
      </c>
    </row>
  </sheetData>
  <mergeCells count="1">
    <mergeCell ref="B1:A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workbookViewId="0"/>
  </sheetViews>
  <sheetFormatPr defaultRowHeight="15" x14ac:dyDescent="0.25"/>
  <cols>
    <col min="1" max="1" width="9.7109375" bestFit="1" customWidth="1"/>
    <col min="2" max="2" width="18.42578125" bestFit="1" customWidth="1"/>
    <col min="3" max="3" width="11.7109375" bestFit="1" customWidth="1"/>
    <col min="4" max="4" width="15.5703125" bestFit="1" customWidth="1"/>
    <col min="5" max="5" width="22" bestFit="1" customWidth="1"/>
    <col min="6" max="7" width="12.85546875" bestFit="1" customWidth="1"/>
    <col min="8" max="8" width="13.85546875" bestFit="1" customWidth="1"/>
    <col min="9" max="9" width="6.28515625" bestFit="1" customWidth="1"/>
  </cols>
  <sheetData>
    <row r="1" spans="1:9" x14ac:dyDescent="0.25">
      <c r="A1" t="s">
        <v>44</v>
      </c>
      <c r="B1" t="s">
        <v>45</v>
      </c>
      <c r="C1" t="s">
        <v>46</v>
      </c>
      <c r="D1" t="s">
        <v>53</v>
      </c>
      <c r="E1" t="s">
        <v>47</v>
      </c>
      <c r="F1" t="s">
        <v>48</v>
      </c>
      <c r="G1" t="s">
        <v>49</v>
      </c>
      <c r="H1" t="s">
        <v>1</v>
      </c>
      <c r="I1" t="s">
        <v>50</v>
      </c>
    </row>
    <row r="2" spans="1:9" x14ac:dyDescent="0.25">
      <c r="A2" s="4" t="s">
        <v>41</v>
      </c>
      <c r="B2" s="4" t="s">
        <v>37</v>
      </c>
      <c r="C2" s="4" t="s">
        <v>76</v>
      </c>
      <c r="D2" s="4" t="s">
        <v>77</v>
      </c>
      <c r="E2" s="4" t="s">
        <v>55</v>
      </c>
      <c r="F2" s="4" t="s">
        <v>59</v>
      </c>
      <c r="G2" s="4" t="s">
        <v>60</v>
      </c>
      <c r="H2" s="5">
        <v>1315000</v>
      </c>
      <c r="I2" s="2">
        <v>1</v>
      </c>
    </row>
    <row r="3" spans="1:9" x14ac:dyDescent="0.25">
      <c r="A3" s="4" t="s">
        <v>41</v>
      </c>
      <c r="B3" s="4" t="s">
        <v>37</v>
      </c>
      <c r="C3" s="4" t="s">
        <v>76</v>
      </c>
      <c r="D3" s="4" t="s">
        <v>77</v>
      </c>
      <c r="E3" s="4" t="s">
        <v>55</v>
      </c>
      <c r="F3" s="4" t="s">
        <v>59</v>
      </c>
      <c r="G3" s="4" t="s">
        <v>61</v>
      </c>
      <c r="H3" s="5">
        <v>1</v>
      </c>
      <c r="I3" s="2">
        <v>2</v>
      </c>
    </row>
    <row r="4" spans="1:9" x14ac:dyDescent="0.25">
      <c r="A4" s="4" t="s">
        <v>41</v>
      </c>
      <c r="B4" s="4" t="s">
        <v>37</v>
      </c>
      <c r="C4" s="4" t="s">
        <v>76</v>
      </c>
      <c r="D4" s="4" t="s">
        <v>77</v>
      </c>
      <c r="E4" s="4" t="s">
        <v>55</v>
      </c>
      <c r="F4" s="4" t="s">
        <v>59</v>
      </c>
      <c r="G4" s="4" t="s">
        <v>62</v>
      </c>
      <c r="H4" s="5">
        <v>1315000</v>
      </c>
      <c r="I4" s="2">
        <v>3</v>
      </c>
    </row>
    <row r="5" spans="1:9" x14ac:dyDescent="0.25">
      <c r="A5" s="4" t="s">
        <v>41</v>
      </c>
      <c r="B5" s="4" t="s">
        <v>37</v>
      </c>
      <c r="C5" s="4" t="s">
        <v>76</v>
      </c>
      <c r="D5" s="4" t="s">
        <v>77</v>
      </c>
      <c r="E5" s="4" t="s">
        <v>55</v>
      </c>
      <c r="F5" s="4" t="s">
        <v>63</v>
      </c>
      <c r="G5" s="4" t="s">
        <v>60</v>
      </c>
      <c r="H5" s="5">
        <v>21419113919</v>
      </c>
      <c r="I5" s="2">
        <v>4</v>
      </c>
    </row>
    <row r="6" spans="1:9" x14ac:dyDescent="0.25">
      <c r="A6" s="4" t="s">
        <v>41</v>
      </c>
      <c r="B6" s="4" t="s">
        <v>37</v>
      </c>
      <c r="C6" s="4" t="s">
        <v>76</v>
      </c>
      <c r="D6" s="4" t="s">
        <v>77</v>
      </c>
      <c r="E6" s="4" t="s">
        <v>55</v>
      </c>
      <c r="F6" s="4" t="s">
        <v>63</v>
      </c>
      <c r="G6" s="4" t="s">
        <v>61</v>
      </c>
      <c r="H6" s="5">
        <v>9926</v>
      </c>
      <c r="I6" s="2">
        <v>5</v>
      </c>
    </row>
    <row r="7" spans="1:9" x14ac:dyDescent="0.25">
      <c r="A7" s="4" t="s">
        <v>41</v>
      </c>
      <c r="B7" s="4" t="s">
        <v>37</v>
      </c>
      <c r="C7" s="4" t="s">
        <v>76</v>
      </c>
      <c r="D7" s="4" t="s">
        <v>77</v>
      </c>
      <c r="E7" s="4" t="s">
        <v>55</v>
      </c>
      <c r="F7" s="4" t="s">
        <v>63</v>
      </c>
      <c r="G7" s="4" t="s">
        <v>64</v>
      </c>
      <c r="H7" s="5">
        <v>5815</v>
      </c>
      <c r="I7" s="2">
        <v>6</v>
      </c>
    </row>
    <row r="8" spans="1:9" x14ac:dyDescent="0.25">
      <c r="A8" s="4" t="s">
        <v>41</v>
      </c>
      <c r="B8" s="4" t="s">
        <v>37</v>
      </c>
      <c r="C8" s="4" t="s">
        <v>76</v>
      </c>
      <c r="D8" s="4" t="s">
        <v>77</v>
      </c>
      <c r="E8" s="4" t="s">
        <v>55</v>
      </c>
      <c r="F8" s="4" t="s">
        <v>63</v>
      </c>
      <c r="G8" s="4" t="s">
        <v>65</v>
      </c>
      <c r="H8" s="5">
        <v>0.29648077005530515</v>
      </c>
      <c r="I8" s="2">
        <v>7</v>
      </c>
    </row>
    <row r="9" spans="1:9" x14ac:dyDescent="0.25">
      <c r="A9" s="4" t="s">
        <v>41</v>
      </c>
      <c r="B9" s="4" t="s">
        <v>37</v>
      </c>
      <c r="C9" s="4" t="s">
        <v>76</v>
      </c>
      <c r="D9" s="4" t="s">
        <v>77</v>
      </c>
      <c r="E9" s="4" t="s">
        <v>55</v>
      </c>
      <c r="F9" s="4" t="s">
        <v>63</v>
      </c>
      <c r="G9" s="4" t="s">
        <v>66</v>
      </c>
      <c r="H9" s="5">
        <v>14682614527</v>
      </c>
      <c r="I9" s="2">
        <v>8</v>
      </c>
    </row>
    <row r="10" spans="1:9" x14ac:dyDescent="0.25">
      <c r="A10" s="4" t="s">
        <v>41</v>
      </c>
      <c r="B10" s="4" t="s">
        <v>37</v>
      </c>
      <c r="C10" s="4" t="s">
        <v>76</v>
      </c>
      <c r="D10" s="4" t="s">
        <v>77</v>
      </c>
      <c r="E10" s="4" t="s">
        <v>55</v>
      </c>
      <c r="F10" s="4" t="s">
        <v>63</v>
      </c>
      <c r="G10" s="4" t="s">
        <v>67</v>
      </c>
      <c r="H10" s="5">
        <v>6736499392</v>
      </c>
      <c r="I10" s="2">
        <v>9</v>
      </c>
    </row>
    <row r="11" spans="1:9" x14ac:dyDescent="0.25">
      <c r="A11" s="4" t="s">
        <v>41</v>
      </c>
      <c r="B11" s="4" t="s">
        <v>37</v>
      </c>
      <c r="C11" s="4" t="s">
        <v>76</v>
      </c>
      <c r="D11" s="4" t="s">
        <v>77</v>
      </c>
      <c r="E11" s="4" t="s">
        <v>55</v>
      </c>
      <c r="F11" s="4" t="s">
        <v>63</v>
      </c>
      <c r="G11" s="4" t="s">
        <v>68</v>
      </c>
      <c r="H11" s="5">
        <v>31.450878021729615</v>
      </c>
      <c r="I11" s="2">
        <v>10</v>
      </c>
    </row>
    <row r="12" spans="1:9" x14ac:dyDescent="0.25">
      <c r="A12" s="4" t="s">
        <v>41</v>
      </c>
      <c r="B12" s="4" t="s">
        <v>37</v>
      </c>
      <c r="C12" s="4" t="s">
        <v>76</v>
      </c>
      <c r="D12" s="4" t="s">
        <v>77</v>
      </c>
      <c r="E12" s="4" t="s">
        <v>55</v>
      </c>
      <c r="F12" s="4" t="s">
        <v>63</v>
      </c>
      <c r="G12" s="4" t="s">
        <v>69</v>
      </c>
      <c r="H12" s="5">
        <v>0</v>
      </c>
      <c r="I12" s="2">
        <v>11</v>
      </c>
    </row>
    <row r="13" spans="1:9" x14ac:dyDescent="0.25">
      <c r="A13" s="4" t="s">
        <v>41</v>
      </c>
      <c r="B13" s="4" t="s">
        <v>37</v>
      </c>
      <c r="C13" s="4" t="s">
        <v>76</v>
      </c>
      <c r="D13" s="4" t="s">
        <v>77</v>
      </c>
      <c r="E13" s="4" t="s">
        <v>55</v>
      </c>
      <c r="F13" s="4" t="s">
        <v>70</v>
      </c>
      <c r="G13" s="4" t="s">
        <v>60</v>
      </c>
      <c r="H13" s="5">
        <v>411596398</v>
      </c>
      <c r="I13" s="2">
        <v>12</v>
      </c>
    </row>
    <row r="14" spans="1:9" x14ac:dyDescent="0.25">
      <c r="A14" s="4" t="s">
        <v>41</v>
      </c>
      <c r="B14" s="4" t="s">
        <v>37</v>
      </c>
      <c r="C14" s="4" t="s">
        <v>76</v>
      </c>
      <c r="D14" s="4" t="s">
        <v>77</v>
      </c>
      <c r="E14" s="4" t="s">
        <v>55</v>
      </c>
      <c r="F14" s="4" t="s">
        <v>70</v>
      </c>
      <c r="G14" s="4" t="s">
        <v>61</v>
      </c>
      <c r="H14" s="5">
        <v>232</v>
      </c>
      <c r="I14" s="2">
        <v>13</v>
      </c>
    </row>
    <row r="15" spans="1:9" x14ac:dyDescent="0.25">
      <c r="A15" s="4" t="s">
        <v>41</v>
      </c>
      <c r="B15" s="4" t="s">
        <v>37</v>
      </c>
      <c r="C15" s="4" t="s">
        <v>76</v>
      </c>
      <c r="D15" s="4" t="s">
        <v>77</v>
      </c>
      <c r="E15" s="4" t="s">
        <v>55</v>
      </c>
      <c r="F15" s="4" t="s">
        <v>70</v>
      </c>
      <c r="G15" s="4" t="s">
        <v>62</v>
      </c>
      <c r="H15" s="5">
        <v>1</v>
      </c>
      <c r="I15" s="2">
        <v>14</v>
      </c>
    </row>
    <row r="16" spans="1:9" x14ac:dyDescent="0.25">
      <c r="A16" s="4" t="s">
        <v>41</v>
      </c>
      <c r="B16" s="4" t="s">
        <v>37</v>
      </c>
      <c r="C16" s="4" t="s">
        <v>76</v>
      </c>
      <c r="D16" s="4" t="s">
        <v>77</v>
      </c>
      <c r="E16" s="4" t="s">
        <v>55</v>
      </c>
      <c r="F16" s="4" t="s">
        <v>71</v>
      </c>
      <c r="G16" s="4" t="s">
        <v>72</v>
      </c>
      <c r="H16" s="5">
        <v>3683424.577644024</v>
      </c>
      <c r="I16" s="2">
        <v>15</v>
      </c>
    </row>
    <row r="17" spans="1:9" x14ac:dyDescent="0.25">
      <c r="A17" s="4" t="s">
        <v>41</v>
      </c>
      <c r="B17" s="4" t="s">
        <v>37</v>
      </c>
      <c r="C17" s="4" t="s">
        <v>76</v>
      </c>
      <c r="D17" s="4" t="s">
        <v>77</v>
      </c>
      <c r="E17" s="4" t="s">
        <v>55</v>
      </c>
      <c r="F17" s="4" t="s">
        <v>71</v>
      </c>
      <c r="G17" s="4" t="s">
        <v>73</v>
      </c>
      <c r="H17" s="5">
        <v>2157879.7016925248</v>
      </c>
      <c r="I17" s="2">
        <v>16</v>
      </c>
    </row>
    <row r="18" spans="1:9" x14ac:dyDescent="0.25">
      <c r="A18" s="4" t="s">
        <v>41</v>
      </c>
      <c r="B18" s="4" t="s">
        <v>37</v>
      </c>
      <c r="C18" s="4" t="s">
        <v>76</v>
      </c>
      <c r="D18" s="4" t="s">
        <v>77</v>
      </c>
      <c r="E18" s="4" t="s">
        <v>55</v>
      </c>
      <c r="F18" s="4" t="s">
        <v>71</v>
      </c>
      <c r="G18" s="4" t="s">
        <v>74</v>
      </c>
      <c r="H18" s="5">
        <v>1.7069647463456579</v>
      </c>
      <c r="I18" s="2">
        <v>17</v>
      </c>
    </row>
    <row r="19" spans="1:9" x14ac:dyDescent="0.25">
      <c r="A19" s="4" t="s">
        <v>41</v>
      </c>
      <c r="B19" s="4" t="s">
        <v>37</v>
      </c>
      <c r="C19" s="4" t="s">
        <v>76</v>
      </c>
      <c r="D19" s="4" t="s">
        <v>77</v>
      </c>
      <c r="E19" s="4" t="s">
        <v>56</v>
      </c>
      <c r="F19" s="4" t="s">
        <v>59</v>
      </c>
      <c r="G19" s="4" t="s">
        <v>60</v>
      </c>
      <c r="H19" s="5">
        <v>2112800</v>
      </c>
      <c r="I19" s="2">
        <v>18</v>
      </c>
    </row>
    <row r="20" spans="1:9" x14ac:dyDescent="0.25">
      <c r="A20" s="4" t="s">
        <v>41</v>
      </c>
      <c r="B20" s="4" t="s">
        <v>37</v>
      </c>
      <c r="C20" s="4" t="s">
        <v>76</v>
      </c>
      <c r="D20" s="4" t="s">
        <v>77</v>
      </c>
      <c r="E20" s="4" t="s">
        <v>56</v>
      </c>
      <c r="F20" s="4" t="s">
        <v>59</v>
      </c>
      <c r="G20" s="4" t="s">
        <v>61</v>
      </c>
      <c r="H20" s="5">
        <v>2</v>
      </c>
      <c r="I20" s="2">
        <v>19</v>
      </c>
    </row>
    <row r="21" spans="1:9" x14ac:dyDescent="0.25">
      <c r="A21" s="4" t="s">
        <v>41</v>
      </c>
      <c r="B21" s="4" t="s">
        <v>37</v>
      </c>
      <c r="C21" s="4" t="s">
        <v>76</v>
      </c>
      <c r="D21" s="4" t="s">
        <v>77</v>
      </c>
      <c r="E21" s="4" t="s">
        <v>56</v>
      </c>
      <c r="F21" s="4" t="s">
        <v>59</v>
      </c>
      <c r="G21" s="4" t="s">
        <v>62</v>
      </c>
      <c r="H21" s="5">
        <v>1056400</v>
      </c>
      <c r="I21" s="2">
        <v>20</v>
      </c>
    </row>
    <row r="22" spans="1:9" x14ac:dyDescent="0.25">
      <c r="A22" s="4" t="s">
        <v>41</v>
      </c>
      <c r="B22" s="4" t="s">
        <v>37</v>
      </c>
      <c r="C22" s="4" t="s">
        <v>76</v>
      </c>
      <c r="D22" s="4" t="s">
        <v>77</v>
      </c>
      <c r="E22" s="4" t="s">
        <v>56</v>
      </c>
      <c r="F22" s="4" t="s">
        <v>63</v>
      </c>
      <c r="G22" s="4" t="s">
        <v>60</v>
      </c>
      <c r="H22" s="5">
        <v>20613475001</v>
      </c>
      <c r="I22" s="2">
        <v>21</v>
      </c>
    </row>
    <row r="23" spans="1:9" x14ac:dyDescent="0.25">
      <c r="A23" s="4" t="s">
        <v>41</v>
      </c>
      <c r="B23" s="4" t="s">
        <v>37</v>
      </c>
      <c r="C23" s="4" t="s">
        <v>76</v>
      </c>
      <c r="D23" s="4" t="s">
        <v>77</v>
      </c>
      <c r="E23" s="4" t="s">
        <v>56</v>
      </c>
      <c r="F23" s="4" t="s">
        <v>63</v>
      </c>
      <c r="G23" s="4" t="s">
        <v>61</v>
      </c>
      <c r="H23" s="5">
        <v>12204</v>
      </c>
      <c r="I23" s="2">
        <v>22</v>
      </c>
    </row>
    <row r="24" spans="1:9" x14ac:dyDescent="0.25">
      <c r="A24" s="4" t="s">
        <v>41</v>
      </c>
      <c r="B24" s="4" t="s">
        <v>37</v>
      </c>
      <c r="C24" s="4" t="s">
        <v>76</v>
      </c>
      <c r="D24" s="4" t="s">
        <v>77</v>
      </c>
      <c r="E24" s="4" t="s">
        <v>56</v>
      </c>
      <c r="F24" s="4" t="s">
        <v>63</v>
      </c>
      <c r="G24" s="4" t="s">
        <v>64</v>
      </c>
      <c r="H24" s="5">
        <v>5387</v>
      </c>
      <c r="I24" s="2">
        <v>23</v>
      </c>
    </row>
    <row r="25" spans="1:9" x14ac:dyDescent="0.25">
      <c r="A25" s="4" t="s">
        <v>41</v>
      </c>
      <c r="B25" s="4" t="s">
        <v>37</v>
      </c>
      <c r="C25" s="4" t="s">
        <v>76</v>
      </c>
      <c r="D25" s="4" t="s">
        <v>77</v>
      </c>
      <c r="E25" s="4" t="s">
        <v>56</v>
      </c>
      <c r="F25" s="4" t="s">
        <v>63</v>
      </c>
      <c r="G25" s="4" t="s">
        <v>65</v>
      </c>
      <c r="H25" s="5">
        <v>0.28532921412734108</v>
      </c>
      <c r="I25" s="2">
        <v>24</v>
      </c>
    </row>
    <row r="26" spans="1:9" x14ac:dyDescent="0.25">
      <c r="A26" s="4" t="s">
        <v>41</v>
      </c>
      <c r="B26" s="4" t="s">
        <v>37</v>
      </c>
      <c r="C26" s="4" t="s">
        <v>76</v>
      </c>
      <c r="D26" s="4" t="s">
        <v>77</v>
      </c>
      <c r="E26" s="4" t="s">
        <v>56</v>
      </c>
      <c r="F26" s="4" t="s">
        <v>63</v>
      </c>
      <c r="G26" s="4" t="s">
        <v>66</v>
      </c>
      <c r="H26" s="5">
        <v>14192973957.59268</v>
      </c>
      <c r="I26" s="2">
        <v>25</v>
      </c>
    </row>
    <row r="27" spans="1:9" x14ac:dyDescent="0.25">
      <c r="A27" s="4" t="s">
        <v>41</v>
      </c>
      <c r="B27" s="4" t="s">
        <v>37</v>
      </c>
      <c r="C27" s="4" t="s">
        <v>76</v>
      </c>
      <c r="D27" s="4" t="s">
        <v>77</v>
      </c>
      <c r="E27" s="4" t="s">
        <v>56</v>
      </c>
      <c r="F27" s="4" t="s">
        <v>63</v>
      </c>
      <c r="G27" s="4" t="s">
        <v>67</v>
      </c>
      <c r="H27" s="5">
        <v>6420501043.40732</v>
      </c>
      <c r="I27" s="2">
        <v>26</v>
      </c>
    </row>
    <row r="28" spans="1:9" x14ac:dyDescent="0.25">
      <c r="A28" s="4" t="s">
        <v>41</v>
      </c>
      <c r="B28" s="4" t="s">
        <v>37</v>
      </c>
      <c r="C28" s="4" t="s">
        <v>76</v>
      </c>
      <c r="D28" s="4" t="s">
        <v>77</v>
      </c>
      <c r="E28" s="4" t="s">
        <v>56</v>
      </c>
      <c r="F28" s="4" t="s">
        <v>63</v>
      </c>
      <c r="G28" s="4" t="s">
        <v>68</v>
      </c>
      <c r="H28" s="5">
        <v>31.147106652788281</v>
      </c>
      <c r="I28" s="2">
        <v>27</v>
      </c>
    </row>
    <row r="29" spans="1:9" x14ac:dyDescent="0.25">
      <c r="A29" s="4" t="s">
        <v>41</v>
      </c>
      <c r="B29" s="4" t="s">
        <v>37</v>
      </c>
      <c r="C29" s="4" t="s">
        <v>76</v>
      </c>
      <c r="D29" s="4" t="s">
        <v>77</v>
      </c>
      <c r="E29" s="4" t="s">
        <v>56</v>
      </c>
      <c r="F29" s="4" t="s">
        <v>63</v>
      </c>
      <c r="G29" s="4" t="s">
        <v>69</v>
      </c>
      <c r="H29" s="5">
        <v>0</v>
      </c>
      <c r="I29" s="2">
        <v>28</v>
      </c>
    </row>
    <row r="30" spans="1:9" x14ac:dyDescent="0.25">
      <c r="A30" s="4" t="s">
        <v>41</v>
      </c>
      <c r="B30" s="4" t="s">
        <v>37</v>
      </c>
      <c r="C30" s="4" t="s">
        <v>76</v>
      </c>
      <c r="D30" s="4" t="s">
        <v>77</v>
      </c>
      <c r="E30" s="4" t="s">
        <v>56</v>
      </c>
      <c r="F30" s="4" t="s">
        <v>70</v>
      </c>
      <c r="G30" s="4" t="s">
        <v>60</v>
      </c>
      <c r="H30" s="5">
        <v>498586758</v>
      </c>
      <c r="I30" s="2">
        <v>29</v>
      </c>
    </row>
    <row r="31" spans="1:9" x14ac:dyDescent="0.25">
      <c r="A31" s="4" t="s">
        <v>41</v>
      </c>
      <c r="B31" s="4" t="s">
        <v>37</v>
      </c>
      <c r="C31" s="4" t="s">
        <v>76</v>
      </c>
      <c r="D31" s="4" t="s">
        <v>77</v>
      </c>
      <c r="E31" s="4" t="s">
        <v>56</v>
      </c>
      <c r="F31" s="4" t="s">
        <v>70</v>
      </c>
      <c r="G31" s="4" t="s">
        <v>61</v>
      </c>
      <c r="H31" s="5">
        <v>289</v>
      </c>
      <c r="I31" s="2">
        <v>30</v>
      </c>
    </row>
    <row r="32" spans="1:9" x14ac:dyDescent="0.25">
      <c r="A32" s="4" t="s">
        <v>41</v>
      </c>
      <c r="B32" s="4" t="s">
        <v>37</v>
      </c>
      <c r="C32" s="4" t="s">
        <v>76</v>
      </c>
      <c r="D32" s="4" t="s">
        <v>77</v>
      </c>
      <c r="E32" s="4" t="s">
        <v>56</v>
      </c>
      <c r="F32" s="4" t="s">
        <v>70</v>
      </c>
      <c r="G32" s="4" t="s">
        <v>62</v>
      </c>
      <c r="H32" s="5">
        <v>1</v>
      </c>
      <c r="I32" s="2">
        <v>31</v>
      </c>
    </row>
    <row r="33" spans="1:9" x14ac:dyDescent="0.25">
      <c r="A33" s="4" t="s">
        <v>41</v>
      </c>
      <c r="B33" s="4" t="s">
        <v>37</v>
      </c>
      <c r="C33" s="4" t="s">
        <v>76</v>
      </c>
      <c r="D33" s="4" t="s">
        <v>77</v>
      </c>
      <c r="E33" s="4" t="s">
        <v>56</v>
      </c>
      <c r="F33" s="4" t="s">
        <v>71</v>
      </c>
      <c r="G33" s="4" t="s">
        <v>72</v>
      </c>
      <c r="H33" s="5">
        <v>3826522.1832188601</v>
      </c>
      <c r="I33" s="2">
        <v>32</v>
      </c>
    </row>
    <row r="34" spans="1:9" x14ac:dyDescent="0.25">
      <c r="A34" s="4" t="s">
        <v>41</v>
      </c>
      <c r="B34" s="4" t="s">
        <v>37</v>
      </c>
      <c r="C34" s="4" t="s">
        <v>76</v>
      </c>
      <c r="D34" s="4" t="s">
        <v>77</v>
      </c>
      <c r="E34" s="4" t="s">
        <v>56</v>
      </c>
      <c r="F34" s="4" t="s">
        <v>71</v>
      </c>
      <c r="G34" s="4" t="s">
        <v>73</v>
      </c>
      <c r="H34" s="5">
        <v>1689075.3032612258</v>
      </c>
      <c r="I34" s="2">
        <v>33</v>
      </c>
    </row>
    <row r="35" spans="1:9" x14ac:dyDescent="0.25">
      <c r="A35" s="4" t="s">
        <v>41</v>
      </c>
      <c r="B35" s="4" t="s">
        <v>37</v>
      </c>
      <c r="C35" s="4" t="s">
        <v>76</v>
      </c>
      <c r="D35" s="4" t="s">
        <v>77</v>
      </c>
      <c r="E35" s="4" t="s">
        <v>56</v>
      </c>
      <c r="F35" s="4" t="s">
        <v>71</v>
      </c>
      <c r="G35" s="4" t="s">
        <v>74</v>
      </c>
      <c r="H35" s="5">
        <v>2.2654538704288103</v>
      </c>
      <c r="I35" s="2">
        <v>34</v>
      </c>
    </row>
    <row r="36" spans="1:9" x14ac:dyDescent="0.25">
      <c r="A36" s="4" t="s">
        <v>41</v>
      </c>
      <c r="B36" s="4" t="s">
        <v>37</v>
      </c>
      <c r="C36" s="4" t="s">
        <v>76</v>
      </c>
      <c r="D36" s="4" t="s">
        <v>77</v>
      </c>
      <c r="E36" s="4" t="s">
        <v>78</v>
      </c>
      <c r="F36" s="4" t="s">
        <v>59</v>
      </c>
      <c r="G36" s="4" t="s">
        <v>60</v>
      </c>
      <c r="H36" s="5">
        <v>1000800</v>
      </c>
      <c r="I36" s="2">
        <v>35</v>
      </c>
    </row>
    <row r="37" spans="1:9" x14ac:dyDescent="0.25">
      <c r="A37" s="4" t="s">
        <v>41</v>
      </c>
      <c r="B37" s="4" t="s">
        <v>37</v>
      </c>
      <c r="C37" s="4" t="s">
        <v>76</v>
      </c>
      <c r="D37" s="4" t="s">
        <v>77</v>
      </c>
      <c r="E37" s="4" t="s">
        <v>78</v>
      </c>
      <c r="F37" s="4" t="s">
        <v>59</v>
      </c>
      <c r="G37" s="4" t="s">
        <v>61</v>
      </c>
      <c r="H37" s="5">
        <v>1</v>
      </c>
      <c r="I37" s="2">
        <v>36</v>
      </c>
    </row>
    <row r="38" spans="1:9" x14ac:dyDescent="0.25">
      <c r="A38" s="4" t="s">
        <v>41</v>
      </c>
      <c r="B38" s="4" t="s">
        <v>37</v>
      </c>
      <c r="C38" s="4" t="s">
        <v>76</v>
      </c>
      <c r="D38" s="4" t="s">
        <v>77</v>
      </c>
      <c r="E38" s="4" t="s">
        <v>78</v>
      </c>
      <c r="F38" s="4" t="s">
        <v>59</v>
      </c>
      <c r="G38" s="4" t="s">
        <v>62</v>
      </c>
      <c r="H38" s="5">
        <v>1000800</v>
      </c>
      <c r="I38" s="2">
        <v>37</v>
      </c>
    </row>
    <row r="39" spans="1:9" x14ac:dyDescent="0.25">
      <c r="A39" s="4" t="s">
        <v>41</v>
      </c>
      <c r="B39" s="4" t="s">
        <v>37</v>
      </c>
      <c r="C39" s="4" t="s">
        <v>76</v>
      </c>
      <c r="D39" s="4" t="s">
        <v>77</v>
      </c>
      <c r="E39" s="4" t="s">
        <v>78</v>
      </c>
      <c r="F39" s="4" t="s">
        <v>63</v>
      </c>
      <c r="G39" s="4" t="s">
        <v>60</v>
      </c>
      <c r="H39" s="5">
        <v>23882051914</v>
      </c>
      <c r="I39" s="2">
        <v>38</v>
      </c>
    </row>
    <row r="40" spans="1:9" x14ac:dyDescent="0.25">
      <c r="A40" s="4" t="s">
        <v>41</v>
      </c>
      <c r="B40" s="4" t="s">
        <v>37</v>
      </c>
      <c r="C40" s="4" t="s">
        <v>76</v>
      </c>
      <c r="D40" s="4" t="s">
        <v>77</v>
      </c>
      <c r="E40" s="4" t="s">
        <v>78</v>
      </c>
      <c r="F40" s="4" t="s">
        <v>63</v>
      </c>
      <c r="G40" s="4" t="s">
        <v>61</v>
      </c>
      <c r="H40" s="5">
        <v>15657</v>
      </c>
      <c r="I40" s="2">
        <v>39</v>
      </c>
    </row>
    <row r="41" spans="1:9" x14ac:dyDescent="0.25">
      <c r="A41" s="4" t="s">
        <v>41</v>
      </c>
      <c r="B41" s="4" t="s">
        <v>37</v>
      </c>
      <c r="C41" s="4" t="s">
        <v>76</v>
      </c>
      <c r="D41" s="4" t="s">
        <v>77</v>
      </c>
      <c r="E41" s="4" t="s">
        <v>78</v>
      </c>
      <c r="F41" s="4" t="s">
        <v>63</v>
      </c>
      <c r="G41" s="4" t="s">
        <v>64</v>
      </c>
      <c r="H41" s="5">
        <v>6505</v>
      </c>
      <c r="I41" s="2">
        <v>40</v>
      </c>
    </row>
    <row r="42" spans="1:9" x14ac:dyDescent="0.25">
      <c r="A42" s="4" t="s">
        <v>41</v>
      </c>
      <c r="B42" s="4" t="s">
        <v>37</v>
      </c>
      <c r="C42" s="4" t="s">
        <v>76</v>
      </c>
      <c r="D42" s="4" t="s">
        <v>77</v>
      </c>
      <c r="E42" s="4" t="s">
        <v>78</v>
      </c>
      <c r="F42" s="4" t="s">
        <v>63</v>
      </c>
      <c r="G42" s="4" t="s">
        <v>65</v>
      </c>
      <c r="H42" s="5">
        <v>0.33057245826040532</v>
      </c>
      <c r="I42" s="2">
        <v>41</v>
      </c>
    </row>
    <row r="43" spans="1:9" x14ac:dyDescent="0.25">
      <c r="A43" s="4" t="s">
        <v>41</v>
      </c>
      <c r="B43" s="4" t="s">
        <v>37</v>
      </c>
      <c r="C43" s="4" t="s">
        <v>76</v>
      </c>
      <c r="D43" s="4" t="s">
        <v>77</v>
      </c>
      <c r="E43" s="4" t="s">
        <v>78</v>
      </c>
      <c r="F43" s="4" t="s">
        <v>63</v>
      </c>
      <c r="G43" s="4" t="s">
        <v>66</v>
      </c>
      <c r="H43" s="5">
        <v>16516644940.936592</v>
      </c>
      <c r="I43" s="2">
        <v>42</v>
      </c>
    </row>
    <row r="44" spans="1:9" x14ac:dyDescent="0.25">
      <c r="A44" s="4" t="s">
        <v>41</v>
      </c>
      <c r="B44" s="4" t="s">
        <v>37</v>
      </c>
      <c r="C44" s="4" t="s">
        <v>76</v>
      </c>
      <c r="D44" s="4" t="s">
        <v>77</v>
      </c>
      <c r="E44" s="4" t="s">
        <v>78</v>
      </c>
      <c r="F44" s="4" t="s">
        <v>63</v>
      </c>
      <c r="G44" s="4" t="s">
        <v>67</v>
      </c>
      <c r="H44" s="5">
        <v>7365406973.0634079</v>
      </c>
      <c r="I44" s="2">
        <v>43</v>
      </c>
    </row>
    <row r="45" spans="1:9" x14ac:dyDescent="0.25">
      <c r="A45" s="4" t="s">
        <v>41</v>
      </c>
      <c r="B45" s="4" t="s">
        <v>37</v>
      </c>
      <c r="C45" s="4" t="s">
        <v>76</v>
      </c>
      <c r="D45" s="4" t="s">
        <v>77</v>
      </c>
      <c r="E45" s="4" t="s">
        <v>78</v>
      </c>
      <c r="F45" s="4" t="s">
        <v>63</v>
      </c>
      <c r="G45" s="4" t="s">
        <v>68</v>
      </c>
      <c r="H45" s="5">
        <v>30.840762760195243</v>
      </c>
      <c r="I45" s="2">
        <v>44</v>
      </c>
    </row>
    <row r="46" spans="1:9" x14ac:dyDescent="0.25">
      <c r="A46" s="4" t="s">
        <v>41</v>
      </c>
      <c r="B46" s="4" t="s">
        <v>37</v>
      </c>
      <c r="C46" s="4" t="s">
        <v>76</v>
      </c>
      <c r="D46" s="4" t="s">
        <v>77</v>
      </c>
      <c r="E46" s="4" t="s">
        <v>78</v>
      </c>
      <c r="F46" s="4" t="s">
        <v>63</v>
      </c>
      <c r="G46" s="4" t="s">
        <v>69</v>
      </c>
      <c r="H46" s="5">
        <v>0</v>
      </c>
      <c r="I46" s="2">
        <v>45</v>
      </c>
    </row>
    <row r="47" spans="1:9" x14ac:dyDescent="0.25">
      <c r="A47" s="4" t="s">
        <v>41</v>
      </c>
      <c r="B47" s="4" t="s">
        <v>37</v>
      </c>
      <c r="C47" s="4" t="s">
        <v>76</v>
      </c>
      <c r="D47" s="4" t="s">
        <v>77</v>
      </c>
      <c r="E47" s="4" t="s">
        <v>78</v>
      </c>
      <c r="F47" s="4" t="s">
        <v>70</v>
      </c>
      <c r="G47" s="4" t="s">
        <v>60</v>
      </c>
      <c r="H47" s="5">
        <v>663209857</v>
      </c>
      <c r="I47" s="2">
        <v>46</v>
      </c>
    </row>
    <row r="48" spans="1:9" x14ac:dyDescent="0.25">
      <c r="A48" s="4" t="s">
        <v>41</v>
      </c>
      <c r="B48" s="4" t="s">
        <v>37</v>
      </c>
      <c r="C48" s="4" t="s">
        <v>76</v>
      </c>
      <c r="D48" s="4" t="s">
        <v>77</v>
      </c>
      <c r="E48" s="4" t="s">
        <v>78</v>
      </c>
      <c r="F48" s="4" t="s">
        <v>70</v>
      </c>
      <c r="G48" s="4" t="s">
        <v>61</v>
      </c>
      <c r="H48" s="5">
        <v>268</v>
      </c>
      <c r="I48" s="2">
        <v>47</v>
      </c>
    </row>
    <row r="49" spans="1:9" x14ac:dyDescent="0.25">
      <c r="A49" s="4" t="s">
        <v>41</v>
      </c>
      <c r="B49" s="4" t="s">
        <v>37</v>
      </c>
      <c r="C49" s="4" t="s">
        <v>76</v>
      </c>
      <c r="D49" s="4" t="s">
        <v>77</v>
      </c>
      <c r="E49" s="4" t="s">
        <v>78</v>
      </c>
      <c r="F49" s="4" t="s">
        <v>70</v>
      </c>
      <c r="G49" s="4" t="s">
        <v>62</v>
      </c>
      <c r="H49" s="5">
        <v>1</v>
      </c>
      <c r="I49" s="2">
        <v>48</v>
      </c>
    </row>
    <row r="50" spans="1:9" x14ac:dyDescent="0.25">
      <c r="A50" s="4" t="s">
        <v>41</v>
      </c>
      <c r="B50" s="4" t="s">
        <v>37</v>
      </c>
      <c r="C50" s="4" t="s">
        <v>76</v>
      </c>
      <c r="D50" s="4" t="s">
        <v>77</v>
      </c>
      <c r="E50" s="4" t="s">
        <v>78</v>
      </c>
      <c r="F50" s="4" t="s">
        <v>71</v>
      </c>
      <c r="G50" s="4" t="s">
        <v>72</v>
      </c>
      <c r="H50" s="5">
        <v>3671337.7269792468</v>
      </c>
      <c r="I50" s="2">
        <v>49</v>
      </c>
    </row>
    <row r="51" spans="1:9" x14ac:dyDescent="0.25">
      <c r="A51" s="4" t="s">
        <v>41</v>
      </c>
      <c r="B51" s="4" t="s">
        <v>37</v>
      </c>
      <c r="C51" s="4" t="s">
        <v>76</v>
      </c>
      <c r="D51" s="4" t="s">
        <v>77</v>
      </c>
      <c r="E51" s="4" t="s">
        <v>78</v>
      </c>
      <c r="F51" s="4" t="s">
        <v>71</v>
      </c>
      <c r="G51" s="4" t="s">
        <v>73</v>
      </c>
      <c r="H51" s="5">
        <v>1525327.4518745609</v>
      </c>
      <c r="I51" s="2">
        <v>50</v>
      </c>
    </row>
    <row r="52" spans="1:9" x14ac:dyDescent="0.25">
      <c r="A52" s="4" t="s">
        <v>41</v>
      </c>
      <c r="B52" s="4" t="s">
        <v>37</v>
      </c>
      <c r="C52" s="4" t="s">
        <v>76</v>
      </c>
      <c r="D52" s="4" t="s">
        <v>77</v>
      </c>
      <c r="E52" s="4" t="s">
        <v>78</v>
      </c>
      <c r="F52" s="4" t="s">
        <v>71</v>
      </c>
      <c r="G52" s="4" t="s">
        <v>74</v>
      </c>
      <c r="H52" s="5">
        <v>2.4069177555726364</v>
      </c>
      <c r="I52" s="2">
        <v>51</v>
      </c>
    </row>
    <row r="53" spans="1:9" x14ac:dyDescent="0.25">
      <c r="A53" s="4" t="s">
        <v>41</v>
      </c>
      <c r="B53" s="4" t="s">
        <v>37</v>
      </c>
      <c r="C53" s="4" t="s">
        <v>76</v>
      </c>
      <c r="D53" s="4" t="s">
        <v>77</v>
      </c>
      <c r="E53" s="4" t="s">
        <v>78</v>
      </c>
      <c r="F53" s="4" t="s">
        <v>75</v>
      </c>
      <c r="G53" s="4" t="s">
        <v>60</v>
      </c>
      <c r="H53" s="5">
        <v>0</v>
      </c>
      <c r="I53" s="2">
        <v>52</v>
      </c>
    </row>
    <row r="54" spans="1:9" x14ac:dyDescent="0.25">
      <c r="A54" s="4" t="s">
        <v>41</v>
      </c>
      <c r="B54" s="4" t="s">
        <v>37</v>
      </c>
      <c r="C54" s="4" t="s">
        <v>76</v>
      </c>
      <c r="D54" s="4" t="s">
        <v>77</v>
      </c>
      <c r="E54" s="4" t="s">
        <v>78</v>
      </c>
      <c r="F54" s="4" t="s">
        <v>75</v>
      </c>
      <c r="G54" s="4" t="s">
        <v>61</v>
      </c>
      <c r="H54" s="5">
        <v>0</v>
      </c>
      <c r="I54" s="2">
        <v>53</v>
      </c>
    </row>
    <row r="55" spans="1:9" x14ac:dyDescent="0.25">
      <c r="A55" s="4" t="s">
        <v>41</v>
      </c>
      <c r="B55" s="4" t="s">
        <v>37</v>
      </c>
      <c r="C55" s="4" t="s">
        <v>76</v>
      </c>
      <c r="D55" s="4" t="s">
        <v>77</v>
      </c>
      <c r="E55" s="4" t="s">
        <v>78</v>
      </c>
      <c r="F55" s="4" t="s">
        <v>75</v>
      </c>
      <c r="G55" s="4" t="s">
        <v>62</v>
      </c>
      <c r="H55" s="5">
        <v>0</v>
      </c>
      <c r="I55" s="2">
        <v>54</v>
      </c>
    </row>
    <row r="56" spans="1:9" x14ac:dyDescent="0.25">
      <c r="A56" s="4" t="s">
        <v>41</v>
      </c>
      <c r="B56" s="4" t="s">
        <v>37</v>
      </c>
      <c r="C56" s="4" t="s">
        <v>76</v>
      </c>
      <c r="D56" s="4" t="s">
        <v>77</v>
      </c>
      <c r="E56" s="4" t="s">
        <v>78</v>
      </c>
      <c r="F56" s="4" t="s">
        <v>75</v>
      </c>
      <c r="G56" s="4" t="s">
        <v>65</v>
      </c>
      <c r="H56" s="5">
        <v>0</v>
      </c>
      <c r="I56" s="2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57</v>
      </c>
      <c r="B1" s="1" t="s">
        <v>1</v>
      </c>
    </row>
    <row r="2" spans="1:2" x14ac:dyDescent="0.25">
      <c r="A2" t="s">
        <v>27</v>
      </c>
      <c r="B2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58</v>
      </c>
      <c r="B1" s="1" t="s">
        <v>0</v>
      </c>
      <c r="C1" s="1" t="s">
        <v>1</v>
      </c>
    </row>
    <row r="2" spans="1:3" x14ac:dyDescent="0.25">
      <c r="A2" t="s">
        <v>27</v>
      </c>
      <c r="B2" t="s">
        <v>27</v>
      </c>
      <c r="C2" t="s">
        <v>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Aggregated Metadata</vt:lpstr>
      <vt:lpstr>Store KPI Report</vt:lpstr>
      <vt:lpstr>Data</vt:lpstr>
      <vt:lpstr>CaptionData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trần đức hòa</cp:lastModifiedBy>
  <dcterms:modified xsi:type="dcterms:W3CDTF">2025-11-07T10:19:11Z</dcterms:modified>
</cp:coreProperties>
</file>