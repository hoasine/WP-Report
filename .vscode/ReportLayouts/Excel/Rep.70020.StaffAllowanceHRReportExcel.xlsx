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m IT\Downloads\"/>
    </mc:Choice>
  </mc:AlternateContent>
  <xr:revisionPtr revIDLastSave="0" documentId="13_ncr:1_{08025E61-9C14-4D29-83AD-58DBAD7A9781}" xr6:coauthVersionLast="47" xr6:coauthVersionMax="47" xr10:uidLastSave="{00000000-0000-0000-0000-000000000000}"/>
  <x:bookViews>
    <x:workbookView xWindow="28680" yWindow="-90" windowWidth="29040" windowHeight="15840" firstSheet="1" activeTab="1" xr2:uid="{00000000-000D-0000-FFFF-FFFF00000000}"/>
  </x:bookViews>
  <x:sheets>
    <x:sheet name="Aggregated Metadata" sheetId="4" r:id="rId1"/>
    <x:sheet name="Master Report" sheetId="6" r:id="rId2"/>
    <x:sheet name="Data" sheetId="5" r:id="rId3"/>
    <x:sheet name="CaptionData" sheetId="7" r:id="rId4"/>
    <x:sheet name="TranslationData" sheetId="8" state="hidden" r:id="rId5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</x:definedNames>
  <x:calcPr calcId="191029" forceFullCalc="1"/>
  <x:pivotCaches>
    <x:pivotCache cacheId="18" r:id="rId6"/>
  </x:pivotCaches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N2" i="6" l="1"/>
  <c r="N3" i="6"/>
  <c r="N1" i="6"/>
</calcChain>
</file>

<file path=xl/sharedStrings.xml><?xml version="1.0" encoding="utf-8"?>
<sst xmlns="http://schemas.openxmlformats.org/spreadsheetml/2006/main" count="19833" uniqueCount="787">
  <si>
    <t>Language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</si>
  <si>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</si>
  <si>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</si>
  <si>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</si>
  <si>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</si>
  <si>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</si>
  <si>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</si>
  <si>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</si>
  <si>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</si>
  <si>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</si>
  <si>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</si>
  <si>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</si>
  <si>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</si>
  <si>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</si>
  <si>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</si>
  <si>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</si>
  <si>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</si>
  <si>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</si>
  <si>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</si>
  <si>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</si>
  <si>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</si>
  <si>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</si>
  <si>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</si>
  <si>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</si>
  <si>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</si>
  <si>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</si>
  <si>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/>
  </si>
  <si>
    <t>6dc7cd47-bf68-4031-88d2-04300818fac2</t>
  </si>
  <si>
    <t>default</t>
  </si>
  <si>
    <t>worldPOS-Report by World POS Sdn. Bhd</t>
  </si>
  <si>
    <t>&lt;&gt;''</t>
  </si>
  <si>
    <t>World POS Sdn. Bhd</t>
  </si>
  <si>
    <t>Production</t>
  </si>
  <si>
    <t>Staff Allowance HR Report</t>
  </si>
  <si>
    <t>USERID</t>
  </si>
  <si>
    <t>COMPANYNAME</t>
  </si>
  <si>
    <t>PrintDate</t>
  </si>
  <si>
    <t>TargetDate</t>
  </si>
  <si>
    <t>StaffCode</t>
  </si>
  <si>
    <t>Name</t>
  </si>
  <si>
    <t>Position</t>
  </si>
  <si>
    <t>Status</t>
  </si>
  <si>
    <t>YearlyBudget</t>
  </si>
  <si>
    <t>YearlySpending</t>
  </si>
  <si>
    <t>YearlyAllowance</t>
  </si>
  <si>
    <t>MemberCode</t>
  </si>
  <si>
    <t>MemberName</t>
  </si>
  <si>
    <t>POS_Terminal_No_</t>
  </si>
  <si>
    <t>Transaction_No_</t>
  </si>
  <si>
    <t>Brand</t>
  </si>
  <si>
    <t>Cashier</t>
  </si>
  <si>
    <t>101</t>
  </si>
  <si>
    <t>STAFF ALLOWANCE (FOR HR DEPARTMENT)</t>
  </si>
  <si>
    <t>UsedBudget</t>
  </si>
  <si>
    <t>Caption</t>
  </si>
  <si>
    <t>Value</t>
  </si>
  <si>
    <t>CaptionKey</t>
  </si>
  <si>
    <t>01/08/25..31/08/25</t>
  </si>
  <si>
    <t>24.1.0.19</t>
  </si>
  <si>
    <t>HO</t>
  </si>
  <si>
    <t>{423CCAD4-A92C-F011-B000-00505693A2C3}</t>
  </si>
  <si>
    <t>SUPER</t>
  </si>
  <si>
    <t>04/09/2025</t>
  </si>
  <si>
    <t>01/08/2025-31/08/2025</t>
  </si>
  <si>
    <t>16088</t>
  </si>
  <si>
    <t>Trần Hồng Nhi</t>
  </si>
  <si>
    <t>Senior Supervisor</t>
  </si>
  <si>
    <t>8888000539483</t>
  </si>
  <si>
    <t>Tiang Sheau Jiun</t>
  </si>
  <si>
    <t>15044</t>
  </si>
  <si>
    <t>Dương Thị Phương Duy</t>
  </si>
  <si>
    <t>Assistant Department Manager</t>
  </si>
  <si>
    <t>2999999840996</t>
  </si>
  <si>
    <t>DUONG THI PHUONG DUYEN</t>
  </si>
  <si>
    <t>17289</t>
  </si>
  <si>
    <t>Phạm Thủy Cúc</t>
  </si>
  <si>
    <t>Assistant Section Manager</t>
  </si>
  <si>
    <t>2910000009591</t>
  </si>
  <si>
    <t>PHAM THUY CUC</t>
  </si>
  <si>
    <t>24622</t>
  </si>
  <si>
    <t>Hồ Ngọc Thanh Thảo</t>
  </si>
  <si>
    <t>Retail Assistant</t>
  </si>
  <si>
    <t>2910000725934</t>
  </si>
  <si>
    <t>NGO TUAN PHU</t>
  </si>
  <si>
    <t>Food event</t>
  </si>
  <si>
    <t>23573</t>
  </si>
  <si>
    <t>Hồ Kim Anh</t>
  </si>
  <si>
    <t>8888000384618</t>
  </si>
  <si>
    <t>Ho Kim Anh</t>
  </si>
  <si>
    <t>16160</t>
  </si>
  <si>
    <t>Nguyễn Kim Tuyết</t>
  </si>
  <si>
    <t>Senior Chief Cashier</t>
  </si>
  <si>
    <t>17017</t>
  </si>
  <si>
    <t>Wilson Lam</t>
  </si>
  <si>
    <t>Deputy General Director</t>
  </si>
  <si>
    <t>24029</t>
  </si>
  <si>
    <t>HIROSHI KAWASHIMA</t>
  </si>
  <si>
    <t>Department Manager</t>
  </si>
  <si>
    <t>22548</t>
  </si>
  <si>
    <t>Nguyễn Thảo Anh Thy</t>
  </si>
  <si>
    <t>Senior Cashier</t>
  </si>
  <si>
    <t>21025</t>
  </si>
  <si>
    <t>ARAI TOMOYUKI</t>
  </si>
  <si>
    <t>20023</t>
  </si>
  <si>
    <t>KEITH SEAK</t>
  </si>
  <si>
    <t>Division Manager</t>
  </si>
  <si>
    <t>26028</t>
  </si>
  <si>
    <t>Tống Thị Thu Huyền</t>
  </si>
  <si>
    <t>Toshin Staff</t>
  </si>
  <si>
    <t>7777778254562</t>
  </si>
  <si>
    <t>Tong thi thu huyen</t>
  </si>
  <si>
    <t>16173</t>
  </si>
  <si>
    <t>Võ Thị Kim Lan</t>
  </si>
  <si>
    <t>25633</t>
  </si>
  <si>
    <t>Nguyễn Thành Văn</t>
  </si>
  <si>
    <t>Assistant</t>
  </si>
  <si>
    <t>8888000627258</t>
  </si>
  <si>
    <t>Nguyen Thanh Van</t>
  </si>
  <si>
    <t>18331</t>
  </si>
  <si>
    <t>Cao Minh Nguyệt</t>
  </si>
  <si>
    <t>2999999999595</t>
  </si>
  <si>
    <t>CAO MINH NGUYET</t>
  </si>
  <si>
    <t>18322</t>
  </si>
  <si>
    <t>Huỳnh Thị Trúc Lam</t>
  </si>
  <si>
    <t>Senior Retail Assistant</t>
  </si>
  <si>
    <t>14013</t>
  </si>
  <si>
    <t>Lê Hữu Hùng</t>
  </si>
  <si>
    <t>24620</t>
  </si>
  <si>
    <t>Nguyễn Bích Thuận</t>
  </si>
  <si>
    <t>8888000384038</t>
  </si>
  <si>
    <t>Nguyen Bich Thuan</t>
  </si>
  <si>
    <t>18345</t>
  </si>
  <si>
    <t>Mai Quỳnh Như</t>
  </si>
  <si>
    <t>2910000511711</t>
  </si>
  <si>
    <t>MAI QUYNH NHU</t>
  </si>
  <si>
    <t>24609</t>
  </si>
  <si>
    <t>Nguyễn Thị Huyền</t>
  </si>
  <si>
    <t>8888000397908</t>
  </si>
  <si>
    <t>NGUYEN THI HUYEN</t>
  </si>
  <si>
    <t>19395</t>
  </si>
  <si>
    <t>Huỳnh Lâm Bích Quyên</t>
  </si>
  <si>
    <t>Chief Cashier</t>
  </si>
  <si>
    <t>16184</t>
  </si>
  <si>
    <t>Trần Bảo Khuyên</t>
  </si>
  <si>
    <t>Assistant Retail Supervisor</t>
  </si>
  <si>
    <t>2999999837118</t>
  </si>
  <si>
    <t>LE THU THAO</t>
  </si>
  <si>
    <t>102</t>
  </si>
  <si>
    <t>23583</t>
  </si>
  <si>
    <t>Nguyễn Lê Trường Hải</t>
  </si>
  <si>
    <t>8888000265405</t>
  </si>
  <si>
    <t>Nguyen Le Truong Hai</t>
  </si>
  <si>
    <t>23559</t>
  </si>
  <si>
    <t>Lưu Thị Hoàng Oanh</t>
  </si>
  <si>
    <t>103</t>
  </si>
  <si>
    <t>16244</t>
  </si>
  <si>
    <t>Nguyễn Thị Trúc Chi</t>
  </si>
  <si>
    <t>Senior Retail Supervisor</t>
  </si>
  <si>
    <t>2999999851190</t>
  </si>
  <si>
    <t>NGUYEN THI TRUC CHI</t>
  </si>
  <si>
    <t>24591</t>
  </si>
  <si>
    <t>Mai Ngọc Anh</t>
  </si>
  <si>
    <t>8888000317838</t>
  </si>
  <si>
    <t>Mai Ngoc Anh</t>
  </si>
  <si>
    <t>22522</t>
  </si>
  <si>
    <t>Nguyễn Thị Ngọc Thúy</t>
  </si>
  <si>
    <t>7777778229379</t>
  </si>
  <si>
    <t>NGUYEN THI NGOC THUY</t>
  </si>
  <si>
    <t>20462</t>
  </si>
  <si>
    <t>Nguyễn Anh Thư</t>
  </si>
  <si>
    <t>24618</t>
  </si>
  <si>
    <t>Nguyễn Thị Thanh Tiề</t>
  </si>
  <si>
    <t>8888000440468</t>
  </si>
  <si>
    <t>Nguyen Thi Thanh Tien</t>
  </si>
  <si>
    <t>24612</t>
  </si>
  <si>
    <t>Huỳnh Tấn Lập</t>
  </si>
  <si>
    <t>2911000031629</t>
  </si>
  <si>
    <t>HUYNH TAN LAP</t>
  </si>
  <si>
    <t>21478</t>
  </si>
  <si>
    <t>Nguyễn Hoàng My</t>
  </si>
  <si>
    <t>18317</t>
  </si>
  <si>
    <t>Đặng Thị Thu Thúy</t>
  </si>
  <si>
    <t>2999999706919</t>
  </si>
  <si>
    <t>HUYNH LAM BICH QUYEN</t>
  </si>
  <si>
    <t>19394</t>
  </si>
  <si>
    <t>Bùi Hoàng Phương Thả</t>
  </si>
  <si>
    <t>7777777785715</t>
  </si>
  <si>
    <t>NGUYEN THI MINH LOC</t>
  </si>
  <si>
    <t>19442</t>
  </si>
  <si>
    <t>Đặng Thị Ngọc Tuyền</t>
  </si>
  <si>
    <t>Supervisor</t>
  </si>
  <si>
    <t>2910000222877</t>
  </si>
  <si>
    <t>DANG THI NGOC TUYEN</t>
  </si>
  <si>
    <t>16015</t>
  </si>
  <si>
    <t>Mori Yu</t>
  </si>
  <si>
    <t>7777777779998</t>
  </si>
  <si>
    <t>YU MORI</t>
  </si>
  <si>
    <t>18305</t>
  </si>
  <si>
    <t>Nguyễn T Huyền Trang</t>
  </si>
  <si>
    <t>Senior Assistant</t>
  </si>
  <si>
    <t>2999999706933</t>
  </si>
  <si>
    <t>NGUYEN THI HUYEN TRANG</t>
  </si>
  <si>
    <t>19403</t>
  </si>
  <si>
    <t>Hồ Thị Thanh Mỹ</t>
  </si>
  <si>
    <t>24615</t>
  </si>
  <si>
    <t>Nguyễn Thị Phương Lo</t>
  </si>
  <si>
    <t>15049</t>
  </si>
  <si>
    <t>Trần Lê Thị Cẩm Lan</t>
  </si>
  <si>
    <t>2910000056540</t>
  </si>
  <si>
    <t>TRAN LE THI CAM LAN</t>
  </si>
  <si>
    <t>22546</t>
  </si>
  <si>
    <t>Lê Phương Trúc</t>
  </si>
  <si>
    <t>8888000479031</t>
  </si>
  <si>
    <t>NGUYEN TRAN THE VY</t>
  </si>
  <si>
    <t>7777778072050</t>
  </si>
  <si>
    <t>NGUYEN HOANG MY</t>
  </si>
  <si>
    <t>14006</t>
  </si>
  <si>
    <t>Đinh Công Nam Hưng</t>
  </si>
  <si>
    <t>8888000401131</t>
  </si>
  <si>
    <t>Ho Ngoc Thanh Thao</t>
  </si>
  <si>
    <t>16052</t>
  </si>
  <si>
    <t>Vũ Quốc Việt</t>
  </si>
  <si>
    <t>Senior Section Manager</t>
  </si>
  <si>
    <t>2910000064767</t>
  </si>
  <si>
    <t>VU QUOC VIET</t>
  </si>
  <si>
    <t>23564</t>
  </si>
  <si>
    <t>Trương Thị Ngọc Huyề</t>
  </si>
  <si>
    <t>22509</t>
  </si>
  <si>
    <t>Nguyễn Lê Quỳnh Như</t>
  </si>
  <si>
    <t>19439</t>
  </si>
  <si>
    <t>Nguyễn Thị Thùy Dung</t>
  </si>
  <si>
    <t>Retail Manager</t>
  </si>
  <si>
    <t>18361</t>
  </si>
  <si>
    <t>Phan Thị Phương Thảo</t>
  </si>
  <si>
    <t>2910000238786</t>
  </si>
  <si>
    <t>PHAN THI PHUONG THAO</t>
  </si>
  <si>
    <t>8888000641476</t>
  </si>
  <si>
    <t>do khanh doan</t>
  </si>
  <si>
    <t>24030</t>
  </si>
  <si>
    <t>SOOYUN KIM</t>
  </si>
  <si>
    <t>8888000361862</t>
  </si>
  <si>
    <t>kim</t>
  </si>
  <si>
    <t>2910000390415</t>
  </si>
  <si>
    <t>VO THI KIM LAN</t>
  </si>
  <si>
    <t>25031</t>
  </si>
  <si>
    <t>NAGASE CHIKARA</t>
  </si>
  <si>
    <t>Assistant Division Manager</t>
  </si>
  <si>
    <t>8888000623144</t>
  </si>
  <si>
    <t>nagase</t>
  </si>
  <si>
    <t>19441</t>
  </si>
  <si>
    <t>Vũ Hoàng Quốc Hùng</t>
  </si>
  <si>
    <t>21489</t>
  </si>
  <si>
    <t>Phạm Giang Phượng Th</t>
  </si>
  <si>
    <t>7777778079134</t>
  </si>
  <si>
    <t>PHAM GIANG PHUONG THU</t>
  </si>
  <si>
    <t>18333</t>
  </si>
  <si>
    <t>Vũ Thị Việt Ánh</t>
  </si>
  <si>
    <t>8888000274742</t>
  </si>
  <si>
    <t>Nguyen Thi Thuy Huyen</t>
  </si>
  <si>
    <t>16192</t>
  </si>
  <si>
    <t>Phạm Thị Ánh Trang</t>
  </si>
  <si>
    <t>2999999807388</t>
  </si>
  <si>
    <t>PHAM THI ANH TRANG</t>
  </si>
  <si>
    <t>24605</t>
  </si>
  <si>
    <t>Nguyễn Phạm Minh</t>
  </si>
  <si>
    <t>16229</t>
  </si>
  <si>
    <t>Nguyễn Thị Thùy Nhun</t>
  </si>
  <si>
    <t>2910000102810</t>
  </si>
  <si>
    <t>NGUYEN THI THUY NHUNG</t>
  </si>
  <si>
    <t>22517</t>
  </si>
  <si>
    <t>Nguyễn Đức Duy</t>
  </si>
  <si>
    <t>25631</t>
  </si>
  <si>
    <t>Hoàng Cao Thắng</t>
  </si>
  <si>
    <t>2910000569897</t>
  </si>
  <si>
    <t>TRAN BAO KHUYEN</t>
  </si>
  <si>
    <t>23558</t>
  </si>
  <si>
    <t>Đinh Ng Nguyệt Hằng</t>
  </si>
  <si>
    <t>24590</t>
  </si>
  <si>
    <t>Đặng Thị Kim Châu</t>
  </si>
  <si>
    <t>8888000007920</t>
  </si>
  <si>
    <t>Nguyen Nhu</t>
  </si>
  <si>
    <t>2910000488419</t>
  </si>
  <si>
    <t>VU THI VIET ANH</t>
  </si>
  <si>
    <t>104</t>
  </si>
  <si>
    <t>18366</t>
  </si>
  <si>
    <t>Nguyễn Phương Minh</t>
  </si>
  <si>
    <t>Section Manager</t>
  </si>
  <si>
    <t>7777777906813</t>
  </si>
  <si>
    <t>NGUYEN PHUONG MINH</t>
  </si>
  <si>
    <t>19379</t>
  </si>
  <si>
    <t>Nguyễn Thị Như Phươn</t>
  </si>
  <si>
    <t>8888000073796</t>
  </si>
  <si>
    <t>nguyen thao anh thy</t>
  </si>
  <si>
    <t>20459</t>
  </si>
  <si>
    <t>Nguyễn Ngọc Hiếu Nhâ</t>
  </si>
  <si>
    <t>7777777981469</t>
  </si>
  <si>
    <t>NGUYEN NGOC HIEU NHAN</t>
  </si>
  <si>
    <t>24593</t>
  </si>
  <si>
    <t>Lê Mỹ An</t>
  </si>
  <si>
    <t>7777777782202</t>
  </si>
  <si>
    <t>MY AN</t>
  </si>
  <si>
    <t>19393</t>
  </si>
  <si>
    <t>Vũ Hoàng Anh</t>
  </si>
  <si>
    <t>7777777787559</t>
  </si>
  <si>
    <t>VU HOANG ANH</t>
  </si>
  <si>
    <t>19417</t>
  </si>
  <si>
    <t>Văn Nguyễn Liên Nhi</t>
  </si>
  <si>
    <t>22501</t>
  </si>
  <si>
    <t>Nguyễn Hồng Linh</t>
  </si>
  <si>
    <t>Retail Supervisor</t>
  </si>
  <si>
    <t>16101</t>
  </si>
  <si>
    <t>Phạm Phương Thảo</t>
  </si>
  <si>
    <t>7777777926996</t>
  </si>
  <si>
    <t>PHAM PHUONG THAO</t>
  </si>
  <si>
    <t>23579</t>
  </si>
  <si>
    <t>Nguyễn Thành Tâm</t>
  </si>
  <si>
    <t>7777777811674</t>
  </si>
  <si>
    <t>NGUYENTHITHUHUONG</t>
  </si>
  <si>
    <t>23588</t>
  </si>
  <si>
    <t>Trần Thị Trang Phươn</t>
  </si>
  <si>
    <t>7777777871180</t>
  </si>
  <si>
    <t>NGUYEN THI HONG NGOC</t>
  </si>
  <si>
    <t>8888000392019</t>
  </si>
  <si>
    <t>Le Nguyen Huynh Nhu</t>
  </si>
  <si>
    <t>7777777908688</t>
  </si>
  <si>
    <t>TRUONG THANH HIEU</t>
  </si>
  <si>
    <t>25639</t>
  </si>
  <si>
    <t>Phạm Hoàng Phương</t>
  </si>
  <si>
    <t>8888000614210</t>
  </si>
  <si>
    <t>PHAM HOANG PHUONG</t>
  </si>
  <si>
    <t>21480</t>
  </si>
  <si>
    <t>Lục Tuyết Nhi</t>
  </si>
  <si>
    <t>7777778065601</t>
  </si>
  <si>
    <t>LUC TUYET NHI</t>
  </si>
  <si>
    <t>16091</t>
  </si>
  <si>
    <t>Đào Thụy Hồng Phúc</t>
  </si>
  <si>
    <t>2999999812399</t>
  </si>
  <si>
    <t>DAO THUY HONG PHUC</t>
  </si>
  <si>
    <t>16239</t>
  </si>
  <si>
    <t>Nguyễn Thị Thu Hằng</t>
  </si>
  <si>
    <t>2999999958622</t>
  </si>
  <si>
    <t>NGUYEN THI THU HANG</t>
  </si>
  <si>
    <t>26035</t>
  </si>
  <si>
    <t>Trần Lê Vân Anh</t>
  </si>
  <si>
    <t>16094</t>
  </si>
  <si>
    <t>Nguyễn Hữu Trí</t>
  </si>
  <si>
    <t>2910000287531</t>
  </si>
  <si>
    <t>NGUYEN HUU TRI</t>
  </si>
  <si>
    <t>21484</t>
  </si>
  <si>
    <t>Nguyễn Trần Hương Gi</t>
  </si>
  <si>
    <t>22504</t>
  </si>
  <si>
    <t>Huỳnh Thị Ngọc Tuyền</t>
  </si>
  <si>
    <t>8888000265412</t>
  </si>
  <si>
    <t>Nguyen Vo Ngoc Bao Chau</t>
  </si>
  <si>
    <t>14005</t>
  </si>
  <si>
    <t>AKIHIRO SATO</t>
  </si>
  <si>
    <t>Senior Division Manager</t>
  </si>
  <si>
    <t>2999999798389</t>
  </si>
  <si>
    <t>SATO AKIHIRO</t>
  </si>
  <si>
    <t>24614</t>
  </si>
  <si>
    <t>Huỳnh Thị Thúy Vân</t>
  </si>
  <si>
    <t>8888000419358</t>
  </si>
  <si>
    <t>Huynh Thi Thuy Van</t>
  </si>
  <si>
    <t>7777778280042</t>
  </si>
  <si>
    <t>LIEN NHI</t>
  </si>
  <si>
    <t>23584</t>
  </si>
  <si>
    <t>Nguyễn Võ Ngọc Bảo C</t>
  </si>
  <si>
    <t>17016</t>
  </si>
  <si>
    <t>Christina Lum</t>
  </si>
  <si>
    <t>2910000117142</t>
  </si>
  <si>
    <t>LUM PUI FUN CHRISTINA</t>
  </si>
  <si>
    <t>19419</t>
  </si>
  <si>
    <t>Nguyễn Phúc Hậu</t>
  </si>
  <si>
    <t>7777777834000</t>
  </si>
  <si>
    <t>NGUYEN PHUC HAU</t>
  </si>
  <si>
    <t>20464</t>
  </si>
  <si>
    <t>Hớn Vĩ Quốc</t>
  </si>
  <si>
    <t>2910000724050</t>
  </si>
  <si>
    <t>HON VI QUOC</t>
  </si>
  <si>
    <t>23553</t>
  </si>
  <si>
    <t>Nguyễn Thị Xuân Hằng</t>
  </si>
  <si>
    <t>Assistant Supervisor</t>
  </si>
  <si>
    <t>18344</t>
  </si>
  <si>
    <t>Lê Thị Mai Linh</t>
  </si>
  <si>
    <t>2910000319492</t>
  </si>
  <si>
    <t>LE THI MAI LINH</t>
  </si>
  <si>
    <t>24624</t>
  </si>
  <si>
    <t>Nguyễn Hồ Bảo Ngọc</t>
  </si>
  <si>
    <t>22534</t>
  </si>
  <si>
    <t>Trương Thị Nga</t>
  </si>
  <si>
    <t>8888000028925</t>
  </si>
  <si>
    <t>Truong Thi Nga</t>
  </si>
  <si>
    <t>8888000466529</t>
  </si>
  <si>
    <t>Pham Quoc Hung</t>
  </si>
  <si>
    <t>23565</t>
  </si>
  <si>
    <t>Đỗ Nguyễn Phượng Quỳ</t>
  </si>
  <si>
    <t>8888000137221</t>
  </si>
  <si>
    <t>Do Quynh</t>
  </si>
  <si>
    <t>17295</t>
  </si>
  <si>
    <t>Nguyễn Thị Thu Hồng</t>
  </si>
  <si>
    <t>2910000081306</t>
  </si>
  <si>
    <t>NGUYEN THI THU HONG</t>
  </si>
  <si>
    <t>8888000373346</t>
  </si>
  <si>
    <t>Le Thanh</t>
  </si>
  <si>
    <t>8888000455455</t>
  </si>
  <si>
    <t>Nguyen Trung Nguyen</t>
  </si>
  <si>
    <t>2999999811408</t>
  </si>
  <si>
    <t>DANG HOANG PHI</t>
  </si>
  <si>
    <t>16154</t>
  </si>
  <si>
    <t>Lê Thị Bích Quy</t>
  </si>
  <si>
    <t>2999999859196</t>
  </si>
  <si>
    <t>LE THI BICH QUY</t>
  </si>
  <si>
    <t>19399</t>
  </si>
  <si>
    <t>Nguyễn Duy Hà</t>
  </si>
  <si>
    <t>7777777798883</t>
  </si>
  <si>
    <t>NGUYEN DUY HA</t>
  </si>
  <si>
    <t>105</t>
  </si>
  <si>
    <t>15037</t>
  </si>
  <si>
    <t>Đinh Ngọc Phương Kha</t>
  </si>
  <si>
    <t>Senior Department Manager</t>
  </si>
  <si>
    <t>2999999833585</t>
  </si>
  <si>
    <t>DINH NGOC PHUONG KHANH</t>
  </si>
  <si>
    <t>20468</t>
  </si>
  <si>
    <t>Đỗ Bích Phượng</t>
  </si>
  <si>
    <t>18337</t>
  </si>
  <si>
    <t>Nguyễn Thùy Ngọc Như</t>
  </si>
  <si>
    <t>16193</t>
  </si>
  <si>
    <t>Huỳnh Cơ Thúy</t>
  </si>
  <si>
    <t>2999999842679</t>
  </si>
  <si>
    <t>HUYNH CO THUY</t>
  </si>
  <si>
    <t>18339</t>
  </si>
  <si>
    <t>Nguyễn Hoàng Thủy Ti</t>
  </si>
  <si>
    <t>107</t>
  </si>
  <si>
    <t>8888000479666</t>
  </si>
  <si>
    <t>Vu To Gia Bao</t>
  </si>
  <si>
    <t>7777777866452</t>
  </si>
  <si>
    <t>NGUYEN THI THUY DUNG</t>
  </si>
  <si>
    <t>24613</t>
  </si>
  <si>
    <t>Trần Đặng Quế Hương</t>
  </si>
  <si>
    <t>2999999986533</t>
  </si>
  <si>
    <t>NGUYEN PHUONG NGAN</t>
  </si>
  <si>
    <t>21479</t>
  </si>
  <si>
    <t>Nguyễn Hoàng Nhung</t>
  </si>
  <si>
    <t>19420</t>
  </si>
  <si>
    <t>Nguyễn Quốc Khánh</t>
  </si>
  <si>
    <t>8888000434382</t>
  </si>
  <si>
    <t>NGUYEN HONG THUYEN</t>
  </si>
  <si>
    <t>14019</t>
  </si>
  <si>
    <t>Nguyễn Chánh</t>
  </si>
  <si>
    <t>2900000000018</t>
  </si>
  <si>
    <t>NGUYEN CHANH</t>
  </si>
  <si>
    <t>7777777959970</t>
  </si>
  <si>
    <t>NGUYEN THI NHU PHUONG</t>
  </si>
  <si>
    <t>2999999809146</t>
  </si>
  <si>
    <t>DANH THANH TOAN</t>
  </si>
  <si>
    <t>24627</t>
  </si>
  <si>
    <t>Nguyễn Trần Tường Vy</t>
  </si>
  <si>
    <t>8888000501466</t>
  </si>
  <si>
    <t>Silvianguyen</t>
  </si>
  <si>
    <t>108</t>
  </si>
  <si>
    <t>16165</t>
  </si>
  <si>
    <t>Huỳnh Thị Mộng Tuyền</t>
  </si>
  <si>
    <t>2999999997416</t>
  </si>
  <si>
    <t>HUYNH THI MONG TUYEN</t>
  </si>
  <si>
    <t>16202</t>
  </si>
  <si>
    <t>Lê Thị Hồng Hạnh</t>
  </si>
  <si>
    <t>2910000035071</t>
  </si>
  <si>
    <t>le thi hong hanh</t>
  </si>
  <si>
    <t>15025</t>
  </si>
  <si>
    <t>Phạm Vũ Anh</t>
  </si>
  <si>
    <t>2910000013543</t>
  </si>
  <si>
    <t>Pham Vu Anh</t>
  </si>
  <si>
    <t>2999999807951</t>
  </si>
  <si>
    <t>NGUYEN NGOC HOAI DIEN</t>
  </si>
  <si>
    <t>19391</t>
  </si>
  <si>
    <t>Trần Thị Diễm Trang</t>
  </si>
  <si>
    <t>2910000448277</t>
  </si>
  <si>
    <t>TRAN THI DIEM TRANG</t>
  </si>
  <si>
    <t>18343</t>
  </si>
  <si>
    <t>Nguyễn Phương Ngân</t>
  </si>
  <si>
    <t>7777777780086</t>
  </si>
  <si>
    <t>THOATHIEN</t>
  </si>
  <si>
    <t>14020</t>
  </si>
  <si>
    <t>Võ Thị Trung Hậu</t>
  </si>
  <si>
    <t>20447</t>
  </si>
  <si>
    <t>Trần Công Minh</t>
  </si>
  <si>
    <t>8888000399285</t>
  </si>
  <si>
    <t>Huynh Vinh Phuc</t>
  </si>
  <si>
    <t>8888000141570</t>
  </si>
  <si>
    <t>Huyen Truong</t>
  </si>
  <si>
    <t>16133</t>
  </si>
  <si>
    <t>LT PHUONGNGOC</t>
  </si>
  <si>
    <t>1000010101020099</t>
  </si>
  <si>
    <t>Temp Member</t>
  </si>
  <si>
    <t>24626</t>
  </si>
  <si>
    <t>Huỳnh Thị Mỹ Hương</t>
  </si>
  <si>
    <t>2911000021583</t>
  </si>
  <si>
    <t>NGUYEN THI HONG HOA</t>
  </si>
  <si>
    <t>22507</t>
  </si>
  <si>
    <t>Nguyễn Duy Tân</t>
  </si>
  <si>
    <t>7777778168685</t>
  </si>
  <si>
    <t>NGUYEN DUY TAN</t>
  </si>
  <si>
    <t>22537</t>
  </si>
  <si>
    <t>Nguyễn Thị Huỳnh Như</t>
  </si>
  <si>
    <t>26002</t>
  </si>
  <si>
    <t>Nguyễn Trần Thúy Đoa</t>
  </si>
  <si>
    <t>2999999843195</t>
  </si>
  <si>
    <t>NGUYEN TRAN THUY DOAN</t>
  </si>
  <si>
    <t>16134</t>
  </si>
  <si>
    <t>Nguyễn Huyền Trang</t>
  </si>
  <si>
    <t>25634</t>
  </si>
  <si>
    <t>Nguyễn Thành Phát</t>
  </si>
  <si>
    <t>8888000631378</t>
  </si>
  <si>
    <t>Nguyen Thanh Phat</t>
  </si>
  <si>
    <t>19383</t>
  </si>
  <si>
    <t>Vũ Nguyễn Hà Anh</t>
  </si>
  <si>
    <t>7777777779912</t>
  </si>
  <si>
    <t>CHUC KHANH</t>
  </si>
  <si>
    <t>8888000670858</t>
  </si>
  <si>
    <t>Nguyen Thien Tri</t>
  </si>
  <si>
    <t>24617</t>
  </si>
  <si>
    <t>Huỳnh Thúy Phụng</t>
  </si>
  <si>
    <t>26032</t>
  </si>
  <si>
    <t>Võ Thành Trung</t>
  </si>
  <si>
    <t>8888000056355</t>
  </si>
  <si>
    <t>Vo Thanh Trung</t>
  </si>
  <si>
    <t>24600</t>
  </si>
  <si>
    <t>Phan Nguyên Phương</t>
  </si>
  <si>
    <t>23557</t>
  </si>
  <si>
    <t>Mã Lê Thảo An</t>
  </si>
  <si>
    <t>2910000228084</t>
  </si>
  <si>
    <t>MA LE THAO AN</t>
  </si>
  <si>
    <t>109</t>
  </si>
  <si>
    <t>16097</t>
  </si>
  <si>
    <t>Nguyễn Minh Nhựt</t>
  </si>
  <si>
    <t>8888000114208</t>
  </si>
  <si>
    <t>Dinh Nguyen Nguyet Hang</t>
  </si>
  <si>
    <t>20446</t>
  </si>
  <si>
    <t>Nguyễn Thị Thanh Thú</t>
  </si>
  <si>
    <t>7777777878806</t>
  </si>
  <si>
    <t>NGUYEN THI THANH THUY</t>
  </si>
  <si>
    <t>7777778151076</t>
  </si>
  <si>
    <t>NGUYEN HONG LINH</t>
  </si>
  <si>
    <t>2910000441575</t>
  </si>
  <si>
    <t>NGUYEN THUY NGOC NHU</t>
  </si>
  <si>
    <t>8888000223160</t>
  </si>
  <si>
    <t>Luu Thi Hoang Oanh</t>
  </si>
  <si>
    <t>22519</t>
  </si>
  <si>
    <t>Trần Ngọc Hương Nhi</t>
  </si>
  <si>
    <t>22540</t>
  </si>
  <si>
    <t>Hồ Thế Bảo</t>
  </si>
  <si>
    <t>8888000399445</t>
  </si>
  <si>
    <t>Nguyen Minh Nhut</t>
  </si>
  <si>
    <t>16059</t>
  </si>
  <si>
    <t>Lê Ngọc Hoàng Yến</t>
  </si>
  <si>
    <t>2999999814102</t>
  </si>
  <si>
    <t>LE NGOC HOANG YEN</t>
  </si>
  <si>
    <t>16115</t>
  </si>
  <si>
    <t>Đặng Thị Trà Mi</t>
  </si>
  <si>
    <t>2900000000049</t>
  </si>
  <si>
    <t>VO THI TRUNG HAU</t>
  </si>
  <si>
    <t>18347</t>
  </si>
  <si>
    <t>Huỳnh Thị Ngọc Huyền</t>
  </si>
  <si>
    <t>2910000496308</t>
  </si>
  <si>
    <t>HUYNH THI NGOC HUYEN</t>
  </si>
  <si>
    <t>110</t>
  </si>
  <si>
    <t>2999999706988</t>
  </si>
  <si>
    <t>BUI HOANG PHUONG THAO</t>
  </si>
  <si>
    <t>20458</t>
  </si>
  <si>
    <t>La Thành Thuận</t>
  </si>
  <si>
    <t>2999999854801</t>
  </si>
  <si>
    <t>LE TRAN PHUONG NGOC</t>
  </si>
  <si>
    <t>2910000088497</t>
  </si>
  <si>
    <t>NGUYEN QUOC KHANH</t>
  </si>
  <si>
    <t>16127</t>
  </si>
  <si>
    <t>Trần Thị Thấm</t>
  </si>
  <si>
    <t>8888000516071</t>
  </si>
  <si>
    <t>Nguyen Ai Sang</t>
  </si>
  <si>
    <t>26018</t>
  </si>
  <si>
    <t>Vũ Thu Hiền</t>
  </si>
  <si>
    <t>2910000662925</t>
  </si>
  <si>
    <t>VU THU HIEN</t>
  </si>
  <si>
    <t>2999999847919</t>
  </si>
  <si>
    <t>PHAM ANH DUY</t>
  </si>
  <si>
    <t>111</t>
  </si>
  <si>
    <t>24596</t>
  </si>
  <si>
    <t>Mã Thái Sơn</t>
  </si>
  <si>
    <t>201</t>
  </si>
  <si>
    <t>8888000443667</t>
  </si>
  <si>
    <t>Phan Nguyen Phuong</t>
  </si>
  <si>
    <t>8888000220022</t>
  </si>
  <si>
    <t>Pham Ngan</t>
  </si>
  <si>
    <t>7777777903836</t>
  </si>
  <si>
    <t>LA THANH THUAN</t>
  </si>
  <si>
    <t>2910000695107</t>
  </si>
  <si>
    <t>LU GIA HAO</t>
  </si>
  <si>
    <t>2900000000056</t>
  </si>
  <si>
    <t>LE THI NGOC TU</t>
  </si>
  <si>
    <t>24619</t>
  </si>
  <si>
    <t>Nguyễn T Thanh Ngân</t>
  </si>
  <si>
    <t>2999999801799</t>
  </si>
  <si>
    <t>VO THI TRUC PHUONG</t>
  </si>
  <si>
    <t>8888000645658</t>
  </si>
  <si>
    <t>Quynh Giang</t>
  </si>
  <si>
    <t>Event hall - Events B1</t>
  </si>
  <si>
    <t>202</t>
  </si>
  <si>
    <t>16085</t>
  </si>
  <si>
    <t>Nguyễn Tiến Thành</t>
  </si>
  <si>
    <t>16055</t>
  </si>
  <si>
    <t>Phạm Nguyễn Vân Anh</t>
  </si>
  <si>
    <t>8888000065708</t>
  </si>
  <si>
    <t>Nguyen Mai Nhu Quynh</t>
  </si>
  <si>
    <t>8888000475408</t>
  </si>
  <si>
    <t>Nguyen Thi Hoang Oanh</t>
  </si>
  <si>
    <t>16168</t>
  </si>
  <si>
    <t>Nguyễn Ngọc Hải Đăng</t>
  </si>
  <si>
    <t>2999999914932</t>
  </si>
  <si>
    <t>NGUYEN NGOC HAI DANG</t>
  </si>
  <si>
    <t>22505</t>
  </si>
  <si>
    <t>Lê Nguyễn Huỳnh Như</t>
  </si>
  <si>
    <t>18306</t>
  </si>
  <si>
    <t>Tống Thị Thúy Linh</t>
  </si>
  <si>
    <t>21491</t>
  </si>
  <si>
    <t>Nguyễn Ngọc Diệp</t>
  </si>
  <si>
    <t>7777778138398</t>
  </si>
  <si>
    <t>Nguyen Ngoc Diep</t>
  </si>
  <si>
    <t>203</t>
  </si>
  <si>
    <t>8888000418054</t>
  </si>
  <si>
    <t>Long</t>
  </si>
  <si>
    <t>2999999831291</t>
  </si>
  <si>
    <t>PHAN THI THU HUONG</t>
  </si>
  <si>
    <t>26038</t>
  </si>
  <si>
    <t>Phạm Pương Thảo</t>
  </si>
  <si>
    <t>8888000619475</t>
  </si>
  <si>
    <t>364925754</t>
  </si>
  <si>
    <t>21485</t>
  </si>
  <si>
    <t>Hoàng Thị Thanh Tran</t>
  </si>
  <si>
    <t>7777778069180</t>
  </si>
  <si>
    <t>HOANG THI THANH TRANG</t>
  </si>
  <si>
    <t>204</t>
  </si>
  <si>
    <t>8888000379270</t>
  </si>
  <si>
    <t>Tong Bao Tran</t>
  </si>
  <si>
    <t>303</t>
  </si>
  <si>
    <t>16116</t>
  </si>
  <si>
    <t>Nguyễn Trọng Nghĩa</t>
  </si>
  <si>
    <t>7777777801347</t>
  </si>
  <si>
    <t>NGUYEN TRONG NGHIA</t>
  </si>
  <si>
    <t>7777778259987</t>
  </si>
  <si>
    <t>Nguyen Ngan</t>
  </si>
  <si>
    <t>16186</t>
  </si>
  <si>
    <t>Danh Thanh Toàn</t>
  </si>
  <si>
    <t>17264</t>
  </si>
  <si>
    <t>Nguyễn Thị Ngọc Yến</t>
  </si>
  <si>
    <t>2999999828512</t>
  </si>
  <si>
    <t>NGUYEN THI NGOC YEN</t>
  </si>
  <si>
    <t>2910000579353</t>
  </si>
  <si>
    <t>HUYNH THI TRUC LAM</t>
  </si>
  <si>
    <t>304</t>
  </si>
  <si>
    <t>7777777779813</t>
  </si>
  <si>
    <t>Nguyen kim tuyet</t>
  </si>
  <si>
    <t>2999999812290</t>
  </si>
  <si>
    <t>TRUONG THI HONG THUY</t>
  </si>
  <si>
    <t>305</t>
  </si>
  <si>
    <t>306</t>
  </si>
  <si>
    <t>18354</t>
  </si>
  <si>
    <t>Nguyễn Thanh Thúy Vy</t>
  </si>
  <si>
    <t>16084</t>
  </si>
  <si>
    <t>Võ Phạm Việt Nga</t>
  </si>
  <si>
    <t>2910000073837</t>
  </si>
  <si>
    <t>VO PHAM VIET NGA</t>
  </si>
  <si>
    <t>307</t>
  </si>
  <si>
    <t>401</t>
  </si>
  <si>
    <t>402</t>
  </si>
  <si>
    <t>403</t>
  </si>
  <si>
    <t>7777777909173</t>
  </si>
  <si>
    <t>NGUYEN HOANG NGUYEN HUONG</t>
  </si>
  <si>
    <t>404</t>
  </si>
  <si>
    <t>2999999929233</t>
  </si>
  <si>
    <t>PHAM NGUYEN VAN ANH</t>
  </si>
  <si>
    <t>7777778255002</t>
  </si>
  <si>
    <t>Nguyen Hong Nhi</t>
  </si>
  <si>
    <t>501</t>
  </si>
  <si>
    <t>19433</t>
  </si>
  <si>
    <t>Tô Hồng Hải</t>
  </si>
  <si>
    <t>2999999709132</t>
  </si>
  <si>
    <t>TO HONG HAI</t>
  </si>
  <si>
    <t>8888000069034</t>
  </si>
  <si>
    <t>the bao</t>
  </si>
  <si>
    <t>16170</t>
  </si>
  <si>
    <t>Đinh Thị Mỹ Tiên</t>
  </si>
  <si>
    <t>502</t>
  </si>
  <si>
    <t>99000</t>
  </si>
  <si>
    <t>For Return Allowance</t>
  </si>
  <si>
    <t>24028</t>
  </si>
  <si>
    <t>YUKI HOJO</t>
  </si>
  <si>
    <t>General Director</t>
  </si>
  <si>
    <t>8888000674184</t>
  </si>
  <si>
    <t>Yuki Hojo</t>
  </si>
  <si>
    <t>503</t>
  </si>
  <si>
    <t>8888000366966</t>
  </si>
  <si>
    <t>Huynh Thi My Huong</t>
  </si>
  <si>
    <t>2998999999567</t>
  </si>
  <si>
    <t>CHU KIM XUAN</t>
  </si>
  <si>
    <t>19380</t>
  </si>
  <si>
    <t>Nguyễn Ngọc Hương</t>
  </si>
  <si>
    <t>7777777914092</t>
  </si>
  <si>
    <t>NGUYEN HUONG</t>
  </si>
  <si>
    <t>2999999813457</t>
  </si>
  <si>
    <t>LE THI XUAN HONG</t>
  </si>
  <si>
    <t>504</t>
  </si>
  <si>
    <t>7777777885040</t>
  </si>
  <si>
    <t>HO MY PHUONG</t>
  </si>
  <si>
    <t>8888000399520</t>
  </si>
  <si>
    <t>Nguyen Ho Gia Thinh</t>
  </si>
  <si>
    <t>16247</t>
  </si>
  <si>
    <t>Phạm Việt Bình</t>
  </si>
  <si>
    <t>505</t>
  </si>
  <si>
    <t>7777777921632</t>
  </si>
  <si>
    <t>NGUYEN HONG TUOI</t>
  </si>
  <si>
    <t>506</t>
  </si>
  <si>
    <t>22493</t>
  </si>
  <si>
    <t>Phạm Ngọc Hoàng Anh</t>
  </si>
  <si>
    <t>7777777860009</t>
  </si>
  <si>
    <t>LE NGOC ANH</t>
  </si>
  <si>
    <t>8888000504269</t>
  </si>
  <si>
    <t>Duong</t>
  </si>
  <si>
    <t>8888000473008</t>
  </si>
  <si>
    <t>Nguyen Thanh Hien</t>
  </si>
  <si>
    <t>2910000006699</t>
  </si>
  <si>
    <t>LE HUU HUNG</t>
  </si>
  <si>
    <t>7777777917482</t>
  </si>
  <si>
    <t>PHAN HOANG YEN THANH</t>
  </si>
  <si>
    <t>507</t>
  </si>
  <si>
    <t>508</t>
  </si>
  <si>
    <t>16083</t>
  </si>
  <si>
    <t>Nguyễn Phan Nhã Quyê</t>
  </si>
  <si>
    <t>2910000063678</t>
  </si>
  <si>
    <t>NGUYEN PHAN NHA QUYEN</t>
  </si>
  <si>
    <t>509</t>
  </si>
  <si>
    <t>Line_No_</t>
  </si>
  <si>
    <t>Data::Staff Allowance Entry::0::Date</t>
  </si>
  <si>
    <t>Data::Staff Allowance Entry::0::Staff Card No.</t>
  </si>
  <si>
    <t>20461</t>
  </si>
  <si>
    <t>Huỳnh Thị Thu Trang</t>
  </si>
  <si>
    <t>Line No</t>
  </si>
  <si>
    <t>Pos Terminal</t>
  </si>
  <si>
    <t>Cosmetics 1</t>
  </si>
  <si>
    <t>Drink</t>
  </si>
  <si>
    <t>KSNY</t>
  </si>
  <si>
    <t>Eat-In Sweets</t>
  </si>
  <si>
    <t>Household ＆ Specialty</t>
  </si>
  <si>
    <t>Children Playground Promotion</t>
  </si>
  <si>
    <t>Temporary Promotion L1</t>
  </si>
  <si>
    <t>Ladies Shoes</t>
  </si>
  <si>
    <t>Event hall - Baby Children Event</t>
  </si>
  <si>
    <t>Eat-In</t>
  </si>
  <si>
    <t>Cosmetics 2</t>
  </si>
  <si>
    <t>Sweets</t>
  </si>
  <si>
    <t>Baby</t>
  </si>
  <si>
    <t>Ladies Wear</t>
  </si>
  <si>
    <t>Fragrance</t>
  </si>
  <si>
    <t>Travel ＆ Outdoor</t>
  </si>
  <si>
    <t>International Collections</t>
  </si>
  <si>
    <t>Temporary Promotion B1</t>
  </si>
  <si>
    <t>Sports and Golf</t>
  </si>
  <si>
    <t>Jewelry and Accessories</t>
  </si>
  <si>
    <t>Children Wear and Sundries</t>
  </si>
  <si>
    <t>Lingerie</t>
  </si>
  <si>
    <t>Gift</t>
  </si>
  <si>
    <t>Toys and Outdoor</t>
  </si>
  <si>
    <t>Fashion Watch and Bazaar</t>
  </si>
  <si>
    <t>Men business</t>
  </si>
  <si>
    <t>Unisex and Specialty Promotion</t>
  </si>
  <si>
    <t>Temporary Promotion L2</t>
  </si>
  <si>
    <t>PRL</t>
  </si>
  <si>
    <t>Young Fashion</t>
  </si>
  <si>
    <t>Jewelry</t>
  </si>
  <si>
    <t>Yearly Spending</t>
  </si>
  <si>
    <t>Yearly Allowance</t>
  </si>
  <si>
    <t>Member Code</t>
  </si>
  <si>
    <t>Yearly Budget</t>
  </si>
  <si>
    <t>Transaction NO</t>
  </si>
  <si>
    <t>Member Name</t>
  </si>
  <si>
    <t>Staff Code</t>
  </si>
  <si>
    <t>Data::Staff Allowance Entry::0::Tender Type Code</t>
  </si>
  <si>
    <t>80</t>
  </si>
  <si>
    <t>Remaining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</si>
</sst>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3" fontId="0" fillId="0" borderId="0" xfId="0" applyNumberFormat="1"/>
    <xf numFmtId="0" fontId="1" fillId="0" borderId="0" xfId="0" pivotButton="1" applyFont="1"/>
    <xf numFmtId="49" fontId="1" fillId="2" borderId="0" xfId="0" applyNumberFormat="1" applyFont="1" applyFill="1" applyAlignment="1">
      <alignment vertical="center"/>
    </xf>
    <xf numFmtId="164" fontId="0" fillId="0" borderId="0" xfId="1" applyNumberFormat="1" applyFont="1"/>
    <xf numFmtId="0" fontId="0" fillId="3" borderId="0" xfId="0" applyFill="1"/>
    <xf numFmtId="164" fontId="1" fillId="0" borderId="0" xfId="0" pivotButton="1" applyNumberFormat="1" applyFont="1"/>
    <xf numFmtId="164" fontId="0" fillId="0" borderId="0" xfId="0" applyNumberFormat="1"/>
    <xf numFmtId="0" fontId="3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2">
    <cellStyle name="Comma" xfId="1" builtinId="3"/>
    <cellStyle name="Normal" xfId="0" builtinId="0"/>
  </cellStyles>
  <dxfs count="9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/>
      </font>
    </dxf>
    <dxf>
      <font>
        <b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m IT" refreshedDate="45904.759516435188" createdVersion="8" refreshedVersion="8" minRefreshableVersion="3" recordCount="1637" xr:uid="{BFDD0312-1D13-40CA-AE70-7D0F8E8ABCE6}">
  <cacheSource type="worksheet">
    <worksheetSource name="Data"/>
  </cacheSource>
  <cacheFields count="21">
    <cacheField name="USERID" numFmtId="49">
      <sharedItems/>
    </cacheField>
    <cacheField name="COMPANYNAME" numFmtId="49">
      <sharedItems/>
    </cacheField>
    <cacheField name="PrintDate" numFmtId="49">
      <sharedItems/>
    </cacheField>
    <cacheField name="TargetDate" numFmtId="49">
      <sharedItems/>
    </cacheField>
    <cacheField name="StaffCode" numFmtId="49">
      <sharedItems count="159">
        <s v="16088"/>
        <s v="16202"/>
        <s v="16170"/>
        <s v="18366"/>
        <s v="14019"/>
        <s v="16055"/>
        <s v="15044"/>
        <s v="16193"/>
        <s v="17289"/>
        <s v="16165"/>
        <s v="18345"/>
        <s v="19442"/>
        <s v="16097"/>
        <s v="14020"/>
        <s v="16229"/>
        <s v="18361"/>
        <s v="25631"/>
        <s v="19394"/>
        <s v="18344"/>
        <s v="16244"/>
        <s v="16101"/>
        <s v="26002"/>
        <s v="24620"/>
        <s v="19379"/>
        <s v="24591"/>
        <s v="22522"/>
        <s v="22507"/>
        <s v="16052"/>
        <s v="24622"/>
        <s v="20459"/>
        <s v="19383"/>
        <s v="21478"/>
        <s v="15025"/>
        <s v="18322"/>
        <s v="20468"/>
        <s v="19399"/>
        <s v="23584"/>
        <s v="25633"/>
        <s v="20461"/>
        <s v="16160"/>
        <s v="24605"/>
        <s v="15037"/>
        <s v="23565"/>
        <s v="21489"/>
        <s v="22537"/>
        <s v="23583"/>
        <s v="18331"/>
        <s v="24614"/>
        <s v="24593"/>
        <s v="24600"/>
        <s v="24626"/>
        <s v="19439"/>
        <s v="16184"/>
        <s v="16173"/>
        <s v="24612"/>
        <s v="14013"/>
        <s v="15049"/>
        <s v="99000"/>
        <s v="16085"/>
        <s v="16091"/>
        <s v="20023"/>
        <s v="19391"/>
        <s v="19433"/>
        <s v="20458"/>
        <s v="18333"/>
        <s v="17017"/>
        <s v="23564"/>
        <s v="22493"/>
        <s v="19393"/>
        <s v="24624"/>
        <s v="20446"/>
        <s v="16083"/>
        <s v="18317"/>
        <s v="16239"/>
        <s v="20447"/>
        <s v="19417"/>
        <s v="24618"/>
        <s v="22501"/>
        <s v="18343"/>
        <s v="16116"/>
        <s v="17295"/>
        <s v="18354"/>
        <s v="24596"/>
        <s v="16059"/>
        <s v="24030"/>
        <s v="24029"/>
        <s v="22546"/>
        <s v="24615"/>
        <s v="19403"/>
        <s v="16015"/>
        <s v="16186"/>
        <s v="17016"/>
        <s v="22540"/>
        <s v="24028"/>
        <s v="19420"/>
        <s v="23573"/>
        <s v="23579"/>
        <s v="23559"/>
        <s v="20464"/>
        <s v="16127"/>
        <s v="21485"/>
        <s v="21480"/>
        <s v="22509"/>
        <s v="22548"/>
        <s v="16154"/>
        <s v="21025"/>
        <s v="23588"/>
        <s v="23558"/>
        <s v="25639"/>
        <s v="16247"/>
        <s v="23557"/>
        <s v="26038"/>
        <s v="16133"/>
        <s v="26035"/>
        <s v="26028"/>
        <s v="16094"/>
        <s v="25031"/>
        <s v="21484"/>
        <s v="22505"/>
        <s v="22504"/>
        <s v="19395"/>
        <s v="18337"/>
        <s v="19380"/>
        <s v="16168"/>
        <s v="14005"/>
        <s v="24619"/>
        <s v="24590"/>
        <s v="16192"/>
        <s v="24609"/>
        <s v="18306"/>
        <s v="18305"/>
        <s v="14006"/>
        <s v="17264"/>
        <s v="16084"/>
        <s v="21491"/>
        <s v="24613"/>
        <s v="19419"/>
        <s v="23553"/>
        <s v="20462"/>
        <s v="22519"/>
        <s v="16134"/>
        <s v="21479"/>
        <s v="22534"/>
        <s v="25634"/>
        <s v="18347"/>
        <s v="16115"/>
        <s v="18339"/>
        <s v="24617"/>
        <s v="24627"/>
        <s v="26032"/>
        <s v="26018"/>
        <s v="19441"/>
        <s v="22517"/>
        <s v="" u="1"/>
        <s v="18312" u="1"/>
        <s v="26033" u="1"/>
        <s v="101" u="1"/>
        <s v="100" u="1"/>
        <s v="1010" u="1"/>
      </sharedItems>
    </cacheField>
    <cacheField name="Name" numFmtId="49">
      <sharedItems count="161">
        <s v="Trần Hồng Nhi"/>
        <s v="Lê Thị Hồng Hạnh"/>
        <s v="Đinh Thị Mỹ Tiên"/>
        <s v="Nguyễn Phương Minh"/>
        <s v="Nguyễn Chánh"/>
        <s v="Phạm Nguyễn Vân Anh"/>
        <s v="Dương Thị Phương Duy"/>
        <s v="Huỳnh Cơ Thúy"/>
        <s v="Phạm Thủy Cúc"/>
        <s v="Huỳnh Thị Mộng Tuyền"/>
        <s v="Mai Quỳnh Như"/>
        <s v="Đặng Thị Ngọc Tuyền"/>
        <s v="Nguyễn Minh Nhựt"/>
        <s v="Võ Thị Trung Hậu"/>
        <s v="Nguyễn Thị Thùy Nhun"/>
        <s v="Phan Thị Phương Thảo"/>
        <s v="Hoàng Cao Thắng"/>
        <s v="Bùi Hoàng Phương Thả"/>
        <s v="Lê Thị Mai Linh"/>
        <s v="Nguyễn Thị Trúc Chi"/>
        <s v="Phạm Phương Thảo"/>
        <s v="Nguyễn Trần Thúy Đoa"/>
        <s v="Nguyễn Bích Thuận"/>
        <s v="Nguyễn Thị Như Phươn"/>
        <s v="Mai Ngọc Anh"/>
        <s v="Nguyễn Thị Ngọc Thúy"/>
        <s v="Nguyễn Duy Tân"/>
        <s v="Vũ Quốc Việt"/>
        <s v="Hồ Ngọc Thanh Thảo"/>
        <s v="Nguyễn Ngọc Hiếu Nhâ"/>
        <s v="Vũ Nguyễn Hà Anh"/>
        <s v="Nguyễn Hoàng My"/>
        <s v="Phạm Vũ Anh"/>
        <s v="Huỳnh Thị Trúc Lam"/>
        <s v="Đỗ Bích Phượng"/>
        <s v="Nguyễn Duy Hà"/>
        <s v="Nguyễn Võ Ngọc Bảo C"/>
        <s v="Nguyễn Thành Văn"/>
        <s v="Huỳnh Thị Thu Trang"/>
        <s v="Nguyễn Kim Tuyết"/>
        <s v="Nguyễn Phạm Minh"/>
        <s v="Đinh Ngọc Phương Kha"/>
        <s v="Đỗ Nguyễn Phượng Quỳ"/>
        <s v="Phạm Giang Phượng Th"/>
        <s v="Nguyễn Thị Huỳnh Như"/>
        <s v="Nguyễn Lê Trường Hải"/>
        <s v="Cao Minh Nguyệt"/>
        <s v="Huỳnh Thị Thúy Vân"/>
        <s v="Lê Mỹ An"/>
        <s v="Phan Nguyên Phương"/>
        <s v="Huỳnh Thị Mỹ Hương"/>
        <s v="Nguyễn Thị Thùy Dung"/>
        <s v="Trần Bảo Khuyên"/>
        <s v="Võ Thị Kim Lan"/>
        <s v="Huỳnh Tấn Lập"/>
        <s v="Lê Hữu Hùng"/>
        <s v="Trần Lê Thị Cẩm Lan"/>
        <s v="For Return Allowance"/>
        <s v="Nguyễn Tiến Thành"/>
        <s v="Đào Thụy Hồng Phúc"/>
        <s v="KEITH SEAK"/>
        <s v="Trần Thị Diễm Trang"/>
        <s v="Tô Hồng Hải"/>
        <s v="La Thành Thuận"/>
        <s v="Vũ Thị Việt Ánh"/>
        <s v="Wilson Lam"/>
        <s v="Trương Thị Ngọc Huyề"/>
        <s v="Phạm Ngọc Hoàng Anh"/>
        <s v="Vũ Hoàng Anh"/>
        <s v="Nguyễn Hồ Bảo Ngọc"/>
        <s v="Nguyễn Thị Thanh Thú"/>
        <s v="Nguyễn Phan Nhã Quyê"/>
        <s v="Đặng Thị Thu Thúy"/>
        <s v="Nguyễn Thị Thu Hằng"/>
        <s v="Trần Công Minh"/>
        <s v="Văn Nguyễn Liên Nhi"/>
        <s v="Nguyễn Thị Thanh Tiề"/>
        <s v="Nguyễn Hồng Linh"/>
        <s v="Nguyễn Phương Ngân"/>
        <s v="Nguyễn Trọng Nghĩa"/>
        <s v="Nguyễn Thị Thu Hồng"/>
        <s v="Nguyễn Thanh Thúy Vy"/>
        <s v="Mã Thái Sơn"/>
        <s v="Lê Ngọc Hoàng Yến"/>
        <s v="SOOYUN KIM"/>
        <s v="HIROSHI KAWASHIMA"/>
        <s v="Lê Phương Trúc"/>
        <s v="Nguyễn Thị Phương Lo"/>
        <s v="Hồ Thị Thanh Mỹ"/>
        <s v="Mori Yu"/>
        <s v="Danh Thanh Toàn"/>
        <s v="Christina Lum"/>
        <s v="Hồ Thế Bảo"/>
        <s v="YUKI HOJO"/>
        <s v="Nguyễn Quốc Khánh"/>
        <s v="Hồ Kim Anh"/>
        <s v="Nguyễn Thành Tâm"/>
        <s v="Lưu Thị Hoàng Oanh"/>
        <s v="Hớn Vĩ Quốc"/>
        <s v="Trần Thị Thấm"/>
        <s v="Hoàng Thị Thanh Tran"/>
        <s v="Lục Tuyết Nhi"/>
        <s v="Nguyễn Lê Quỳnh Như"/>
        <s v="Nguyễn Thảo Anh Thy"/>
        <s v="Lê Thị Bích Quy"/>
        <s v="ARAI TOMOYUKI"/>
        <s v="Trần Thị Trang Phươn"/>
        <s v="Đinh Ng Nguyệt Hằng"/>
        <s v="Phạm Hoàng Phương"/>
        <s v="Phạm Việt Bình"/>
        <s v="Mã Lê Thảo An"/>
        <s v="Phạm Pương Thảo"/>
        <s v="LT PHUONGNGOC"/>
        <s v="Trần Lê Vân Anh"/>
        <s v="Tống Thị Thu Huyền"/>
        <s v="Nguyễn Hữu Trí"/>
        <s v="NAGASE CHIKARA"/>
        <s v="Nguyễn Trần Hương Gi"/>
        <s v="Lê Nguyễn Huỳnh Như"/>
        <s v="Huỳnh Thị Ngọc Tuyền"/>
        <s v="Huỳnh Lâm Bích Quyên"/>
        <s v="Nguyễn Thùy Ngọc Như"/>
        <s v="Nguyễn Ngọc Hương"/>
        <s v="Nguyễn Ngọc Hải Đăng"/>
        <s v="AKIHIRO SATO"/>
        <s v="Nguyễn T Thanh Ngân"/>
        <s v="Đặng Thị Kim Châu"/>
        <s v="Phạm Thị Ánh Trang"/>
        <s v="Nguyễn Thị Huyền"/>
        <s v="Tống Thị Thúy Linh"/>
        <s v="Nguyễn T Huyền Trang"/>
        <s v="Đinh Công Nam Hưng"/>
        <s v="Nguyễn Thị Ngọc Yến"/>
        <s v="Võ Phạm Việt Nga"/>
        <s v="Nguyễn Ngọc Diệp"/>
        <s v="Trần Đặng Quế Hương"/>
        <s v="Nguyễn Phúc Hậu"/>
        <s v="Nguyễn Thị Xuân Hằng"/>
        <s v="Nguyễn Anh Thư"/>
        <s v="Trần Ngọc Hương Nhi"/>
        <s v="Nguyễn Huyền Trang"/>
        <s v="Nguyễn Hoàng Nhung"/>
        <s v="Trương Thị Nga"/>
        <s v="Nguyễn Thành Phát"/>
        <s v="Huỳnh Thị Ngọc Huyền"/>
        <s v="Đặng Thị Trà Mi"/>
        <s v="Nguyễn Hoàng Thủy Ti"/>
        <s v="Huỳnh Thúy Phụng"/>
        <s v="Nguyễn Trần Tường Vy"/>
        <s v="Võ Thành Trung"/>
        <s v="Vũ Thu Hiền"/>
        <s v="Vũ Hoàng Quốc Hùng"/>
        <s v="Nguyễn Đức Duy"/>
        <s v="" u="1"/>
        <s v="Nguyễn Phương Thúy B" u="1"/>
        <s v="Trần Mai Thế Ân" u="1"/>
        <s v="Phan Duc Long" u="1"/>
        <s v="Nguyen Manh Cuong" u="1"/>
        <s v="100" u="1"/>
        <s v="101" u="1"/>
        <s v="LE TRAN PHUONG NGOC" u="1"/>
      </sharedItems>
    </cacheField>
    <cacheField name="Position" numFmtId="49">
      <sharedItems count="27">
        <s v="Senior Supervisor"/>
        <s v="Supervisor"/>
        <s v="Assistant Supervisor"/>
        <s v="Section Manager"/>
        <s v="Senior Department Manager"/>
        <s v="Assistant Department Manager"/>
        <s v="Senior Retail Supervisor"/>
        <s v="Assistant Section Manager"/>
        <s v="Senior Assistant"/>
        <s v="Senior Cashier"/>
        <s v="Retail Supervisor"/>
        <s v="Retail Assistant"/>
        <s v="Assistant"/>
        <s v="Toshin Staff"/>
        <s v="Cashier"/>
        <s v="Assistant Retail Supervisor"/>
        <s v="Senior Section Manager"/>
        <s v="Senior Retail Assistant"/>
        <s v="Senior Chief Cashier"/>
        <s v="Retail Manager"/>
        <s v="Department Manager"/>
        <s v="Division Manager"/>
        <s v="Deputy General Director"/>
        <s v="Senior Division Manager"/>
        <s v="General Director"/>
        <s v="Assistant Division Manager"/>
        <s v="Chief Cashier"/>
      </sharedItems>
    </cacheField>
    <cacheField name="Status" numFmtId="49">
      <sharedItems count="1">
        <s v=""/>
      </sharedItems>
    </cacheField>
    <cacheField name="YearlyBudget" numFmtId="3">
      <sharedItems containsSemiMixedTypes="0" containsString="0" containsNumber="1" containsInteger="1" minValue="0" maxValue="3250000000" count="7">
        <n v="90000000"/>
        <n v="110000000"/>
        <n v="155000000"/>
        <n v="65000000"/>
        <n v="150000000"/>
        <n v="0" u="1"/>
        <n v="3250000000" u="1"/>
      </sharedItems>
    </cacheField>
    <cacheField name="YearlySpending" numFmtId="3">
      <sharedItems containsSemiMixedTypes="0" containsString="0" containsNumber="1" containsInteger="1" minValue="-19799982" maxValue="46500000" count="829">
        <n v="40000"/>
        <n v="-40000"/>
        <n v="49500"/>
        <n v="4908100"/>
        <n v="41300"/>
        <n v="135000"/>
        <n v="67500"/>
        <n v="60000"/>
        <n v="58500"/>
        <n v="708900"/>
        <n v="80000"/>
        <n v="77000"/>
        <n v="149000"/>
        <n v="89000"/>
        <n v="3060000"/>
        <n v="2700000"/>
        <n v="2355000"/>
        <n v="195000"/>
        <n v="54430"/>
        <n v="58620"/>
        <n v="351000"/>
        <n v="725000"/>
        <n v="39200"/>
        <n v="175000"/>
        <n v="279300"/>
        <n v="566300"/>
        <n v="129000"/>
        <n v="454500"/>
        <n v="609500"/>
        <n v="99000"/>
        <n v="34000"/>
        <n v="30000"/>
        <n v="169000"/>
        <n v="199000"/>
        <n v="79900"/>
        <n v="70550"/>
        <n v="23800"/>
        <n v="71400"/>
        <n v="45000"/>
        <n v="79200"/>
        <n v="76500"/>
        <n v="290000"/>
        <n v="350000"/>
        <n v="490000"/>
        <n v="95000"/>
        <n v="279000"/>
        <n v="450000"/>
        <n v="138600"/>
        <n v="107800"/>
        <n v="81000"/>
        <n v="5590000"/>
        <n v="46200"/>
        <n v="85000"/>
        <n v="150000"/>
        <n v="250000"/>
        <n v="14044800"/>
        <n v="447550"/>
        <n v="299000"/>
        <n v="391700"/>
        <n v="140250"/>
        <n v="314500"/>
        <n v="242250"/>
        <n v="123250"/>
        <n v="4250"/>
        <n v="54000"/>
        <n v="1500000"/>
        <n v="465000"/>
        <n v="79000"/>
        <n v="2863800"/>
        <n v="1844640"/>
        <n v="90000"/>
        <n v="7965490"/>
        <n v="8550000"/>
        <n v="2160000"/>
        <n v="2417040"/>
        <n v="27000"/>
        <n v="97500"/>
        <n v="109500"/>
        <n v="127500"/>
        <n v="107500"/>
        <n v="119500"/>
        <n v="68000"/>
        <n v="61600"/>
        <n v="137500"/>
        <n v="152500"/>
        <n v="158400"/>
        <n v="55000"/>
        <n v="10000"/>
        <n v="427500"/>
        <n v="-2119860"/>
        <n v="-1854720"/>
        <n v="1245000"/>
        <n v="156000"/>
        <n v="207200"/>
        <n v="1125000"/>
        <n v="2295000"/>
        <n v="270000"/>
        <n v="455000"/>
        <n v="520000"/>
        <n v="157500"/>
        <n v="22500"/>
        <n v="5400"/>
        <n v="31000"/>
        <n v="396000"/>
        <n v="297000"/>
        <n v="938000"/>
        <n v="1499000"/>
        <n v="550000"/>
        <n v="1900000"/>
        <n v="1449600"/>
        <n v="340000"/>
        <n v="152100"/>
        <n v="125100"/>
        <n v="63000"/>
        <n v="70400"/>
        <n v="142800"/>
        <n v="83300"/>
        <n v="28900"/>
        <n v="215000"/>
        <n v="719000"/>
        <n v="3610000"/>
        <n v="88000"/>
        <n v="275000"/>
        <n v="117000"/>
        <n v="84000"/>
        <n v="42000"/>
        <n v="491470"/>
        <n v="152180"/>
        <n v="574770"/>
        <n v="395000"/>
        <n v="608580"/>
        <n v="1390000"/>
        <n v="1890000"/>
        <n v="2195000"/>
        <n v="325000"/>
        <n v="5206500"/>
        <n v="38500"/>
        <n v="15400"/>
        <n v="7700"/>
        <n v="117300"/>
        <n v="16000"/>
        <n v="114400"/>
        <n v="115200"/>
        <n v="288000"/>
        <n v="1216000"/>
        <n v="169500"/>
        <n v="418840"/>
        <n v="461250"/>
        <n v="186440"/>
        <n v="4780000"/>
        <n v="1300000"/>
        <n v="209000"/>
        <n v="125000"/>
        <n v="320000"/>
        <n v="780000"/>
        <n v="980000"/>
        <n v="295000"/>
        <n v="445000"/>
        <n v="650000"/>
        <n v="245000"/>
        <n v="50000"/>
        <n v="40500"/>
        <n v="164000"/>
        <n v="148000"/>
        <n v="198000"/>
        <n v="35700"/>
        <n v="512000"/>
        <n v="890000"/>
        <n v="360000"/>
        <n v="140000"/>
        <n v="630000"/>
        <n v="219000"/>
        <n v="1019400"/>
        <n v="63750"/>
        <n v="31200"/>
        <n v="28000"/>
        <n v="27300"/>
        <n v="100100"/>
        <n v="2574720"/>
        <n v="273000"/>
        <n v="2819880"/>
        <n v="810000"/>
        <n v="235630"/>
        <n v="181140"/>
        <n v="128000"/>
        <n v="279810"/>
        <n v="3790000"/>
        <n v="276000"/>
        <n v="116000"/>
        <n v="420000"/>
        <n v="92400"/>
        <n v="1075000"/>
        <n v="82500"/>
        <n v="167500"/>
        <n v="4770000"/>
        <n v="2670000"/>
        <n v="5310000"/>
        <n v="53900"/>
        <n v="990000"/>
        <n v="180400"/>
        <n v="451000"/>
        <n v="696000"/>
        <n v="-275000"/>
        <n v="220000"/>
        <n v="339000"/>
        <n v="1090000"/>
        <n v="103500"/>
        <n v="69000"/>
        <n v="251100"/>
        <n v="49000"/>
        <n v="2837100"/>
        <n v="126000"/>
        <n v="119000"/>
        <n v="126650"/>
        <n v="25000"/>
        <n v="140800"/>
        <n v="241000"/>
        <n v="285750"/>
        <n v="443250"/>
        <n v="378000"/>
        <n v="324000"/>
        <n v="339150"/>
        <n v="910800"/>
        <n v="590640"/>
        <n v="249000"/>
        <n v="179000"/>
        <n v="240800"/>
        <n v="385000"/>
        <n v="131600"/>
        <n v="480000"/>
        <n v="580000"/>
        <n v="106250"/>
        <n v="157250"/>
        <n v="153000"/>
        <n v="165750"/>
        <n v="499500"/>
        <n v="374500"/>
        <n v="110000"/>
        <n v="629000"/>
        <n v="51000"/>
        <n v="87200"/>
        <n v="4086000"/>
        <n v="2910000"/>
        <n v="134100"/>
        <n v="9350"/>
        <n v="559300"/>
        <n v="479200"/>
        <n v="28050"/>
        <n v="159800"/>
        <n v="14450"/>
        <n v="413700"/>
        <n v="286200"/>
        <n v="116100"/>
        <n v="71100"/>
        <n v="239400"/>
        <n v="860800"/>
        <n v="286400"/>
        <n v="55250"/>
        <n v="760000"/>
        <n v="170830"/>
        <n v="14720"/>
        <n v="527230"/>
        <n v="44180"/>
        <n v="19630"/>
        <n v="94250"/>
        <n v="592500"/>
        <n v="54670"/>
        <n v="109340"/>
        <n v="7810"/>
        <n v="120700"/>
        <n v="39050"/>
        <n v="46860"/>
        <n v="177000"/>
        <n v="591000"/>
        <n v="651000"/>
        <n v="346000"/>
        <n v="39000"/>
        <n v="29750"/>
        <n v="538000"/>
        <n v="12750"/>
        <n v="72250"/>
        <n v="78400"/>
        <n v="1137780"/>
        <n v="102000"/>
        <n v="25500"/>
        <n v="100000"/>
        <n v="15000"/>
        <n v="265000"/>
        <n v="853300"/>
        <n v="237300"/>
        <n v="216000"/>
        <n v="408680"/>
        <n v="1200000"/>
        <n v="486000"/>
        <n v="154000"/>
        <n v="233250"/>
        <n v="8000"/>
        <n v="72000"/>
        <n v="16500"/>
        <n v="36500"/>
        <n v="-16500"/>
        <n v="-36500"/>
        <n v="174300"/>
        <n v="132500"/>
        <n v="1453000"/>
        <n v="296000"/>
        <n v="684000"/>
        <n v="500000"/>
        <n v="24000"/>
        <n v="120000"/>
        <n v="22000"/>
        <n v="178500"/>
        <n v="141100"/>
        <n v="263200"/>
        <n v="2589700"/>
        <n v="42500"/>
        <n v="183200"/>
        <n v="75600"/>
        <n v="75000"/>
        <n v="139000"/>
        <n v="97000"/>
        <n v="138000"/>
        <n v="159000"/>
        <n v="202500"/>
        <n v="189000"/>
        <n v="374000"/>
        <n v="105000"/>
        <n v="738000"/>
        <n v="459000"/>
        <n v="207000"/>
        <n v="19800"/>
        <n v="280000"/>
        <n v="370500"/>
        <n v="47600"/>
        <n v="89250"/>
        <n v="322500"/>
        <n v="907970"/>
        <n v="176400"/>
        <n v="107100"/>
        <n v="1199200"/>
        <n v="312000"/>
        <n v="190000"/>
        <n v="64600"/>
        <n v="690000"/>
        <n v="1570410"/>
        <n v="97200"/>
        <n v="18000"/>
        <n v="145600"/>
        <n v="6900000"/>
        <n v="367500"/>
        <n v="675000"/>
        <n v="390000"/>
        <n v="2293000"/>
        <n v="112000"/>
        <n v="166500"/>
        <n v="410000"/>
        <n v="2700"/>
        <n v="43290"/>
        <n v="203230"/>
        <n v="6127000"/>
        <n v="235000"/>
        <n v="175200"/>
        <n v="600000"/>
        <n v="-126650"/>
        <n v="940000"/>
        <n v="599000"/>
        <n v="1657500"/>
        <n v="900000"/>
        <n v="160000"/>
        <n v="8450000"/>
        <n v="619500"/>
        <n v="2060000"/>
        <n v="619000"/>
        <n v="162000"/>
        <n v="29450"/>
        <n v="2000000"/>
        <n v="29500"/>
        <n v="720000"/>
        <n v="96000"/>
        <n v="196000"/>
        <n v="47500"/>
        <n v="14000"/>
        <n v="82600"/>
        <n v="870000"/>
        <n v="399000"/>
        <n v="35000"/>
        <n v="93000"/>
        <n v="2961600"/>
        <n v="34400"/>
        <n v="23100"/>
        <n v="21250"/>
        <n v="46750"/>
        <n v="124600"/>
        <n v="58100"/>
        <n v="116200"/>
        <n v="300000"/>
        <n v="65000"/>
        <n v="332500"/>
        <n v="52000"/>
        <n v="-46200"/>
        <n v="175740"/>
        <n v="108000"/>
        <n v="73500"/>
        <n v="289000"/>
        <n v="297500"/>
        <n v="252000"/>
        <n v="30800"/>
        <n v="1920000"/>
        <n v="2250000"/>
        <n v="1250000"/>
        <n v="74800"/>
        <n v="69300"/>
        <n v="-1570410"/>
        <n v="1963140"/>
        <n v="64500"/>
        <n v="52800"/>
        <n v="6010000"/>
        <n v="62100"/>
        <n v="59000"/>
        <n v="136000"/>
        <n v="114000"/>
        <n v="127000"/>
        <n v="671400"/>
        <n v="166000"/>
        <n v="176000"/>
        <n v="53100"/>
        <n v="127630"/>
        <n v="2328000"/>
        <n v="211000"/>
        <n v="244000"/>
        <n v="61200"/>
        <n v="65450"/>
        <n v="1100000"/>
        <n v="825000"/>
        <n v="298000"/>
        <n v="149500"/>
        <n v="93270"/>
        <n v="194000"/>
        <n v="200290"/>
        <n v="180000"/>
        <n v="170000"/>
        <n v="56100"/>
        <n v="1323000"/>
        <n v="447000"/>
        <n v="66000"/>
        <n v="171000"/>
        <n v="960000"/>
        <n v="592000"/>
        <n v="655200"/>
        <n v="400000"/>
        <n v="124200"/>
        <n v="178200"/>
        <n v="240000"/>
        <n v="114750"/>
        <n v="247800"/>
        <n v="68600"/>
        <n v="66500"/>
        <n v="918000"/>
        <n v="549000"/>
        <n v="58400"/>
        <n v="524250"/>
        <n v="469000"/>
        <n v="112500"/>
        <n v="57000"/>
        <n v="152000"/>
        <n v="165000"/>
        <n v="5000"/>
        <n v="26400"/>
        <n v="20000"/>
        <n v="64000"/>
        <n v="255000"/>
        <n v="130000"/>
        <n v="173000"/>
        <n v="23000"/>
        <n v="192500"/>
        <n v="440000"/>
        <n v="44000"/>
        <n v="371120"/>
        <n v="125380"/>
        <n v="159050"/>
        <n v="180500"/>
        <n v="902500"/>
        <n v="70690"/>
        <n v="81490"/>
        <n v="146290"/>
        <n v="18700"/>
        <n v="33150"/>
        <n v="145000"/>
        <n v="131000"/>
        <n v="347500" u="1"/>
        <n v="328750" u="1"/>
        <n v="1079100" u="1"/>
        <n v="472000" u="1"/>
        <n v="978075" u="1"/>
        <n v="415000" u="1"/>
        <n v="341250" u="1"/>
        <n v="307395" u="1"/>
        <n v="267300" u="1"/>
        <n v="512325" u="1"/>
        <n v="445500" u="1"/>
        <n v="133650" u="1"/>
        <n v="7197375" u="1"/>
        <n v="326250" u="1"/>
        <n v="207500" u="1"/>
        <n v="436500" u="1"/>
        <n v="20500" u="1"/>
        <n v="2252040" u="1"/>
        <n v="1313690" u="1"/>
        <n v="4691750" u="1"/>
        <n v="2356200" u="1"/>
        <n v="2613600" u="1"/>
        <n v="1119000" u="1"/>
        <n v="4290000" u="1"/>
        <n v="1315000" u="1"/>
        <n v="1363000" u="1"/>
        <n v="12400000" u="1"/>
        <n v="46500000" u="1"/>
        <n v="2900000" u="1"/>
        <n v="790300" u="1"/>
        <n v="1305000" u="1"/>
        <n v="1285000" u="1"/>
        <n v="640000" u="1"/>
        <n v="2590000" u="1"/>
        <n v="1750000" u="1"/>
        <n v="3400000" u="1"/>
        <n v="1042500" u="1"/>
        <n v="149750" u="1"/>
        <n v="82000" u="1"/>
        <n v="1342500" u="1"/>
        <n v="3995000" u="1"/>
        <n v="1177035" u="1"/>
        <n v="404775" u="1"/>
        <n v="554775" u="1"/>
        <n v="202275" u="1"/>
        <n v="144750" u="1"/>
        <n v="139750" u="1"/>
        <n v="549750" u="1"/>
        <n v="1976290" u="1"/>
        <n v="299750" u="1"/>
        <n v="199750" u="1"/>
        <n v="383250" u="1"/>
        <n v="99750" u="1"/>
        <n v="200000" u="1"/>
        <n v="430000" u="1"/>
        <n v="313875" u="1"/>
        <n v="336375" u="1"/>
        <n v="50625" u="1"/>
        <n v="55125" u="1"/>
        <n v="211750" u="1"/>
        <n v="61250" u="1"/>
        <n v="12375" u="1"/>
        <n v="44500" u="1"/>
        <n v="19750" u="1"/>
        <n v="93750" u="1"/>
        <n v="62500" u="1"/>
        <n v="62250" u="1"/>
        <n v="74750" u="1"/>
        <n v="18750" u="1"/>
        <n v="30250" u="1"/>
        <n v="20750" u="1"/>
        <n v="1250" u="1"/>
        <n v="323750" u="1"/>
        <n v="206030" u="1"/>
        <n v="171570" u="1"/>
        <n v="489510" u="1"/>
        <n v="312500" u="1"/>
        <n v="1037500" u="1"/>
        <n v="110250" u="1"/>
        <n v="502425" u="1"/>
        <n v="92500" u="1"/>
        <n v="13750" u="1"/>
        <n v="197500" u="1"/>
        <n v="47000" u="1"/>
        <n v="115500" u="1"/>
        <n v="2625000" u="1"/>
        <n v="4700000" u="1"/>
        <n v="172500" u="1"/>
        <n v="192600" u="1"/>
        <n v="52500" u="1"/>
        <n v="24750" u="1"/>
        <n v="260000" u="1"/>
        <n v="68750" u="1"/>
        <n v="5310" u="1"/>
        <n v="18375" u="1"/>
        <n v="4900" u="1"/>
        <n v="875" u="1"/>
        <n v="19250" u="1"/>
        <n v="121250" u="1"/>
        <n v="24500" u="1"/>
        <n v="52250" u="1"/>
        <n v="187500" u="1"/>
        <n v="37000" u="1"/>
        <n v="10500" u="1"/>
        <n v="37500" u="1"/>
        <n v="41250" u="1"/>
        <n v="84500" u="1"/>
        <n v="87500" u="1"/>
        <n v="94000" u="1"/>
        <n v="66750" u="1"/>
        <n v="14250" u="1"/>
        <n v="17500" u="1"/>
        <n v="27250" u="1"/>
        <n v="75105" u="1"/>
        <n v="7360" u="1"/>
        <n v="36570" u="1"/>
        <n v="437500" u="1"/>
        <n v="43750" u="1"/>
        <n v="31250" u="1"/>
        <n v="212500" u="1"/>
        <n v="31500" u="1"/>
        <n v="128250" u="1"/>
        <n v="28500" u="1"/>
        <n v="86250" u="1"/>
        <n v="48750" u="1"/>
        <n v="26250" u="1"/>
        <n v="54750" u="1"/>
        <n v="70000" u="1"/>
        <n v="86500" u="1"/>
        <n v="238000" u="1"/>
        <n v="97250" u="1"/>
        <n v="81980" u="1"/>
        <n v="237500" u="1"/>
        <n v="209750" u="1"/>
        <n v="307500" u="1"/>
        <n v="38290" u="1"/>
        <n v="66250" u="1"/>
        <n v="185000" u="1"/>
        <n v="210000" u="1"/>
        <n v="308000" u="1"/>
        <n v="330000" u="1"/>
        <n v="485000" u="1"/>
        <n v="464000" u="1"/>
        <n v="560000" u="1"/>
        <n v="513000" u="1"/>
        <n v="272000" u="1"/>
        <n v="345000" u="1"/>
        <n v="1230000" u="1"/>
        <n v="32000" u="1"/>
        <n v="36000" u="1"/>
        <n v="1000000" u="1"/>
        <n v="153164" u="1"/>
        <n v="19636" u="1"/>
        <n v="98000" u="1"/>
        <n v="188000" u="1"/>
        <n v="376000" u="1"/>
        <n v="267000" u="1"/>
        <n v="750000" u="1"/>
        <n v="660000" u="1"/>
        <n v="200291" u="1"/>
        <n v="850000" u="1"/>
        <n v="3300000" u="1"/>
        <n v="327928" u="1"/>
        <n v="950000" u="1"/>
        <n v="800000" u="1"/>
        <n v="468000" u="1"/>
        <n v="425000" u="1"/>
        <n v="371128" u="1"/>
        <n v="125388" u="1"/>
        <n v="159055" u="1"/>
        <n v="19635" u="1"/>
        <n v="70691" u="1"/>
        <n v="81491" u="1"/>
        <n v="146291" u="1"/>
        <n v="740000" u="1"/>
        <n v="54437" u="1"/>
        <n v="58626" u="1"/>
        <n v="142200" u="1"/>
        <n v="700000" u="1"/>
        <n v="1040000" u="1"/>
        <n v="175745" u="1"/>
        <n v="170836" u="1"/>
        <n v="14727" u="1"/>
        <n v="44182" u="1"/>
        <n v="-175745" u="1"/>
        <n v="-170836" u="1"/>
        <n v="-14727" u="1"/>
        <n v="-44182" u="1"/>
        <n v="-19636" u="1"/>
        <n v="300436" u="1"/>
        <n v="29455" u="1"/>
        <n v="127636" u="1"/>
        <n v="570000" u="1"/>
        <n v="349000" u="1"/>
        <n v="78000" u="1"/>
        <n v="3000" u="1"/>
        <n v="121000" u="1"/>
        <n v="83000" u="1"/>
        <n v="370000" u="1"/>
        <n v="19600" u="1"/>
        <n v="3500" u="1"/>
        <n v="109000" u="1"/>
        <n v="178000" u="1"/>
        <n v="338000" u="1"/>
        <n v="375000" u="1"/>
        <n v="44181" u="1"/>
        <n v="527235" u="1"/>
        <n v="94255" u="1"/>
        <n v="0" u="1"/>
        <n v="29454" u="1"/>
        <n v="341672" u="1"/>
        <n v="462000" u="1"/>
        <n v="860000" u="1"/>
        <n v="183600" u="1"/>
        <n v="38000" u="1"/>
        <n v="2199000" u="1"/>
        <n v="680000" u="1"/>
        <n v="1295000" u="1"/>
        <n v="790000" u="1"/>
        <n v="770400" u="1"/>
        <n v="1619100" u="1"/>
        <n v="2219100" u="1"/>
        <n v="809100" u="1"/>
        <n v="579000" u="1"/>
        <n v="559000" u="1"/>
        <n v="1533000" u="1"/>
        <n v="1255500" u="1"/>
        <n v="1345500" u="1"/>
        <n v="220500" u="1"/>
        <n v="2009700" u="1"/>
        <n v="5370000" u="1"/>
        <n v="15980000" u="1"/>
        <n v="1570418" u="1"/>
        <n v="-1570418" u="1"/>
        <n v="1963145" u="1"/>
        <n v="10500000" u="1"/>
        <n v="18800000" u="1"/>
        <n v="1720000" u="1"/>
        <n v="1180000" u="1"/>
        <n v="-273000" u="1"/>
        <n v="28789500" u="1"/>
        <n v="637500" u="1"/>
        <n v="328000" u="1"/>
        <n v="4170000" u="1"/>
        <n v="604800" u="1"/>
        <n v="7965491" u="1"/>
        <n v="1199000" u="1"/>
        <n v="799000" u="1"/>
        <n v="824138" u="1"/>
        <n v="686291" u="1"/>
        <n v="1958040" u="1"/>
        <n v="4908109" u="1"/>
        <n v="2205000" u="1"/>
        <n v="7905170" u="1"/>
        <n v="447552" u="1"/>
        <n v="4708150" u="1"/>
        <n v="847000" u="1"/>
        <n v="152182" u="1"/>
        <n v="418844" u="1"/>
        <n v="186448" u="1"/>
        <n v="279819" u="1"/>
        <n v="126655" u="1"/>
        <n v="408682" u="1"/>
        <n v="235636" u="1"/>
        <n v="1290000" u="1"/>
        <n v="181146" u="1"/>
        <n v="180409" u="1"/>
        <n v="952000" u="1"/>
        <n v="389000" u="1"/>
        <n v="4150000" u="1"/>
        <n v="441000" u="1"/>
        <n v="-126655" u="1"/>
        <n v="93273" u="1"/>
        <n v="839000" u="1"/>
        <n v="43299" u="1"/>
        <n v="203237" u="1"/>
        <n v="11990000" u="1"/>
        <n v="1888000" u="1"/>
        <n v="10867500" u="1"/>
        <n v="2200000" u="1"/>
        <n v="1660000" u="1"/>
        <n v="1365000" u="1"/>
        <n v="3415500" u="1"/>
        <n v="2970000" u="1"/>
        <n v="5692500" u="1"/>
        <n v="4950000" u="1"/>
        <n v="1485000" u="1"/>
        <n v="830000" u="1"/>
        <n v="1746000" u="1"/>
        <n v="9008160" u="1"/>
        <n v="5254760" u="1"/>
        <n v="18767000" u="1"/>
        <n v="9424800" u="1"/>
        <n v="10454400" u="1"/>
        <n v="1574640" u="1"/>
        <n v="1386000" u="1"/>
        <n v="1247400" u="1"/>
        <n v="891000" u="1"/>
        <n v="733770" u="1"/>
        <n v="1204831" u="1"/>
        <n v="9677745" u="1"/>
        <n v="-989999" u="1"/>
        <n v="-2673000" u="1"/>
        <n v="-90999" u="1"/>
        <n v="-5571000" u="1"/>
        <n v="-3951000" u="1"/>
        <n v="-1574640" u="1"/>
        <n v="-1782000" u="1"/>
        <n v="-990000" u="1"/>
        <n v="-2821500" u="1"/>
        <n v="-1045000" u="1"/>
        <n v="-2250000" u="1"/>
        <n v="-3304800" u="1"/>
        <n v="-2913480" u="1"/>
        <n v="-3717900" u="1"/>
        <n v="-2781000" u="1"/>
        <n v="-4131000" u="1"/>
        <n v="-3003480" u="1"/>
        <n v="-5078700" u="1"/>
        <n v="-2138400" u="1"/>
        <n v="-2350530" u="1"/>
        <n v="-2869158" u="1"/>
        <n v="-5939100" u="1"/>
        <n v="-7042581" u="1"/>
        <n v="-2784600" u="1"/>
        <n v="-2754000" u="1"/>
        <n v="-5346000" u="1"/>
        <n v="-945725" u="1"/>
        <n v="-179550" u="1"/>
        <n v="-90027" u="1"/>
        <n v="-1099999" u="1"/>
        <n v="-19799982" u="1"/>
        <n v="-4914000" u="1"/>
        <n v="-9828000" u="1"/>
        <n v="-13104000" u="1"/>
        <n v="-2750000" u="1"/>
        <n v="-890999" u="1"/>
        <n v="-900900" u="1"/>
        <n v="-810000" u="1"/>
        <n v="-729000" u="1"/>
      </sharedItems>
    </cacheField>
    <cacheField name="YearlyAllowance" numFmtId="3">
      <sharedItems containsSemiMixedTypes="0" containsString="0" containsNumber="1" minValue="-4650000" maxValue="4650000" count="1262">
        <n v="4000"/>
        <n v="-4000"/>
        <n v="4950"/>
        <n v="490810"/>
        <n v="4130"/>
        <n v="13500"/>
        <n v="6750"/>
        <n v="6000"/>
        <n v="5850"/>
        <n v="70890"/>
        <n v="8000"/>
        <n v="7700"/>
        <n v="14900"/>
        <n v="8900"/>
        <n v="306000"/>
        <n v="270000"/>
        <n v="235500"/>
        <n v="19500"/>
        <n v="5443"/>
        <n v="5862"/>
        <n v="35100"/>
        <n v="72500"/>
        <n v="3920"/>
        <n v="17500"/>
        <n v="27930"/>
        <n v="56630"/>
        <n v="12900"/>
        <n v="45450"/>
        <n v="60950"/>
        <n v="9900"/>
        <n v="3400"/>
        <n v="3000"/>
        <n v="16900"/>
        <n v="19900"/>
        <n v="7990"/>
        <n v="7055"/>
        <n v="2380"/>
        <n v="7140"/>
        <n v="4500"/>
        <n v="7920"/>
        <n v="7650"/>
        <n v="29000"/>
        <n v="35000"/>
        <n v="49000"/>
        <n v="9500"/>
        <n v="27900"/>
        <n v="45000"/>
        <n v="13860"/>
        <n v="10780"/>
        <n v="8100"/>
        <n v="559000"/>
        <n v="4620"/>
        <n v="8500"/>
        <n v="15000"/>
        <n v="25000"/>
        <n v="1404480"/>
        <n v="44755"/>
        <n v="29900"/>
        <n v="39170"/>
        <n v="14025"/>
        <n v="31450"/>
        <n v="24225"/>
        <n v="12325"/>
        <n v="425"/>
        <n v="5400"/>
        <n v="150000"/>
        <n v="46500"/>
        <n v="7900"/>
        <n v="286380"/>
        <n v="184464"/>
        <n v="9000"/>
        <n v="796549"/>
        <n v="855000"/>
        <n v="216000"/>
        <n v="241704"/>
        <n v="2700"/>
        <n v="9750"/>
        <n v="10950"/>
        <n v="12750"/>
        <n v="10750"/>
        <n v="11950"/>
        <n v="6800"/>
        <n v="6160"/>
        <n v="13750"/>
        <n v="15250"/>
        <n v="15840"/>
        <n v="5500"/>
        <n v="1000"/>
        <n v="42750"/>
        <n v="-211986"/>
        <n v="-185472"/>
        <n v="124500"/>
        <n v="15600"/>
        <n v="20720"/>
        <n v="112500"/>
        <n v="229500"/>
        <n v="27000"/>
        <n v="45500"/>
        <n v="52000"/>
        <n v="15750"/>
        <n v="2250"/>
        <n v="540"/>
        <n v="3100"/>
        <n v="39600"/>
        <n v="29700"/>
        <n v="93800"/>
        <n v="149900"/>
        <n v="55000"/>
        <n v="190000"/>
        <n v="144960"/>
        <n v="34000"/>
        <n v="15210"/>
        <n v="12510"/>
        <n v="6300"/>
        <n v="7040"/>
        <n v="14280"/>
        <n v="8330"/>
        <n v="2890"/>
        <n v="21500"/>
        <n v="71900"/>
        <n v="361000"/>
        <n v="8800"/>
        <n v="27500"/>
        <n v="11700"/>
        <n v="8400"/>
        <n v="4200"/>
        <n v="49147"/>
        <n v="15218"/>
        <n v="57477"/>
        <n v="39500"/>
        <n v="60858"/>
        <n v="139000"/>
        <n v="189000"/>
        <n v="219500"/>
        <n v="32500"/>
        <n v="520650"/>
        <n v="3850"/>
        <n v="1540"/>
        <n v="770"/>
        <n v="11730"/>
        <n v="1600"/>
        <n v="11440"/>
        <n v="11520"/>
        <n v="28800"/>
        <n v="121600"/>
        <n v="16950"/>
        <n v="41884"/>
        <n v="46125"/>
        <n v="18644"/>
        <n v="478000"/>
        <n v="130000"/>
        <n v="20900"/>
        <n v="12500"/>
        <n v="32000"/>
        <n v="78000"/>
        <n v="98000"/>
        <n v="29500"/>
        <n v="44500"/>
        <n v="65000"/>
        <n v="24500"/>
        <n v="5000"/>
        <n v="4050"/>
        <n v="16400"/>
        <n v="14800"/>
        <n v="19800"/>
        <n v="3570"/>
        <n v="51200"/>
        <n v="89000"/>
        <n v="36000"/>
        <n v="14000"/>
        <n v="63000"/>
        <n v="21900"/>
        <n v="101940"/>
        <n v="6375"/>
        <n v="3120"/>
        <n v="2800"/>
        <n v="2730"/>
        <n v="10010"/>
        <n v="257472"/>
        <n v="27300"/>
        <n v="281988"/>
        <n v="81000"/>
        <n v="23563"/>
        <n v="18114"/>
        <n v="12800"/>
        <n v="27981"/>
        <n v="379000"/>
        <n v="27600"/>
        <n v="11600"/>
        <n v="42000"/>
        <n v="9240"/>
        <n v="107500"/>
        <n v="8250"/>
        <n v="16750"/>
        <n v="477000"/>
        <n v="267000"/>
        <n v="531000"/>
        <n v="5390"/>
        <n v="99000"/>
        <n v="18040"/>
        <n v="45100"/>
        <n v="69600"/>
        <n v="-27500"/>
        <n v="22000"/>
        <n v="33900"/>
        <n v="109000"/>
        <n v="10350"/>
        <n v="6900"/>
        <n v="25110"/>
        <n v="4900"/>
        <n v="283710"/>
        <n v="12600"/>
        <n v="11900"/>
        <n v="12665"/>
        <n v="2500"/>
        <n v="14080"/>
        <n v="24100"/>
        <n v="28575"/>
        <n v="44325"/>
        <n v="37800"/>
        <n v="32400"/>
        <n v="33915"/>
        <n v="91080"/>
        <n v="59064"/>
        <n v="24900"/>
        <n v="17900"/>
        <n v="24080"/>
        <n v="38500"/>
        <n v="13160"/>
        <n v="48000"/>
        <n v="58000"/>
        <n v="10625"/>
        <n v="15725"/>
        <n v="15300"/>
        <n v="16575"/>
        <n v="49950"/>
        <n v="37450"/>
        <n v="11000"/>
        <n v="62900"/>
        <n v="5100"/>
        <n v="8720"/>
        <n v="408600"/>
        <n v="291000"/>
        <n v="13410"/>
        <n v="935"/>
        <n v="55930"/>
        <n v="47920"/>
        <n v="2805"/>
        <n v="15980"/>
        <n v="1445"/>
        <n v="41370"/>
        <n v="28620"/>
        <n v="11610"/>
        <n v="7110"/>
        <n v="23940"/>
        <n v="86080"/>
        <n v="28640"/>
        <n v="5525"/>
        <n v="76000"/>
        <n v="17083"/>
        <n v="1472"/>
        <n v="52723"/>
        <n v="4418"/>
        <n v="1963"/>
        <n v="9425"/>
        <n v="59250"/>
        <n v="5467"/>
        <n v="10934"/>
        <n v="781"/>
        <n v="12070"/>
        <n v="3905"/>
        <n v="4686"/>
        <n v="17700"/>
        <n v="59100"/>
        <n v="65100"/>
        <n v="34600"/>
        <n v="3900"/>
        <n v="2975"/>
        <n v="53800"/>
        <n v="1275"/>
        <n v="7225"/>
        <n v="7840"/>
        <n v="113778"/>
        <n v="10200"/>
        <n v="2550"/>
        <n v="10000"/>
        <n v="1500"/>
        <n v="26500"/>
        <n v="85330"/>
        <n v="23730"/>
        <n v="21600"/>
        <n v="40868"/>
        <n v="120000"/>
        <n v="48600"/>
        <n v="15400"/>
        <n v="23325"/>
        <n v="800"/>
        <n v="7200"/>
        <n v="1650"/>
        <n v="3650"/>
        <n v="-1650"/>
        <n v="-3650"/>
        <n v="17430"/>
        <n v="13250"/>
        <n v="145300"/>
        <n v="29600"/>
        <n v="68400"/>
        <n v="50000"/>
        <n v="2400"/>
        <n v="12000"/>
        <n v="2200"/>
        <n v="17850"/>
        <n v="14110"/>
        <n v="26320"/>
        <n v="258970"/>
        <n v="4250"/>
        <n v="18320"/>
        <n v="7560"/>
        <n v="7500"/>
        <n v="13900"/>
        <n v="9700"/>
        <n v="13800"/>
        <n v="15900"/>
        <n v="20250"/>
        <n v="18900"/>
        <n v="37400"/>
        <n v="10500"/>
        <n v="73800"/>
        <n v="45900"/>
        <n v="20700"/>
        <n v="1980"/>
        <n v="28000"/>
        <n v="37050"/>
        <n v="4760"/>
        <n v="8925"/>
        <n v="32250"/>
        <n v="90797"/>
        <n v="17640"/>
        <n v="10710"/>
        <n v="119920"/>
        <n v="31200"/>
        <n v="19000"/>
        <n v="6460"/>
        <n v="69000"/>
        <n v="157041"/>
        <n v="9720"/>
        <n v="1800"/>
        <n v="14560"/>
        <n v="690000"/>
        <n v="36750"/>
        <n v="67500"/>
        <n v="39000"/>
        <n v="229300"/>
        <n v="11200"/>
        <n v="16650"/>
        <n v="41000"/>
        <n v="270"/>
        <n v="4329"/>
        <n v="20323"/>
        <n v="612700"/>
        <n v="23500"/>
        <n v="17520"/>
        <n v="60000"/>
        <n v="-12665"/>
        <n v="94000"/>
        <n v="59900"/>
        <n v="165750"/>
        <n v="90000"/>
        <n v="16000"/>
        <n v="845000"/>
        <n v="61950"/>
        <n v="206000"/>
        <n v="61900"/>
        <n v="16200"/>
        <n v="2945"/>
        <n v="200000"/>
        <n v="2950"/>
        <n v="72000"/>
        <n v="9600"/>
        <n v="19600"/>
        <n v="4750"/>
        <n v="1400"/>
        <n v="8260"/>
        <n v="87000"/>
        <n v="39900"/>
        <n v="3500"/>
        <n v="9300"/>
        <n v="296160"/>
        <n v="3440"/>
        <n v="2310"/>
        <n v="2125"/>
        <n v="4675"/>
        <n v="12460"/>
        <n v="5810"/>
        <n v="11620"/>
        <n v="30000"/>
        <n v="6500"/>
        <n v="33250"/>
        <n v="5200"/>
        <n v="-4620"/>
        <n v="17574"/>
        <n v="10800"/>
        <n v="7350"/>
        <n v="28900"/>
        <n v="29750"/>
        <n v="25200"/>
        <n v="3080"/>
        <n v="192000"/>
        <n v="225000"/>
        <n v="125000"/>
        <n v="7480"/>
        <n v="6930"/>
        <n v="-157041"/>
        <n v="196314"/>
        <n v="6450"/>
        <n v="5280"/>
        <n v="601000"/>
        <n v="6210"/>
        <n v="5900"/>
        <n v="13600"/>
        <n v="11400"/>
        <n v="12700"/>
        <n v="67140"/>
        <n v="16600"/>
        <n v="17600"/>
        <n v="5310"/>
        <n v="12763"/>
        <n v="232800"/>
        <n v="21100"/>
        <n v="24400"/>
        <n v="6120"/>
        <n v="6545"/>
        <n v="110000"/>
        <n v="82500"/>
        <n v="29800"/>
        <n v="14950"/>
        <n v="9327"/>
        <n v="19400"/>
        <n v="20029"/>
        <n v="18000"/>
        <n v="17000"/>
        <n v="5610"/>
        <n v="132300"/>
        <n v="44700"/>
        <n v="6600"/>
        <n v="17100"/>
        <n v="96000"/>
        <n v="59200"/>
        <n v="65520"/>
        <n v="40000"/>
        <n v="12420"/>
        <n v="17820"/>
        <n v="24000"/>
        <n v="11475"/>
        <n v="24780"/>
        <n v="6860"/>
        <n v="6650"/>
        <n v="91800"/>
        <n v="54900"/>
        <n v="5840"/>
        <n v="52425"/>
        <n v="46900"/>
        <n v="11250"/>
        <n v="5700"/>
        <n v="15200"/>
        <n v="16500"/>
        <n v="500"/>
        <n v="2640"/>
        <n v="2000"/>
        <n v="6400"/>
        <n v="25500"/>
        <n v="13000"/>
        <n v="17300"/>
        <n v="2300"/>
        <n v="19250"/>
        <n v="44000"/>
        <n v="4400"/>
        <n v="37112"/>
        <n v="12538"/>
        <n v="15905"/>
        <n v="18050"/>
        <n v="90250"/>
        <n v="7069"/>
        <n v="8149"/>
        <n v="14629"/>
        <n v="1870"/>
        <n v="3315"/>
        <n v="14500"/>
        <n v="13100"/>
        <n v="69500" u="1"/>
        <n v="65750" u="1"/>
        <n v="359700" u="1"/>
        <n v="94400" u="1"/>
        <n v="326025" u="1"/>
        <n v="83000" u="1"/>
        <n v="68250" u="1"/>
        <n v="102465" u="1"/>
        <n v="89100" u="1"/>
        <n v="170775" u="1"/>
        <n v="148500" u="1"/>
        <n v="44550" u="1"/>
        <n v="1439475" u="1"/>
        <n v="65250" u="1"/>
        <n v="41500" u="1"/>
        <n v="87300" u="1"/>
        <n v="4100" u="1"/>
        <n v="450408" u="1"/>
        <n v="262738" u="1"/>
        <n v="938350" u="1"/>
        <n v="471240" u="1"/>
        <n v="522720" u="1"/>
        <n v="64500" u="1"/>
        <n v="111900" u="1"/>
        <n v="429000" u="1"/>
        <n v="131500" u="1"/>
        <n v="136300" u="1"/>
        <n v="1240000" u="1"/>
        <n v="4650000" u="1"/>
        <n v="290000" u="1"/>
        <n v="79030" u="1"/>
        <n v="130500" u="1"/>
        <n v="128500" u="1"/>
        <n v="64000" u="1"/>
        <n v="259000" u="1"/>
        <n v="175000" u="1"/>
        <n v="340000" u="1"/>
        <n v="208500" u="1"/>
        <n v="29950" u="1"/>
        <n v="268500" u="1"/>
        <n v="799000" u="1"/>
        <n v="235407" u="1"/>
        <n v="80955" u="1"/>
        <n v="110955" u="1"/>
        <n v="40455" u="1"/>
        <n v="28950" u="1"/>
        <n v="27950" u="1"/>
        <n v="109950" u="1"/>
        <n v="395258" u="1"/>
        <n v="59950" u="1"/>
        <n v="39950" u="1"/>
        <n v="76650" u="1"/>
        <n v="19950" u="1"/>
        <n v="100000" u="1"/>
        <n v="86000" u="1"/>
        <n v="62775" u="1"/>
        <n v="67275" u="1"/>
        <n v="10125" u="1"/>
        <n v="11025" u="1"/>
        <n v="42350" u="1"/>
        <n v="12250" u="1"/>
        <n v="2475" u="1"/>
        <n v="3950" u="1"/>
        <n v="18750" u="1"/>
        <n v="12450" u="1"/>
        <n v="3750" u="1"/>
        <n v="6050" u="1"/>
        <n v="4150" u="1"/>
        <n v="250" u="1"/>
        <n v="64750" u="1"/>
        <n v="41206" u="1"/>
        <n v="34314" u="1"/>
        <n v="97902" u="1"/>
        <n v="62500" u="1"/>
        <n v="207500" u="1"/>
        <n v="22050" u="1"/>
        <n v="22500" u="1"/>
        <n v="100485" u="1"/>
        <n v="18500" u="1"/>
        <n v="5950" u="1"/>
        <n v="2750" u="1"/>
        <n v="3300" u="1"/>
        <n v="9400" u="1"/>
        <n v="23100" u="1"/>
        <n v="34200" u="1"/>
        <n v="525000" u="1"/>
        <n v="940000" u="1"/>
        <n v="34500" u="1"/>
        <n v="38520" u="1"/>
        <n v="21250" u="1"/>
        <n v="26000" u="1"/>
        <n v="1062" u="1"/>
        <n v="3675" u="1"/>
        <n v="980" u="1"/>
        <n v="175" u="1"/>
        <n v="24250" u="1"/>
        <n v="10450" u="1"/>
        <n v="37500" u="1"/>
        <n v="7400" u="1"/>
        <n v="2100" u="1"/>
        <n v="21000" u="1"/>
        <n v="18800" u="1"/>
        <n v="13350" u="1"/>
        <n v="23200" u="1"/>
        <n v="2850" u="1"/>
        <n v="5450" u="1"/>
        <n v="15021" u="1"/>
        <n v="7314" u="1"/>
        <n v="87500" u="1"/>
        <n v="8750" u="1"/>
        <n v="33000" u="1"/>
        <n v="6250" u="1"/>
        <n v="7000" u="1"/>
        <n v="42500" u="1"/>
        <n v="25650" u="1"/>
        <n v="20000" u="1"/>
        <n v="165000" u="1"/>
        <n v="43000" u="1"/>
        <n v="17250" u="1"/>
        <n v="5250" u="1"/>
        <n v="47600" u="1"/>
        <n v="4800" u="1"/>
        <n v="19450" u="1"/>
        <n v="16396" u="1"/>
        <n v="47500" u="1"/>
        <n v="41950" u="1"/>
        <n v="61500" u="1"/>
        <n v="7658" u="1"/>
        <n v="23400" u="1"/>
        <n v="37000" u="1"/>
        <n v="-4950" u="1"/>
        <n v="-490810" u="1"/>
        <n v="-4130" u="1"/>
        <n v="-13500" u="1"/>
        <n v="-6750" u="1"/>
        <n v="-6000" u="1"/>
        <n v="-5850" u="1"/>
        <n v="-70890" u="1"/>
        <n v="-8000" u="1"/>
        <n v="-7700" u="1"/>
        <n v="-14900" u="1"/>
        <n v="-8900" u="1"/>
        <n v="-306000" u="1"/>
        <n v="-270000" u="1"/>
        <n v="-235500" u="1"/>
        <n v="-19500" u="1"/>
        <n v="-5443" u="1"/>
        <n v="-5862" u="1"/>
        <n v="-35100" u="1"/>
        <n v="-72500" u="1"/>
        <n v="-3920" u="1"/>
        <n v="-17500" u="1"/>
        <n v="-27930" u="1"/>
        <n v="-56630" u="1"/>
        <n v="-12900" u="1"/>
        <n v="-45450" u="1"/>
        <n v="-60950" u="1"/>
        <n v="-9900" u="1"/>
        <n v="-3400" u="1"/>
        <n v="-3000" u="1"/>
        <n v="-69500" u="1"/>
        <n v="-16900" u="1"/>
        <n v="-19900" u="1"/>
        <n v="-17000" u="1"/>
        <n v="-65750" u="1"/>
        <n v="-359700" u="1"/>
        <n v="-7990" u="1"/>
        <n v="-7055" u="1"/>
        <n v="-2380" u="1"/>
        <n v="-94400" u="1"/>
        <n v="-326025" u="1"/>
        <n v="-7140" u="1"/>
        <n v="-4500" u="1"/>
        <n v="-7920" u="1"/>
        <n v="-110000" u="1"/>
        <n v="-60000" u="1"/>
        <n v="-83000" u="1"/>
        <n v="-68250" u="1"/>
        <n v="-7650" u="1"/>
        <n v="-29000" u="1"/>
        <n v="-35000" u="1"/>
        <n v="-102465" u="1"/>
        <n v="-89100" u="1"/>
        <n v="-170775" u="1"/>
        <n v="-148500" u="1"/>
        <n v="-44550" u="1"/>
        <n v="-10000" u="1"/>
        <n v="-49000" u="1"/>
        <n v="-1439475" u="1"/>
        <n v="-9500" u="1"/>
        <n v="-27900" u="1"/>
        <n v="-45000" u="1"/>
        <n v="-13860" u="1"/>
        <n v="-10780" u="1"/>
        <n v="-8100" u="1"/>
        <n v="-559000" u="1"/>
        <n v="-8500" u="1"/>
        <n v="-65250" u="1"/>
        <n v="-41500" u="1"/>
        <n v="-15000" u="1"/>
        <n v="-25000" u="1"/>
        <n v="-1404480" u="1"/>
        <n v="-44755" u="1"/>
        <n v="-29900" u="1"/>
        <n v="-39170" u="1"/>
        <n v="-14025" u="1"/>
        <n v="-31450" u="1"/>
        <n v="-24225" u="1"/>
        <n v="-12325" u="1"/>
        <n v="-425" u="1"/>
        <n v="-5400" u="1"/>
        <n v="-87300" u="1"/>
        <n v="-4100" u="1"/>
        <n v="-150000" u="1"/>
        <n v="-46500" u="1"/>
        <n v="-7900" u="1"/>
        <n v="-286380" u="1"/>
        <n v="-184464" u="1"/>
        <n v="-9000" u="1"/>
        <n v="-796549" u="1"/>
        <n v="-855000" u="1"/>
        <n v="-216000" u="1"/>
        <n v="-241704" u="1"/>
        <n v="-2700" u="1"/>
        <n v="-450408" u="1"/>
        <n v="-262738" u="1"/>
        <n v="-938350" u="1"/>
        <n v="-471240" u="1"/>
        <n v="-522720" u="1"/>
        <n v="-64500" u="1"/>
        <n v="-111900" u="1"/>
        <n v="-20900" u="1"/>
        <n v="-429000" u="1"/>
        <n v="-131500" u="1"/>
        <n v="-136300" u="1"/>
        <n v="-1240000" u="1"/>
        <n v="-4650000" u="1"/>
        <n v="-290000" u="1"/>
        <n v="-79030" u="1"/>
        <n v="-130500" u="1"/>
        <n v="-128500" u="1"/>
        <n v="-64000" u="1"/>
        <n v="-39600" u="1"/>
        <n v="-11600" u="1"/>
        <n v="-259000" u="1"/>
        <n v="-175000" u="1"/>
        <n v="-48000" u="1"/>
        <n v="-58000" u="1"/>
        <n v="-14000" u="1"/>
        <n v="-340000" u="1"/>
        <n v="-9750" u="1"/>
        <n v="-10950" u="1"/>
        <n v="-12750" u="1"/>
        <n v="-10750" u="1"/>
        <n v="-11950" u="1"/>
        <n v="-6800" u="1"/>
        <n v="-6160" u="1"/>
        <n v="-13750" u="1"/>
        <n v="-15250" u="1"/>
        <n v="-208500" u="1"/>
        <n v="-15840" u="1"/>
        <n v="-5500" u="1"/>
        <n v="-1000" u="1"/>
        <n v="-42750" u="1"/>
        <n v="211986" u="1"/>
        <n v="185472" u="1"/>
        <n v="-124500" u="1"/>
        <n v="-15600" u="1"/>
        <n v="-20720" u="1"/>
        <n v="-112500" u="1"/>
        <n v="-229500" u="1"/>
        <n v="-27000" u="1"/>
        <n v="-45500" u="1"/>
        <n v="-52000" u="1"/>
        <n v="-15750" u="1"/>
        <n v="-2250" u="1"/>
        <n v="-540" u="1"/>
        <n v="-3100" u="1"/>
        <n v="-29950" u="1"/>
        <n v="-29700" u="1"/>
        <n v="-93800" u="1"/>
        <n v="-149900" u="1"/>
        <n v="-55000" u="1"/>
        <n v="-190000" u="1"/>
        <n v="-144960" u="1"/>
        <n v="-34000" u="1"/>
        <n v="-15210" u="1"/>
        <n v="-12510" u="1"/>
        <n v="-6300" u="1"/>
        <n v="-7040" u="1"/>
        <n v="-14280" u="1"/>
        <n v="-8330" u="1"/>
        <n v="-2890" u="1"/>
        <n v="-21500" u="1"/>
        <n v="-71900" u="1"/>
        <n v="-361000" u="1"/>
        <n v="-8800" u="1"/>
        <n v="-11700" u="1"/>
        <n v="-8400" u="1"/>
        <n v="-4200" u="1"/>
        <n v="-49147" u="1"/>
        <n v="-16400" u="1"/>
        <n v="-15218" u="1"/>
        <n v="-57477" u="1"/>
        <n v="-39500" u="1"/>
        <n v="-60858" u="1"/>
        <n v="-268500" u="1"/>
        <n v="-799000" u="1"/>
        <n v="-139000" u="1"/>
        <n v="-189000" u="1"/>
        <n v="-219500" u="1"/>
        <n v="-32500" u="1"/>
        <n v="-520650" u="1"/>
        <n v="-3850" u="1"/>
        <n v="-1540" u="1"/>
        <n v="-770" u="1"/>
        <n v="-11730" u="1"/>
        <n v="-1600" u="1"/>
        <n v="-11440" u="1"/>
        <n v="-11520" u="1"/>
        <n v="-235407" u="1"/>
        <n v="-28800" u="1"/>
        <n v="-121600" u="1"/>
        <n v="-16950" u="1"/>
        <n v="-41884" u="1"/>
        <n v="-46125" u="1"/>
        <n v="-18644" u="1"/>
        <n v="-478000" u="1"/>
        <n v="-130000" u="1"/>
        <n v="-12500" u="1"/>
        <n v="-32000" u="1"/>
        <n v="-78000" u="1"/>
        <n v="-98000" u="1"/>
        <n v="-29500" u="1"/>
        <n v="-44500" u="1"/>
        <n v="-65000" u="1"/>
        <n v="-24500" u="1"/>
        <n v="-5000" u="1"/>
        <n v="-4050" u="1"/>
        <n v="-14800" u="1"/>
        <n v="-19800" u="1"/>
        <n v="-3570" u="1"/>
        <n v="-51200" u="1"/>
        <n v="-89000" u="1"/>
        <n v="-80955" u="1"/>
        <n v="-110955" u="1"/>
        <n v="-40455" u="1"/>
        <n v="-28950" u="1"/>
        <n v="-27950" u="1"/>
        <n v="-36000" u="1"/>
        <n v="-63000" u="1"/>
        <n v="-109950" u="1"/>
        <n v="-21900" u="1"/>
        <n v="-395258" u="1"/>
        <n v="-101940" u="1"/>
        <n v="-6375" u="1"/>
        <n v="-3120" u="1"/>
        <n v="-2800" u="1"/>
        <n v="-2730" u="1"/>
        <n v="-10010" u="1"/>
        <n v="-257472" u="1"/>
        <n v="-27300" u="1"/>
        <n v="-281988" u="1"/>
        <n v="-81000" u="1"/>
        <n v="-23563" u="1"/>
        <n v="-18114" u="1"/>
        <n v="-12800" u="1"/>
        <n v="-27981" u="1"/>
        <n v="-379000" u="1"/>
        <n v="-27600" u="1"/>
        <n v="-42000" u="1"/>
        <n v="-9240" u="1"/>
        <n v="-107500" u="1"/>
        <n v="-8250" u="1"/>
        <n v="-16750" u="1"/>
        <n v="-39000" u="1"/>
        <n v="-59950" u="1"/>
        <n v="-39950" u="1"/>
        <n v="-477000" u="1"/>
        <n v="-267000" u="1"/>
        <n v="-531000" u="1"/>
        <n v="-5390" u="1"/>
        <n v="-99000" u="1"/>
        <n v="-18040" u="1"/>
        <n v="-45100" u="1"/>
        <n v="-69600" u="1"/>
        <n v="-22000" u="1"/>
        <n v="-33900" u="1"/>
        <n v="-109000" u="1"/>
        <n v="-10350" u="1"/>
        <n v="-6900" u="1"/>
        <n v="-25110" u="1"/>
        <n v="-4900" u="1"/>
        <n v="-76650" u="1"/>
        <n v="-19950" u="1"/>
        <n v="-283710" u="1"/>
        <n v="-12600" u="1"/>
        <n v="-11900" u="1"/>
        <n v="-2500" u="1"/>
        <n v="-14080" u="1"/>
        <n v="-40000" u="1"/>
        <n v="-100000" u="1"/>
        <n v="-86000" u="1"/>
        <n v="-24100" u="1"/>
        <n v="-28575" u="1"/>
        <n v="-44325" u="1"/>
        <n v="-62775" u="1"/>
        <n v="-67275" u="1"/>
        <n v="-10125" u="1"/>
        <n v="-11025" u="1"/>
        <n v="-37800" u="1"/>
        <n v="-42350" u="1"/>
        <n v="-32400" u="1"/>
        <n v="-33915" u="1"/>
        <n v="-91080" u="1"/>
        <n v="-59064" u="1"/>
        <n v="-24900" u="1"/>
        <n v="-12250" u="1"/>
        <n v="-17900" u="1"/>
        <n v="-24080" u="1"/>
        <n v="-38500" u="1"/>
        <n v="-13160" u="1"/>
        <n v="-2475" u="1"/>
        <n v="-3950" u="1"/>
        <n v="-10625" u="1"/>
        <n v="-15725" u="1"/>
        <n v="-15300" u="1"/>
        <n v="-16575" u="1"/>
        <n v="-49950" u="1"/>
        <n v="-37450" u="1"/>
        <n v="-11000" u="1"/>
        <n v="-62900" u="1"/>
        <n v="-5100" u="1"/>
        <n v="-18750" u="1"/>
        <n v="-8720" u="1"/>
        <n v="-408600" u="1"/>
        <n v="-291000" u="1"/>
        <n v="-13410" u="1"/>
        <n v="-16000" u="1"/>
        <n v="-935" u="1"/>
        <n v="-55930" u="1"/>
        <n v="-47920" u="1"/>
        <n v="-2805" u="1"/>
        <n v="-15980" u="1"/>
        <n v="-1445" u="1"/>
        <n v="-41370" u="1"/>
        <n v="-50000" u="1"/>
        <n v="-28620" u="1"/>
        <n v="-11610" u="1"/>
        <n v="-7110" u="1"/>
        <n v="-12450" u="1"/>
        <n v="-14950" u="1"/>
        <n v="-23940" u="1"/>
        <n v="-86080" u="1"/>
        <n v="-28640" u="1"/>
        <n v="-5525" u="1"/>
        <n v="-76000" u="1"/>
        <n v="-3750" u="1"/>
        <n v="-6050" u="1"/>
        <n v="-4150" u="1"/>
        <n v="-250" u="1"/>
        <n v="-17083" u="1"/>
        <n v="-1472" u="1"/>
        <n v="-52723" u="1"/>
        <n v="-4418" u="1"/>
        <n v="-1963" u="1"/>
        <n v="-9425" u="1"/>
        <n v="-59250" u="1"/>
        <n v="-5467" u="1"/>
        <n v="-10934" u="1"/>
        <n v="-781" u="1"/>
        <n v="-12070" u="1"/>
        <n v="-3905" u="1"/>
        <n v="-4686" u="1"/>
        <n v="-17700" u="1"/>
        <n v="-59100" u="1"/>
        <n v="-65100" u="1"/>
        <n v="-34600" u="1"/>
        <n v="-3900" u="1"/>
        <n v="-2975" u="1"/>
        <n v="-53800" u="1"/>
        <n v="-1275" u="1"/>
        <n v="-7225" u="1"/>
        <n v="-7840" u="1"/>
        <n v="-113778" u="1"/>
        <n v="-10200" u="1"/>
        <n v="-2550" u="1"/>
        <n v="-1500" u="1"/>
        <n v="-26500" u="1"/>
        <n v="-85330" u="1"/>
        <n v="-23730" u="1"/>
        <n v="-21600" u="1"/>
        <n v="-40868" u="1"/>
        <n v="-120000" u="1"/>
        <n v="-48600" u="1"/>
        <n v="-15400" u="1"/>
        <n v="-23325" u="1"/>
        <n v="-800" u="1"/>
        <n v="-7200" u="1"/>
        <n v="-17430" u="1"/>
        <n v="-13250" u="1"/>
        <n v="-64750" u="1"/>
        <n v="-145300" u="1"/>
        <n v="-29600" u="1"/>
        <n v="-68400" u="1"/>
        <n v="-2400" u="1"/>
        <n v="-12000" u="1"/>
        <n v="-41206" u="1"/>
        <n v="-34314" u="1"/>
        <n v="-2200" u="1"/>
        <n v="-17850" u="1"/>
        <n v="-14110" u="1"/>
        <n v="-97902" u="1"/>
        <n v="-26320" u="1"/>
        <n v="-62500" u="1"/>
        <n v="-207500" u="1"/>
        <n v="-22050" u="1"/>
        <n v="-258970" u="1"/>
        <n v="-30000" u="1"/>
        <n v="-22500" u="1"/>
        <n v="-4250" u="1"/>
        <n v="-18320" u="1"/>
        <n v="-100485" u="1"/>
        <n v="-7560" u="1"/>
        <n v="-7500" u="1"/>
        <n v="-13900" u="1"/>
        <n v="-9700" u="1"/>
        <n v="-18500" u="1"/>
        <n v="-5950" u="1"/>
        <n v="-2750" u="1"/>
        <n v="-13800" u="1"/>
        <n v="-15900" u="1"/>
        <n v="-3300" u="1"/>
        <n v="-9400" u="1"/>
        <n v="-20250" u="1"/>
        <n v="-18900" u="1"/>
        <n v="-37400" u="1"/>
        <n v="-10500" u="1"/>
        <n v="-23100" u="1"/>
        <n v="-73800" u="1"/>
        <n v="-45900" u="1"/>
        <n v="-20700" u="1"/>
        <n v="-1980" u="1"/>
        <n v="-28000" u="1"/>
        <n v="-37050" u="1"/>
        <n v="-34200" u="1"/>
        <n v="-525000" u="1"/>
        <n v="-940000" u="1"/>
        <n v="-4760" u="1"/>
        <n v="-8925" u="1"/>
        <n v="-32250" u="1"/>
        <n v="-34500" u="1"/>
        <n v="-90797" u="1"/>
        <n v="-17640" u="1"/>
        <n v="-10710" u="1"/>
        <n v="-119920" u="1"/>
        <n v="-31200" u="1"/>
        <n v="-19000" u="1"/>
        <n v="-6460" u="1"/>
        <n v="-69000" u="1"/>
        <n v="-38520" u="1"/>
        <n v="-9720" u="1"/>
        <n v="-1800" u="1"/>
        <n v="-14560" u="1"/>
        <n v="-690000" u="1"/>
        <n v="-36750" u="1"/>
        <n v="-67500" u="1"/>
        <n v="-229300" u="1"/>
        <n v="-11200" u="1"/>
        <n v="-16650" u="1"/>
        <n v="-41000" u="1"/>
        <n v="-270" u="1"/>
        <n v="-4329" u="1"/>
        <n v="-20323" u="1"/>
        <n v="-612700" u="1"/>
        <n v="-23500" u="1"/>
        <n v="-17520" u="1"/>
        <n v="-94000" u="1"/>
        <n v="-59900" u="1"/>
        <n v="-165750" u="1"/>
        <n v="-21250" u="1"/>
        <n v="-90000" u="1"/>
        <n v="-845000" u="1"/>
        <n v="-61950" u="1"/>
        <n v="-206000" u="1"/>
        <n v="-61900" u="1"/>
        <n v="-16200" u="1"/>
        <n v="-2945" u="1"/>
        <n v="-200000" u="1"/>
        <n v="-2950" u="1"/>
        <n v="-72000" u="1"/>
        <n v="-9600" u="1"/>
        <n v="-19600" u="1"/>
        <n v="-4750" u="1"/>
        <n v="-1400" u="1"/>
        <n v="-8260" u="1"/>
        <n v="-26000" u="1"/>
        <n v="-87000" u="1"/>
        <n v="-39900" u="1"/>
        <n v="-3500" u="1"/>
        <n v="-1062" u="1"/>
        <n v="-3675" u="1"/>
        <n v="-980" u="1"/>
        <n v="-175" u="1"/>
        <n v="-9300" u="1"/>
        <n v="-296160" u="1"/>
        <n v="-16500" u="1"/>
        <n v="-24250" u="1"/>
        <n v="-3440" u="1"/>
        <n v="-2310" u="1"/>
        <n v="-2125" u="1"/>
        <n v="-4675" u="1"/>
        <n v="-12460" u="1"/>
        <n v="-10450" u="1"/>
        <n v="-5810" u="1"/>
        <n v="-11620" u="1"/>
        <n v="-37500" u="1"/>
        <n v="-6500" u="1"/>
        <n v="-33250" u="1"/>
        <n v="-7400" u="1"/>
        <n v="-5200" u="1"/>
        <n v="-13000" u="1"/>
        <n v="-17574" u="1"/>
        <n v="-10800" u="1"/>
        <n v="-7350" u="1"/>
        <n v="-28900" u="1"/>
        <n v="-29750" u="1"/>
        <n v="-25200" u="1"/>
        <n v="-3080" u="1"/>
        <n v="-2100" u="1"/>
        <n v="-21000" u="1"/>
        <n v="-192000" u="1"/>
        <n v="-225000" u="1"/>
        <n v="-125000" u="1"/>
        <n v="-7480" u="1"/>
        <n v="-6930" u="1"/>
        <n v="-196314" u="1"/>
        <n v="-6450" u="1"/>
        <n v="-5280" u="1"/>
        <n v="-601000" u="1"/>
        <n v="-6210" u="1"/>
        <n v="-18800" u="1"/>
        <n v="-5900" u="1"/>
        <n v="-24000" u="1"/>
        <n v="-13350" u="1"/>
        <n v="-13600" u="1"/>
        <n v="-11400" u="1"/>
        <n v="-12700" u="1"/>
        <n v="-23200" u="1"/>
        <n v="-2850" u="1"/>
        <n v="-67140" u="1"/>
        <n v="-5450" u="1"/>
        <n v="-16600" u="1"/>
        <n v="-15021" u="1"/>
        <n v="-7314" u="1"/>
        <n v="-17600" u="1"/>
        <n v="-87500" u="1"/>
        <n v="-8750" u="1"/>
        <n v="-5310" u="1"/>
        <n v="-33000" u="1"/>
        <n v="-12763" u="1"/>
        <n v="-6250" u="1"/>
        <n v="-232800" u="1"/>
        <n v="-7000" u="1"/>
        <n v="-21100" u="1"/>
        <n v="-24400" u="1"/>
        <n v="-6120" u="1"/>
        <n v="-6545" u="1"/>
        <n v="-82500" u="1"/>
        <n v="-29800" u="1"/>
        <n v="-9327" u="1"/>
        <n v="-19400" u="1"/>
        <n v="-20029" u="1"/>
        <n v="-18000" u="1"/>
        <n v="-42500" u="1"/>
        <n v="-5610" u="1"/>
        <n v="-25650" u="1"/>
        <n v="-132300" u="1"/>
        <n v="-44700" u="1"/>
        <n v="-20000" u="1"/>
        <n v="-6600" u="1"/>
        <n v="-165000" u="1"/>
        <n v="-17100" u="1"/>
        <n v="-96000" u="1"/>
        <n v="-59200" u="1"/>
        <n v="-65520" u="1"/>
        <n v="-43000" u="1"/>
        <n v="-12420" u="1"/>
        <n v="-17820" u="1"/>
        <n v="-11475" u="1"/>
        <n v="-24780" u="1"/>
        <n v="-6860" u="1"/>
        <n v="-6650" u="1"/>
        <n v="-5700" u="1"/>
        <n v="-17250" u="1"/>
        <n v="-5250" u="1"/>
        <n v="-91800" u="1"/>
        <n v="-54900" u="1"/>
        <n v="-5840" u="1"/>
        <n v="-52425" u="1"/>
        <n v="-46900" u="1"/>
        <n v="-17300" u="1"/>
        <n v="-47600" u="1"/>
        <n v="-11250" u="1"/>
        <n v="-4800" u="1"/>
        <n v="-19450" u="1"/>
        <n v="-16396" u="1"/>
        <n v="-47500" u="1"/>
        <n v="-15200" u="1"/>
        <n v="-500" u="1"/>
        <n v="-41950" u="1"/>
        <n v="-2640" u="1"/>
        <n v="-2000" u="1"/>
        <n v="-61500" u="1"/>
        <n v="-7658" u="1"/>
        <n v="-6400" u="1"/>
        <n v="-25500" u="1"/>
        <n v="-2300" u="1"/>
        <n v="-19250" u="1"/>
        <n v="-44000" u="1"/>
        <n v="-4400" u="1"/>
        <n v="-23400" u="1"/>
        <n v="-37112" u="1"/>
        <n v="-12538" u="1"/>
        <n v="-15905" u="1"/>
        <n v="-18050" u="1"/>
        <n v="-90250" u="1"/>
        <n v="-7069" u="1"/>
        <n v="-8149" u="1"/>
        <n v="-14629" u="1"/>
        <n v="-37000" u="1"/>
        <n v="-1870" u="1"/>
        <n v="-3315" u="1"/>
        <n v="-14500" u="1"/>
        <n v="-13100" u="1"/>
        <n v="0" u="1"/>
        <n v="174960" u="1"/>
        <n v="154000" u="1"/>
        <n v="138600" u="1"/>
        <n v="81529" u="1"/>
        <n v="133870" u="1"/>
        <n v="1075305" u="1"/>
        <n v="109999.9" u="1"/>
        <n v="297000" u="1"/>
        <n v="8999.9" u="1"/>
        <n v="619000" u="1"/>
        <n v="439000" u="1"/>
        <n v="109999" u="1"/>
        <n v="54999" u="1"/>
        <n v="250000" u="1"/>
        <n v="367200" u="1"/>
        <n v="323720" u="1"/>
        <n v="413100" u="1"/>
        <n v="309000" u="1"/>
        <n v="459000" u="1"/>
        <n v="333720" u="1"/>
        <n v="253935" u="1"/>
        <n v="237600" u="1"/>
        <n v="258300" u="1"/>
        <n v="317034" u="1"/>
        <n v="659900" u="1"/>
        <n v="773910" u="1"/>
        <n v="594000" u="1"/>
        <n v="-594000" u="1"/>
        <n v="104499" u="1"/>
        <n v="9002" u="1"/>
        <n v="2199998" u="1"/>
        <n v="540000" u="1"/>
        <n v="1080000" u="1"/>
        <n v="1440000" u="1"/>
        <n v="275000" u="1"/>
        <n v="89099" u="1"/>
        <n v="98999" u="1"/>
      </sharedItems>
    </cacheField>
    <cacheField name="MemberCode" numFmtId="49">
      <sharedItems count="169">
        <s v="8888000539483"/>
        <s v=""/>
        <s v="2999999929233"/>
        <s v="2999999840996"/>
        <s v="2999999842679"/>
        <s v="2910000009591"/>
        <s v="2999999997416"/>
        <s v="2910000511711"/>
        <s v="7777777906813"/>
        <s v="2910000222877"/>
        <s v="2910000579353"/>
        <s v="2900000000049"/>
        <s v="2910000102810"/>
        <s v="2910000238786"/>
        <s v="8888000392019"/>
        <s v="2999999706988"/>
        <s v="2910000319492"/>
        <s v="2999999851190"/>
        <s v="2999999843195"/>
        <s v="2999999706919"/>
        <s v="8888000317838"/>
        <s v="7777778229379"/>
        <s v="8888000028925"/>
        <s v="2910000064767"/>
        <s v="7777777981469"/>
        <s v="7777777926996"/>
        <s v="7777777779912"/>
        <s v="2910000569897"/>
        <s v="2910000013543"/>
        <s v="7777777798883"/>
        <s v="8888000265412"/>
        <s v="8888000627258"/>
        <s v="2910000035071"/>
        <s v="7777777871180"/>
        <s v="2999999833585"/>
        <s v="8888000137221"/>
        <s v="7777778079134"/>
        <s v="8888000265405"/>
        <s v="8888000419358"/>
        <s v="7777777782202"/>
        <s v="8888000443667"/>
        <s v="2911000021583"/>
        <s v="7777778072050"/>
        <s v="2999999807951"/>
        <s v="2910000390415"/>
        <s v="8888000479031"/>
        <s v="8888000384038"/>
        <s v="2910000056540"/>
        <s v="8888000366966"/>
        <s v="2999999812399"/>
        <s v="2910000448277"/>
        <s v="7777778168685"/>
        <s v="2999999709132"/>
        <s v="2998999999567"/>
        <s v="7777777903836"/>
        <s v="7777777860009"/>
        <s v="7777777787559"/>
        <s v="7777777785715"/>
        <s v="8888000065708"/>
        <s v="7777777878806"/>
        <s v="8888000220022"/>
        <s v="2910000063678"/>
        <s v="8888000379270"/>
        <s v="2999999812290"/>
        <s v="2999999958622"/>
        <s v="8888000399285"/>
        <s v="8888000440468"/>
        <s v="7777777801347"/>
        <s v="8888000373346"/>
        <s v="2999999837118"/>
        <s v="7777777885040"/>
        <s v="2999999999595"/>
        <s v="2999999814102"/>
        <s v="2910000725934"/>
        <s v="2910000488419"/>
        <s v="8888000418054"/>
        <s v="8888000361862"/>
        <s v="8888000401131"/>
        <s v="7777778259987"/>
        <s v="7777778151076"/>
        <s v="7777777866452"/>
        <s v="2911000031629"/>
        <s v="7777777780086"/>
        <s v="7777777779998"/>
        <s v="2999999809146"/>
        <s v="8888000399520"/>
        <s v="2910000117142"/>
        <s v="8888000504269"/>
        <s v="8888000069034"/>
        <s v="8888000674184"/>
        <s v="8888000384618"/>
        <s v="8888000399445"/>
        <s v="2999999807388"/>
        <s v="7777777909173"/>
        <s v="8888000141570"/>
        <s v="7777777779813"/>
        <s v="7777778255002"/>
        <s v="7777777811674"/>
        <s v="2999999859196"/>
        <s v="1000010101020099"/>
        <s v="8888000007920"/>
        <s v="2999999831291"/>
        <s v="2910000088497"/>
        <s v="7777778069180"/>
        <s v="7777777908688"/>
        <s v="8888000114208"/>
        <s v="8888000614210"/>
        <s v="7777778065601"/>
        <s v="2910000695107"/>
        <s v="2900000000056"/>
        <s v="2999999986533"/>
        <s v="8888000475408"/>
        <s v="8888000479666"/>
        <s v="8888000619475"/>
        <s v="2999999813457"/>
        <s v="2910000081306"/>
        <s v="7777778254562"/>
        <s v="2910000287531"/>
        <s v="8888000623144"/>
        <s v="8888000073796"/>
        <s v="8888000274742"/>
        <s v="2910000073837"/>
        <s v="2910000441575"/>
        <s v="2910000724050"/>
        <s v="7777777914092"/>
        <s v="2999999914932"/>
        <s v="2999999798389"/>
        <s v="8888000223160"/>
        <s v="2999999801799"/>
        <s v="7777778280042"/>
        <s v="8888000397908"/>
        <s v="2999999706933"/>
        <s v="8888000501466"/>
        <s v="2999999828512"/>
        <s v="7777777959970"/>
        <s v="7777778138398"/>
        <s v="8888000645658"/>
        <s v="7777777834000"/>
        <s v="2999999854801"/>
        <s v="8888000631378"/>
        <s v="8888000466529"/>
        <s v="8888000641476"/>
        <s v="8888000473008"/>
        <s v="8888000670858"/>
        <s v="8888000434382"/>
        <s v="2910000228084"/>
        <s v="2910000006699"/>
        <s v="2900000000018"/>
        <s v="8888000455455"/>
        <s v="2910000496308"/>
        <s v="2999999811408"/>
        <s v="7777777921632"/>
        <s v="8888000056355"/>
        <s v="8888000516071"/>
        <s v="2910000662925"/>
        <s v="2999999847919"/>
        <s v="7777777917482"/>
        <s v="8888000140696" u="1"/>
        <s v="2910000231022" u="1"/>
        <s v="7777777784473" u="1"/>
        <s v="8888000574378" u="1"/>
        <s v="8888000642916" u="1"/>
        <s v="2911000005989" u="1"/>
        <s v="2910000102520" u="1"/>
        <s v="8888000295822" u="1"/>
        <s v="7777777898682" u="1"/>
        <s v="2910000338899" u="1"/>
        <s v="2999999925419" u="1"/>
        <s v="1000010101020000" u="1"/>
      </sharedItems>
    </cacheField>
    <cacheField name="MemberName" numFmtId="49">
      <sharedItems count="168">
        <s v="Tiang Sheau Jiun"/>
        <s v=""/>
        <s v="PHAM NGUYEN VAN ANH"/>
        <s v="DUONG THI PHUONG DUYEN"/>
        <s v="HUYNH CO THUY"/>
        <s v="PHAM THUY CUC"/>
        <s v="HUYNH THI MONG TUYEN"/>
        <s v="MAI QUYNH NHU"/>
        <s v="NGUYEN PHUONG MINH"/>
        <s v="DANG THI NGOC TUYEN"/>
        <s v="HUYNH THI TRUC LAM"/>
        <s v="VO THI TRUNG HAU"/>
        <s v="NGUYEN THI THUY NHUNG"/>
        <s v="PHAN THI PHUONG THAO"/>
        <s v="Le Nguyen Huynh Nhu"/>
        <s v="BUI HOANG PHUONG THAO"/>
        <s v="LE THI MAI LINH"/>
        <s v="NGUYEN THI TRUC CHI"/>
        <s v="NGUYEN TRAN THUY DOAN"/>
        <s v="HUYNH LAM BICH QUYEN"/>
        <s v="Mai Ngoc Anh"/>
        <s v="NGUYEN THI NGOC THUY"/>
        <s v="Truong Thi Nga"/>
        <s v="VU QUOC VIET"/>
        <s v="NGUYEN NGOC HIEU NHAN"/>
        <s v="PHAM PHUONG THAO"/>
        <s v="CHUC KHANH"/>
        <s v="TRAN BAO KHUYEN"/>
        <s v="Pham Vu Anh"/>
        <s v="NGUYEN DUY HA"/>
        <s v="Nguyen Vo Ngoc Bao Chau"/>
        <s v="Nguyen Thanh Van"/>
        <s v="le thi hong hanh"/>
        <s v="NGUYEN THI HONG NGOC"/>
        <s v="DINH NGOC PHUONG KHANH"/>
        <s v="Do Quynh"/>
        <s v="PHAM GIANG PHUONG THU"/>
        <s v="Nguyen Le Truong Hai"/>
        <s v="Huynh Thi Thuy Van"/>
        <s v="MY AN"/>
        <s v="Phan Nguyen Phuong"/>
        <s v="NGUYEN THI HONG HOA"/>
        <s v="NGUYEN HOANG MY"/>
        <s v="NGUYEN NGOC HOAI DIEN"/>
        <s v="VO THI KIM LAN"/>
        <s v="NGUYEN TRAN THE VY"/>
        <s v="Nguyen Bich Thuan"/>
        <s v="TRAN LE THI CAM LAN"/>
        <s v="Huynh Thi My Huong"/>
        <s v="DAO THUY HONG PHUC"/>
        <s v="TRAN THI DIEM TRANG"/>
        <s v="NGUYEN DUY TAN"/>
        <s v="TO HONG HAI"/>
        <s v="CHU KIM XUAN"/>
        <s v="LA THANH THUAN"/>
        <s v="LE NGOC ANH"/>
        <s v="VU HOANG ANH"/>
        <s v="NGUYEN THI MINH LOC"/>
        <s v="Nguyen Mai Nhu Quynh"/>
        <s v="NGUYEN THI THANH THUY"/>
        <s v="Pham Ngan"/>
        <s v="NGUYEN PHAN NHA QUYEN"/>
        <s v="Tong Bao Tran"/>
        <s v="TRUONG THI HONG THUY"/>
        <s v="NGUYEN THI THU HANG"/>
        <s v="Huynh Vinh Phuc"/>
        <s v="Nguyen Thi Thanh Tien"/>
        <s v="NGUYEN TRONG NGHIA"/>
        <s v="Le Thanh"/>
        <s v="LE THU THAO"/>
        <s v="HO MY PHUONG"/>
        <s v="CAO MINH NGUYET"/>
        <s v="LE NGOC HOANG YEN"/>
        <s v="NGO TUAN PHU"/>
        <s v="VU THI VIET ANH"/>
        <s v="Long"/>
        <s v="kim"/>
        <s v="Ho Ngoc Thanh Thao"/>
        <s v="Nguyen Ngan"/>
        <s v="NGUYEN HONG LINH"/>
        <s v="NGUYEN THI THUY DUNG"/>
        <s v="HUYNH TAN LAP"/>
        <s v="THOATHIEN"/>
        <s v="YU MORI"/>
        <s v="DANH THANH TOAN"/>
        <s v="Nguyen Ho Gia Thinh"/>
        <s v="LUM PUI FUN CHRISTINA"/>
        <s v="Duong"/>
        <s v="the bao"/>
        <s v="Yuki Hojo"/>
        <s v="Ho Kim Anh"/>
        <s v="Nguyen Minh Nhut"/>
        <s v="PHAM THI ANH TRANG"/>
        <s v="NGUYEN HOANG NGUYEN HUONG"/>
        <s v="Huyen Truong"/>
        <s v="Nguyen kim tuyet"/>
        <s v="Nguyen Hong Nhi"/>
        <s v="NGUYENTHITHUHUONG"/>
        <s v="LE THI BICH QUY"/>
        <s v="Temp Member"/>
        <s v="Nguyen Nhu"/>
        <s v="PHAN THI THU HUONG"/>
        <s v="NGUYEN QUOC KHANH"/>
        <s v="HOANG THI THANH TRANG"/>
        <s v="TRUONG THANH HIEU"/>
        <s v="Dinh Nguyen Nguyet Hang"/>
        <s v="PHAM HOANG PHUONG"/>
        <s v="LUC TUYET NHI"/>
        <s v="LU GIA HAO"/>
        <s v="LE THI NGOC TU"/>
        <s v="NGUYEN PHUONG NGAN"/>
        <s v="Nguyen Thi Hoang Oanh"/>
        <s v="Vu To Gia Bao"/>
        <s v="364925754"/>
        <s v="LE THI XUAN HONG"/>
        <s v="NGUYEN THI THU HONG"/>
        <s v="Tong thi thu huyen"/>
        <s v="NGUYEN HUU TRI"/>
        <s v="nagase"/>
        <s v="nguyen thao anh thy"/>
        <s v="Nguyen Thi Thuy Huyen"/>
        <s v="VO PHAM VIET NGA"/>
        <s v="NGUYEN THUY NGOC NHU"/>
        <s v="HON VI QUOC"/>
        <s v="NGUYEN HUONG"/>
        <s v="NGUYEN NGOC HAI DANG"/>
        <s v="SATO AKIHIRO"/>
        <s v="Luu Thi Hoang Oanh"/>
        <s v="VO THI TRUC PHUONG"/>
        <s v="LIEN NHI"/>
        <s v="NGUYEN THI HUYEN"/>
        <s v="NGUYEN THI HUYEN TRANG"/>
        <s v="Silvianguyen"/>
        <s v="NGUYEN THI NGOC YEN"/>
        <s v="NGUYEN THI NHU PHUONG"/>
        <s v="Nguyen Ngoc Diep"/>
        <s v="Quynh Giang"/>
        <s v="NGUYEN PHUC HAU"/>
        <s v="LE TRAN PHUONG NGOC"/>
        <s v="Nguyen Thanh Phat"/>
        <s v="Pham Quoc Hung"/>
        <s v="do khanh doan"/>
        <s v="Nguyen Thanh Hien"/>
        <s v="Nguyen Thien Tri"/>
        <s v="NGUYEN HONG THUYEN"/>
        <s v="MA LE THAO AN"/>
        <s v="LE HUU HUNG"/>
        <s v="NGUYEN CHANH"/>
        <s v="Nguyen Trung Nguyen"/>
        <s v="HUYNH THI NGOC HUYEN"/>
        <s v="DANG HOANG PHI"/>
        <s v="NGUYEN HONG TUOI"/>
        <s v="Vo Thanh Trung"/>
        <s v="Nguyen Ai Sang"/>
        <s v="VU THU HIEN"/>
        <s v="PHAM ANH DUY"/>
        <s v="PHAN HOANG YEN THANH"/>
        <s v="Loan" u="1"/>
        <s v="HUYNH MY TRINH" u="1"/>
        <s v="TSUKA LARSEN MATSUMOTO" u="1"/>
        <s v="RYU ANDO" u="1"/>
        <s v="TRẦN NGỌC ANH THƯ" u="1"/>
        <s v="DUONG THI KIM NGAN" u="1"/>
        <s v="LE THI NGA" u="1"/>
        <s v="789273521" u="1"/>
        <s v="NGUYEN ANH THU" u="1"/>
        <s v="OTA HIROSHI" u="1"/>
        <s v="NGUYEN THUY PHUONG" u="1"/>
      </sharedItems>
    </cacheField>
    <cacheField name="Date" numFmtId="14">
      <sharedItems containsSemiMixedTypes="0" containsNonDate="0" containsDate="1" containsString="0" minDate="2025-03-13T00:00:00" maxDate="2025-09-01T00:00:00" count="40">
        <d v="2025-08-01T00:00:00"/>
        <d v="2025-08-02T00:00:00"/>
        <d v="2025-08-03T00:00:00"/>
        <d v="2025-08-23T00:00:00"/>
        <d v="2025-08-04T00:00:00"/>
        <d v="2025-08-08T00:00:00"/>
        <d v="2025-08-07T00:00:00"/>
        <d v="2025-08-09T00:00:00"/>
        <d v="2025-08-06T00:00:00"/>
        <d v="2025-08-10T00:00:00"/>
        <d v="2025-08-11T00:00:00"/>
        <d v="2025-08-05T00:00:00"/>
        <d v="2025-08-16T00:00:00"/>
        <d v="2025-08-13T00:00:00"/>
        <d v="2025-08-17T00:00:00"/>
        <d v="2025-08-12T00:00:00"/>
        <d v="2025-08-14T00:00:00"/>
        <d v="2025-08-31T00:00:00"/>
        <d v="2025-08-18T00:00:00"/>
        <d v="2025-08-19T00:00:00"/>
        <d v="2025-08-25T00:00:00"/>
        <d v="2025-08-27T00:00:00"/>
        <d v="2025-08-26T00:00:00"/>
        <d v="2025-08-15T00:00:00"/>
        <d v="2025-08-28T00:00:00"/>
        <d v="2025-08-29T00:00:00"/>
        <d v="2025-08-30T00:00:00"/>
        <d v="2025-08-24T00:00:00"/>
        <d v="2025-08-21T00:00:00"/>
        <d v="2025-08-20T00:00:00"/>
        <d v="2025-08-22T00:00:00"/>
        <d v="2025-04-23T00:00:00" u="1"/>
        <d v="2025-03-16T00:00:00" u="1"/>
        <d v="2025-03-18T00:00:00" u="1"/>
        <d v="2025-03-20T00:00:00" u="1"/>
        <d v="2025-04-03T00:00:00" u="1"/>
        <d v="2025-03-13T00:00:00" u="1"/>
        <d v="2025-04-01T00:00:00" u="1"/>
        <d v="2025-04-02T00:00:00" u="1"/>
        <d v="2025-04-04T00:00:00" u="1"/>
      </sharedItems>
      <fieldGroup par="20"/>
    </cacheField>
    <cacheField name="POS_Terminal_No_" numFmtId="49">
      <sharedItems count="37">
        <s v="101"/>
        <s v="103"/>
        <s v="104"/>
        <s v="107"/>
        <s v="109"/>
        <s v="110"/>
        <s v="111"/>
        <s v="401"/>
        <s v="402"/>
        <s v="403"/>
        <s v="404"/>
        <s v="502"/>
        <s v="503"/>
        <s v="504"/>
        <s v="505"/>
        <s v="506"/>
        <s v="507"/>
        <s v="508"/>
        <s v="204"/>
        <s v="102"/>
        <s v="203"/>
        <s v="108"/>
        <s v="509"/>
        <s v="303"/>
        <s v="201"/>
        <s v="304"/>
        <s v="202"/>
        <s v="307"/>
        <s v="105"/>
        <s v="501"/>
        <s v="306"/>
        <s v="305"/>
        <s v="702" u="1"/>
        <s v="002" u="1"/>
        <s v="HCMP1" u="1"/>
        <s v="001" u="1"/>
        <s v="HCMP3" u="1"/>
      </sharedItems>
    </cacheField>
    <cacheField name="Line_No_" numFmtId="1">
      <sharedItems containsSemiMixedTypes="0" containsString="0" containsNumber="1" containsInteger="1" minValue="1000" maxValue="24000" count="24">
        <n v="1000"/>
        <n v="2000"/>
        <n v="3000"/>
        <n v="4000"/>
        <n v="5000"/>
        <n v="6000"/>
        <n v="7000"/>
        <n v="8000"/>
        <n v="9000"/>
        <n v="10000"/>
        <n v="11000"/>
        <n v="12000"/>
        <n v="13000"/>
        <n v="14000"/>
        <n v="15000"/>
        <n v="16000"/>
        <n v="17000"/>
        <n v="18000"/>
        <n v="19000"/>
        <n v="20000"/>
        <n v="21000"/>
        <n v="22000"/>
        <n v="23000"/>
        <n v="24000"/>
      </sharedItems>
    </cacheField>
    <cacheField name="Transaction_No_" numFmtId="1">
      <sharedItems containsSemiMixedTypes="0" containsString="0" containsNumber="1" containsInteger="1" minValue="2" maxValue="15551" count="1147">
        <n v="2"/>
        <n v="3"/>
        <n v="4"/>
        <n v="5"/>
        <n v="15"/>
        <n v="16"/>
        <n v="17"/>
        <n v="21"/>
        <n v="22"/>
        <n v="25"/>
        <n v="29"/>
        <n v="34"/>
        <n v="35"/>
        <n v="39"/>
        <n v="46"/>
        <n v="47"/>
        <n v="62"/>
        <n v="71"/>
        <n v="80"/>
        <n v="81"/>
        <n v="85"/>
        <n v="90"/>
        <n v="91"/>
        <n v="127"/>
        <n v="147"/>
        <n v="171"/>
        <n v="188"/>
        <n v="196"/>
        <n v="204"/>
        <n v="205"/>
        <n v="224"/>
        <n v="253"/>
        <n v="288"/>
        <n v="296"/>
        <n v="311"/>
        <n v="323"/>
        <n v="334"/>
        <n v="343"/>
        <n v="362"/>
        <n v="372"/>
        <n v="379"/>
        <n v="389"/>
        <n v="391"/>
        <n v="399"/>
        <n v="403"/>
        <n v="407"/>
        <n v="417"/>
        <n v="419"/>
        <n v="424"/>
        <n v="425"/>
        <n v="474"/>
        <n v="475"/>
        <n v="480"/>
        <n v="498"/>
        <n v="503"/>
        <n v="513"/>
        <n v="514"/>
        <n v="521"/>
        <n v="525"/>
        <n v="541"/>
        <n v="545"/>
        <n v="552"/>
        <n v="566"/>
        <n v="598"/>
        <n v="602"/>
        <n v="607"/>
        <n v="613"/>
        <n v="615"/>
        <n v="618"/>
        <n v="622"/>
        <n v="626"/>
        <n v="627"/>
        <n v="629"/>
        <n v="643"/>
        <n v="682"/>
        <n v="683"/>
        <n v="690"/>
        <n v="691"/>
        <n v="693"/>
        <n v="695"/>
        <n v="703"/>
        <n v="766"/>
        <n v="784"/>
        <n v="792"/>
        <n v="806"/>
        <n v="808"/>
        <n v="817"/>
        <n v="825"/>
        <n v="832"/>
        <n v="851"/>
        <n v="863"/>
        <n v="869"/>
        <n v="900"/>
        <n v="904"/>
        <n v="914"/>
        <n v="915"/>
        <n v="946"/>
        <n v="948"/>
        <n v="951"/>
        <n v="965"/>
        <n v="967"/>
        <n v="972"/>
        <n v="976"/>
        <n v="984"/>
        <n v="993"/>
        <n v="1008"/>
        <n v="1015"/>
        <n v="1042"/>
        <n v="1043"/>
        <n v="1048"/>
        <n v="1059"/>
        <n v="1060"/>
        <n v="1086"/>
        <n v="1100"/>
        <n v="1113"/>
        <n v="1116"/>
        <n v="1119"/>
        <n v="1120"/>
        <n v="1123"/>
        <n v="1129"/>
        <n v="1142"/>
        <n v="1144"/>
        <n v="1153"/>
        <n v="1154"/>
        <n v="1162"/>
        <n v="1163"/>
        <n v="1173"/>
        <n v="1174"/>
        <n v="1187"/>
        <n v="1188"/>
        <n v="1204"/>
        <n v="1206"/>
        <n v="1207"/>
        <n v="1208"/>
        <n v="1211"/>
        <n v="1212"/>
        <n v="1221"/>
        <n v="1236"/>
        <n v="1239"/>
        <n v="1251"/>
        <n v="1279"/>
        <n v="1280"/>
        <n v="1304"/>
        <n v="1305"/>
        <n v="1318"/>
        <n v="1319"/>
        <n v="1346"/>
        <n v="1363"/>
        <n v="1381"/>
        <n v="1388"/>
        <n v="1392"/>
        <n v="1393"/>
        <n v="1419"/>
        <n v="1426"/>
        <n v="1427"/>
        <n v="1429"/>
        <n v="1430"/>
        <n v="1434"/>
        <n v="1436"/>
        <n v="1446"/>
        <n v="1456"/>
        <n v="1464"/>
        <n v="1473"/>
        <n v="1475"/>
        <n v="1485"/>
        <n v="1505"/>
        <n v="1509"/>
        <n v="1519"/>
        <n v="1539"/>
        <n v="1558"/>
        <n v="1559"/>
        <n v="1566"/>
        <n v="1569"/>
        <n v="1606"/>
        <n v="1623"/>
        <n v="1637"/>
        <n v="1640"/>
        <n v="1642"/>
        <n v="1645"/>
        <n v="1648"/>
        <n v="1656"/>
        <n v="1669"/>
        <n v="1672"/>
        <n v="1680"/>
        <n v="1681"/>
        <n v="1687"/>
        <n v="1701"/>
        <n v="1730"/>
        <n v="1734"/>
        <n v="1740"/>
        <n v="1747"/>
        <n v="1767"/>
        <n v="1771"/>
        <n v="1783"/>
        <n v="1793"/>
        <n v="1809"/>
        <n v="1810"/>
        <n v="1813"/>
        <n v="1823"/>
        <n v="1840"/>
        <n v="1858"/>
        <n v="1859"/>
        <n v="1863"/>
        <n v="1867"/>
        <n v="1875"/>
        <n v="1887"/>
        <n v="1889"/>
        <n v="1900"/>
        <n v="1910"/>
        <n v="1921"/>
        <n v="1928"/>
        <n v="1947"/>
        <n v="1955"/>
        <n v="1971"/>
        <n v="1984"/>
        <n v="1985"/>
        <n v="1998"/>
        <n v="2000"/>
        <n v="2008"/>
        <n v="2016"/>
        <n v="2017"/>
        <n v="2024"/>
        <n v="2033"/>
        <n v="2037"/>
        <n v="2041"/>
        <n v="2054"/>
        <n v="2074"/>
        <n v="2075"/>
        <n v="2076"/>
        <n v="2078"/>
        <n v="2092"/>
        <n v="2106"/>
        <n v="2108"/>
        <n v="2144"/>
        <n v="2154"/>
        <n v="2158"/>
        <n v="2164"/>
        <n v="2191"/>
        <n v="2196"/>
        <n v="2198"/>
        <n v="2199"/>
        <n v="2206"/>
        <n v="2209"/>
        <n v="2225"/>
        <n v="2231"/>
        <n v="2243"/>
        <n v="2278"/>
        <n v="2291"/>
        <n v="2293"/>
        <n v="2294"/>
        <n v="2316"/>
        <n v="2317"/>
        <n v="2319"/>
        <n v="2331"/>
        <n v="2357"/>
        <n v="2372"/>
        <n v="2375"/>
        <n v="2376"/>
        <n v="2377"/>
        <n v="2378"/>
        <n v="2379"/>
        <n v="2380"/>
        <n v="2383"/>
        <n v="2384"/>
        <n v="2385"/>
        <n v="2388"/>
        <n v="2391"/>
        <n v="2392"/>
        <n v="2395"/>
        <n v="2398"/>
        <n v="2400"/>
        <n v="2403"/>
        <n v="2409"/>
        <n v="2427"/>
        <n v="2444"/>
        <n v="2462"/>
        <n v="2467"/>
        <n v="2484"/>
        <n v="2487"/>
        <n v="2491"/>
        <n v="2497"/>
        <n v="2505"/>
        <n v="2517"/>
        <n v="2547"/>
        <n v="2559"/>
        <n v="2563"/>
        <n v="2573"/>
        <n v="2574"/>
        <n v="2579"/>
        <n v="2580"/>
        <n v="2601"/>
        <n v="2613"/>
        <n v="2620"/>
        <n v="2623"/>
        <n v="2626"/>
        <n v="2633"/>
        <n v="2661"/>
        <n v="2665"/>
        <n v="2668"/>
        <n v="2679"/>
        <n v="2711"/>
        <n v="2725"/>
        <n v="2732"/>
        <n v="2738"/>
        <n v="2745"/>
        <n v="2747"/>
        <n v="2749"/>
        <n v="2750"/>
        <n v="2752"/>
        <n v="2756"/>
        <n v="2757"/>
        <n v="2758"/>
        <n v="2762"/>
        <n v="2767"/>
        <n v="2768"/>
        <n v="2769"/>
        <n v="2794"/>
        <n v="2810"/>
        <n v="2821"/>
        <n v="2824"/>
        <n v="2844"/>
        <n v="2846"/>
        <n v="2849"/>
        <n v="2852"/>
        <n v="2853"/>
        <n v="2867"/>
        <n v="2869"/>
        <n v="2882"/>
        <n v="2890"/>
        <n v="2894"/>
        <n v="2898"/>
        <n v="2899"/>
        <n v="2901"/>
        <n v="2905"/>
        <n v="2906"/>
        <n v="2909"/>
        <n v="2910"/>
        <n v="2914"/>
        <n v="2933"/>
        <n v="2934"/>
        <n v="2941"/>
        <n v="2945"/>
        <n v="2957"/>
        <n v="2962"/>
        <n v="2978"/>
        <n v="2988"/>
        <n v="2998"/>
        <n v="3006"/>
        <n v="3007"/>
        <n v="3012"/>
        <n v="3023"/>
        <n v="3049"/>
        <n v="3056"/>
        <n v="3062"/>
        <n v="3078"/>
        <n v="3084"/>
        <n v="3088"/>
        <n v="3092"/>
        <n v="3100"/>
        <n v="3121"/>
        <n v="3130"/>
        <n v="3149"/>
        <n v="3150"/>
        <n v="3153"/>
        <n v="3158"/>
        <n v="3167"/>
        <n v="3175"/>
        <n v="3193"/>
        <n v="3220"/>
        <n v="3233"/>
        <n v="3238"/>
        <n v="3239"/>
        <n v="3244"/>
        <n v="3264"/>
        <n v="3290"/>
        <n v="3293"/>
        <n v="3299"/>
        <n v="3305"/>
        <n v="3306"/>
        <n v="3307"/>
        <n v="3316"/>
        <n v="3317"/>
        <n v="3349"/>
        <n v="3356"/>
        <n v="3357"/>
        <n v="3366"/>
        <n v="3373"/>
        <n v="3382"/>
        <n v="3385"/>
        <n v="3389"/>
        <n v="3390"/>
        <n v="3393"/>
        <n v="3397"/>
        <n v="3404"/>
        <n v="3409"/>
        <n v="3452"/>
        <n v="3453"/>
        <n v="3463"/>
        <n v="3467"/>
        <n v="3469"/>
        <n v="3477"/>
        <n v="3483"/>
        <n v="3488"/>
        <n v="3495"/>
        <n v="3502"/>
        <n v="3504"/>
        <n v="3505"/>
        <n v="3509"/>
        <n v="3524"/>
        <n v="3532"/>
        <n v="3538"/>
        <n v="3555"/>
        <n v="3580"/>
        <n v="3586"/>
        <n v="3604"/>
        <n v="3631"/>
        <n v="3639"/>
        <n v="3649"/>
        <n v="3651"/>
        <n v="3661"/>
        <n v="3676"/>
        <n v="3677"/>
        <n v="3680"/>
        <n v="3685"/>
        <n v="3702"/>
        <n v="3713"/>
        <n v="3730"/>
        <n v="3733"/>
        <n v="3739"/>
        <n v="3740"/>
        <n v="3749"/>
        <n v="3762"/>
        <n v="3780"/>
        <n v="3794"/>
        <n v="3800"/>
        <n v="3848"/>
        <n v="3871"/>
        <n v="3875"/>
        <n v="3877"/>
        <n v="3878"/>
        <n v="3880"/>
        <n v="3891"/>
        <n v="3902"/>
        <n v="3915"/>
        <n v="3922"/>
        <n v="3925"/>
        <n v="3927"/>
        <n v="3946"/>
        <n v="3948"/>
        <n v="3949"/>
        <n v="3966"/>
        <n v="3967"/>
        <n v="3971"/>
        <n v="3986"/>
        <n v="4008"/>
        <n v="4012"/>
        <n v="4016"/>
        <n v="4019"/>
        <n v="4027"/>
        <n v="4043"/>
        <n v="4060"/>
        <n v="4062"/>
        <n v="4067"/>
        <n v="4069"/>
        <n v="4090"/>
        <n v="4094"/>
        <n v="4103"/>
        <n v="4152"/>
        <n v="4169"/>
        <n v="4182"/>
        <n v="4191"/>
        <n v="4199"/>
        <n v="4206"/>
        <n v="4237"/>
        <n v="4253"/>
        <n v="4255"/>
        <n v="4256"/>
        <n v="4270"/>
        <n v="4278"/>
        <n v="4298"/>
        <n v="4322"/>
        <n v="4325"/>
        <n v="4335"/>
        <n v="4361"/>
        <n v="4367"/>
        <n v="4381"/>
        <n v="4401"/>
        <n v="4407"/>
        <n v="4428"/>
        <n v="4432"/>
        <n v="4434"/>
        <n v="4439"/>
        <n v="4453"/>
        <n v="4470"/>
        <n v="4473"/>
        <n v="4483"/>
        <n v="4515"/>
        <n v="4516"/>
        <n v="4526"/>
        <n v="4531"/>
        <n v="4540"/>
        <n v="4541"/>
        <n v="4564"/>
        <n v="4575"/>
        <n v="4576"/>
        <n v="4579"/>
        <n v="4595"/>
        <n v="4597"/>
        <n v="4600"/>
        <n v="4602"/>
        <n v="4609"/>
        <n v="4620"/>
        <n v="4680"/>
        <n v="4687"/>
        <n v="4690"/>
        <n v="4691"/>
        <n v="4694"/>
        <n v="4695"/>
        <n v="4705"/>
        <n v="4745"/>
        <n v="4754"/>
        <n v="4759"/>
        <n v="4787"/>
        <n v="4797"/>
        <n v="4819"/>
        <n v="4820"/>
        <n v="4825"/>
        <n v="4828"/>
        <n v="4836"/>
        <n v="4851"/>
        <n v="4852"/>
        <n v="4887"/>
        <n v="4891"/>
        <n v="4892"/>
        <n v="4895"/>
        <n v="4929"/>
        <n v="4959"/>
        <n v="4975"/>
        <n v="5001"/>
        <n v="5008"/>
        <n v="5015"/>
        <n v="5017"/>
        <n v="5022"/>
        <n v="5023"/>
        <n v="5024"/>
        <n v="5085"/>
        <n v="5112"/>
        <n v="5122"/>
        <n v="5123"/>
        <n v="5148"/>
        <n v="5159"/>
        <n v="5199"/>
        <n v="5203"/>
        <n v="5206"/>
        <n v="5218"/>
        <n v="5223"/>
        <n v="5227"/>
        <n v="5240"/>
        <n v="5242"/>
        <n v="5251"/>
        <n v="5254"/>
        <n v="5270"/>
        <n v="5278"/>
        <n v="5290"/>
        <n v="5309"/>
        <n v="5318"/>
        <n v="5319"/>
        <n v="5331"/>
        <n v="5422"/>
        <n v="5425"/>
        <n v="5453"/>
        <n v="5460"/>
        <n v="5468"/>
        <n v="5480"/>
        <n v="5486"/>
        <n v="5494"/>
        <n v="5540"/>
        <n v="5542"/>
        <n v="5562"/>
        <n v="5574"/>
        <n v="5635"/>
        <n v="5638"/>
        <n v="5641"/>
        <n v="5647"/>
        <n v="5663"/>
        <n v="5668"/>
        <n v="5674"/>
        <n v="5691"/>
        <n v="5694"/>
        <n v="5715"/>
        <n v="5768"/>
        <n v="5772"/>
        <n v="5775"/>
        <n v="5786"/>
        <n v="5787"/>
        <n v="5800"/>
        <n v="5813"/>
        <n v="5814"/>
        <n v="5815"/>
        <n v="5817"/>
        <n v="5838"/>
        <n v="5862"/>
        <n v="5888"/>
        <n v="5921"/>
        <n v="5996"/>
        <n v="6008"/>
        <n v="6022"/>
        <n v="6023"/>
        <n v="6030"/>
        <n v="6054"/>
        <n v="6066"/>
        <n v="6068"/>
        <n v="6069"/>
        <n v="6083"/>
        <n v="6106"/>
        <n v="6109"/>
        <n v="6151"/>
        <n v="6160"/>
        <n v="6170"/>
        <n v="6179"/>
        <n v="6181"/>
        <n v="6194"/>
        <n v="6211"/>
        <n v="6244"/>
        <n v="6248"/>
        <n v="6262"/>
        <n v="6291"/>
        <n v="6292"/>
        <n v="6298"/>
        <n v="6304"/>
        <n v="6305"/>
        <n v="6307"/>
        <n v="6317"/>
        <n v="6343"/>
        <n v="6345"/>
        <n v="6364"/>
        <n v="6381"/>
        <n v="6404"/>
        <n v="6415"/>
        <n v="6417"/>
        <n v="6418"/>
        <n v="6503"/>
        <n v="6506"/>
        <n v="6514"/>
        <n v="6542"/>
        <n v="6555"/>
        <n v="6557"/>
        <n v="6562"/>
        <n v="6592"/>
        <n v="6596"/>
        <n v="6598"/>
        <n v="6631"/>
        <n v="6637"/>
        <n v="6640"/>
        <n v="6650"/>
        <n v="6653"/>
        <n v="6664"/>
        <n v="6728"/>
        <n v="6738"/>
        <n v="6739"/>
        <n v="6753"/>
        <n v="6772"/>
        <n v="6782"/>
        <n v="6784"/>
        <n v="6790"/>
        <n v="6799"/>
        <n v="6800"/>
        <n v="6808"/>
        <n v="6817"/>
        <n v="6828"/>
        <n v="6838"/>
        <n v="6879"/>
        <n v="6882"/>
        <n v="6899"/>
        <n v="6914"/>
        <n v="6921"/>
        <n v="6941"/>
        <n v="6942"/>
        <n v="6959"/>
        <n v="7007"/>
        <n v="7012"/>
        <n v="7016"/>
        <n v="7083"/>
        <n v="7089"/>
        <n v="7110"/>
        <n v="7116"/>
        <n v="7119"/>
        <n v="7121"/>
        <n v="7152"/>
        <n v="7161"/>
        <n v="7164"/>
        <n v="7166"/>
        <n v="7181"/>
        <n v="7184"/>
        <n v="7189"/>
        <n v="7198"/>
        <n v="7215"/>
        <n v="7221"/>
        <n v="7270"/>
        <n v="7276"/>
        <n v="7303"/>
        <n v="7308"/>
        <n v="7325"/>
        <n v="7337"/>
        <n v="7348"/>
        <n v="7430"/>
        <n v="7450"/>
        <n v="7460"/>
        <n v="7461"/>
        <n v="7486"/>
        <n v="7505"/>
        <n v="7525"/>
        <n v="7535"/>
        <n v="7545"/>
        <n v="7548"/>
        <n v="7552"/>
        <n v="7561"/>
        <n v="7614"/>
        <n v="7632"/>
        <n v="7634"/>
        <n v="7636"/>
        <n v="7712"/>
        <n v="7714"/>
        <n v="7734"/>
        <n v="7770"/>
        <n v="7782"/>
        <n v="7824"/>
        <n v="7832"/>
        <n v="7854"/>
        <n v="7856"/>
        <n v="7871"/>
        <n v="7881"/>
        <n v="7888"/>
        <n v="7891"/>
        <n v="7892"/>
        <n v="7909"/>
        <n v="7912"/>
        <n v="7959"/>
        <n v="7979"/>
        <n v="8047"/>
        <n v="8052"/>
        <n v="8055"/>
        <n v="8068"/>
        <n v="8144"/>
        <n v="8145"/>
        <n v="8268"/>
        <n v="8297"/>
        <n v="8343"/>
        <n v="8347"/>
        <n v="8364"/>
        <n v="8367"/>
        <n v="8371"/>
        <n v="8373"/>
        <n v="8447"/>
        <n v="8585"/>
        <n v="8656"/>
        <n v="8730"/>
        <n v="8779"/>
        <n v="8923"/>
        <n v="8941"/>
        <n v="8975"/>
        <n v="8983"/>
        <n v="9008"/>
        <n v="9010"/>
        <n v="9020"/>
        <n v="9088"/>
        <n v="9091"/>
        <n v="9134"/>
        <n v="9135"/>
        <n v="9150"/>
        <n v="9158"/>
        <n v="9182"/>
        <n v="9184"/>
        <n v="9302"/>
        <n v="9305"/>
        <n v="9339"/>
        <n v="9345"/>
        <n v="9355"/>
        <n v="9365"/>
        <n v="9411"/>
        <n v="9417"/>
        <n v="9566"/>
        <n v="9575"/>
        <n v="9578"/>
        <n v="9624"/>
        <n v="9629"/>
        <n v="9640"/>
        <n v="9649"/>
        <n v="9682"/>
        <n v="9769"/>
        <n v="9800"/>
        <n v="9806"/>
        <n v="9845"/>
        <n v="9853"/>
        <n v="9854"/>
        <n v="9859"/>
        <n v="9860"/>
        <n v="9866"/>
        <n v="9867"/>
        <n v="9900"/>
        <n v="9902"/>
        <n v="9914"/>
        <n v="9934"/>
        <n v="9967"/>
        <n v="9972"/>
        <n v="9985"/>
        <n v="10008"/>
        <n v="10027"/>
        <n v="10051"/>
        <n v="10114"/>
        <n v="10117"/>
        <n v="10136"/>
        <n v="10162"/>
        <n v="10175"/>
        <n v="10184"/>
        <n v="10193"/>
        <n v="10228"/>
        <n v="10232"/>
        <n v="10316"/>
        <n v="10350"/>
        <n v="10394"/>
        <n v="10436"/>
        <n v="10437"/>
        <n v="10438"/>
        <n v="10439"/>
        <n v="10446"/>
        <n v="10448"/>
        <n v="10464"/>
        <n v="10473"/>
        <n v="10475"/>
        <n v="10544"/>
        <n v="10565"/>
        <n v="10567"/>
        <n v="10578"/>
        <n v="10579"/>
        <n v="10591"/>
        <n v="10594"/>
        <n v="10604"/>
        <n v="10611"/>
        <n v="10655"/>
        <n v="10673"/>
        <n v="10678"/>
        <n v="10699"/>
        <n v="10704"/>
        <n v="10712"/>
        <n v="10721"/>
        <n v="10729"/>
        <n v="10748"/>
        <n v="10756"/>
        <n v="10771"/>
        <n v="10782"/>
        <n v="10814"/>
        <n v="10867"/>
        <n v="10903"/>
        <n v="10920"/>
        <n v="11002"/>
        <n v="11087"/>
        <n v="11088"/>
        <n v="11097"/>
        <n v="11100"/>
        <n v="11240"/>
        <n v="11252"/>
        <n v="11253"/>
        <n v="11320"/>
        <n v="11325"/>
        <n v="11412"/>
        <n v="11493"/>
        <n v="11597"/>
        <n v="11675"/>
        <n v="11714"/>
        <n v="11754"/>
        <n v="11755"/>
        <n v="11756"/>
        <n v="11770"/>
        <n v="11901"/>
        <n v="12019"/>
        <n v="12027"/>
        <n v="12077"/>
        <n v="12541"/>
        <n v="12843"/>
        <n v="13315"/>
        <n v="13430"/>
        <n v="13958"/>
        <n v="13959"/>
        <n v="13978"/>
        <n v="14433"/>
        <n v="14529"/>
        <n v="14551"/>
        <n v="14552"/>
        <n v="14600"/>
        <n v="14703"/>
        <n v="15091"/>
        <n v="15094"/>
        <n v="15489"/>
        <n v="15551"/>
        <n v="202" u="1"/>
        <n v="219" u="1"/>
        <n v="220" u="1"/>
        <n v="226" u="1"/>
        <n v="255" u="1"/>
        <n v="265" u="1"/>
        <n v="300" u="1"/>
        <n v="301" u="1"/>
        <n v="302" u="1"/>
        <n v="307" u="1"/>
        <n v="344" u="1"/>
        <n v="356" u="1"/>
        <n v="376" u="1"/>
        <n v="452" u="1"/>
        <n v="453" u="1"/>
        <n v="470" u="1"/>
        <n v="562" u="1"/>
        <n v="637" u="1"/>
        <n v="638" u="1"/>
        <n v="639" u="1"/>
        <n v="640" u="1"/>
        <n v="647" u="1"/>
        <n v="648" u="1"/>
        <n v="649" u="1"/>
        <n v="650" u="1"/>
        <n v="651" u="1"/>
        <n v="652" u="1"/>
        <n v="668" u="1"/>
        <n v="669" u="1"/>
        <n v="670" u="1"/>
        <n v="671" u="1"/>
        <n v="672" u="1"/>
        <n v="673" u="1"/>
        <n v="676" u="1"/>
        <n v="677" u="1"/>
        <n v="847" u="1"/>
        <n v="1031" u="1"/>
        <n v="1075" u="1"/>
        <n v="1132" u="1"/>
        <n v="1229" u="1"/>
        <n v="1267" u="1"/>
        <n v="1301" u="1"/>
        <n v="1532" u="1"/>
        <n v="1537" u="1"/>
        <n v="1542" u="1"/>
        <n v="1690" u="1"/>
        <n v="1732" u="1"/>
        <n v="1868" u="1"/>
        <n v="1890" u="1"/>
        <n v="1907" u="1"/>
        <n v="1959" u="1"/>
        <n v="2010" u="1"/>
        <n v="2014" u="1"/>
        <n v="2044" u="1"/>
        <n v="2094" u="1"/>
        <n v="2203" u="1"/>
        <n v="2222" u="1"/>
        <n v="2257" u="1"/>
        <n v="2343" u="1"/>
        <n v="2709" u="1"/>
        <n v="2751" u="1"/>
        <n v="2754" u="1"/>
        <n v="2803" u="1"/>
        <n v="2820" u="1"/>
        <n v="2845" u="1"/>
        <n v="2851" u="1"/>
        <n v="2885" u="1"/>
        <n v="2927" u="1"/>
        <n v="2977" u="1"/>
        <n v="3040" u="1"/>
        <n v="3202" u="1"/>
        <n v="3209" u="1"/>
        <n v="3252" u="1"/>
        <n v="3266" u="1"/>
        <n v="3324" u="1"/>
        <n v="3338" u="1"/>
        <n v="3343" u="1"/>
        <n v="3344" u="1"/>
        <n v="3350" u="1"/>
        <n v="3383" u="1"/>
        <n v="3394" u="1"/>
        <n v="3537" u="1"/>
        <n v="3567" u="1"/>
        <n v="3692" u="1"/>
        <n v="3890" u="1"/>
        <n v="4053" u="1"/>
        <n v="4089" u="1"/>
        <n v="4106" u="1"/>
        <n v="4214" u="1"/>
        <n v="4241" u="1"/>
        <n v="4289" u="1"/>
        <n v="4444" u="1"/>
        <n v="4446" u="1"/>
        <n v="4454" u="1"/>
        <n v="4482" u="1"/>
        <n v="4521" u="1"/>
        <n v="4698" u="1"/>
        <n v="4844" u="1"/>
        <n v="4934" u="1"/>
        <n v="4943" u="1"/>
        <n v="4950" u="1"/>
        <n v="5152" u="1"/>
        <n v="5167" u="1"/>
        <n v="5170" u="1"/>
        <n v="5459" u="1"/>
        <n v="5489" u="1"/>
        <n v="5771" u="1"/>
        <n v="5776" u="1"/>
        <n v="5834" u="1"/>
        <n v="5867" u="1"/>
        <n v="5874" u="1"/>
        <n v="5952" u="1"/>
        <n v="5971" u="1"/>
        <n v="6064" u="1"/>
        <n v="6082" u="1"/>
        <n v="6121" u="1"/>
        <n v="6153" u="1"/>
        <n v="6200" u="1"/>
        <n v="6246" u="1"/>
        <n v="6250" u="1"/>
        <n v="6295" u="1"/>
        <n v="6547" u="1"/>
        <n v="6705" u="1"/>
        <n v="6771" u="1"/>
        <n v="6861" u="1"/>
        <n v="7033" u="1"/>
        <n v="7140" u="1"/>
        <n v="7207" u="1"/>
        <n v="7211" u="1"/>
        <n v="7230" u="1"/>
        <n v="7272" u="1"/>
        <n v="7579" u="1"/>
        <n v="7591" u="1"/>
        <n v="7833" u="1"/>
        <n v="7919" u="1"/>
        <n v="8005" u="1"/>
        <n v="8087" u="1"/>
        <n v="8090" u="1"/>
        <n v="8098" u="1"/>
        <n v="8102" u="1"/>
        <n v="8190" u="1"/>
        <n v="8191" u="1"/>
        <n v="8194" u="1"/>
        <n v="8197" u="1"/>
        <n v="8253" u="1"/>
        <n v="8314" u="1"/>
        <n v="8329" u="1"/>
        <n v="8682" u="1"/>
        <n v="8689" u="1"/>
        <n v="8809" u="1"/>
        <n v="9039" u="1"/>
        <n v="9229" u="1"/>
        <n v="9246" u="1"/>
        <n v="9367" u="1"/>
        <n v="9436" u="1"/>
        <n v="9450" u="1"/>
        <n v="9520" u="1"/>
        <n v="9586" u="1"/>
        <n v="9636" u="1"/>
        <n v="9655" u="1"/>
        <n v="9794" u="1"/>
        <n v="9812" u="1"/>
        <n v="9910" u="1"/>
        <n v="9916" u="1"/>
        <n v="10002" u="1"/>
        <n v="10055" u="1"/>
        <n v="10111" u="1"/>
        <n v="10190" u="1"/>
        <n v="10214" u="1"/>
        <n v="10659" u="1"/>
        <n v="10662" u="1"/>
        <n v="10667" u="1"/>
        <n v="10684" u="1"/>
        <n v="10689" u="1"/>
        <n v="10768" u="1"/>
        <n v="10888" u="1"/>
        <n v="10931" u="1"/>
        <n v="10939" u="1"/>
        <n v="11059" u="1"/>
        <n v="11308" u="1"/>
        <n v="11331" u="1"/>
        <n v="12191" u="1"/>
        <n v="12245" u="1"/>
        <n v="12411" u="1"/>
        <n v="13061" u="1"/>
        <n v="14016" u="1"/>
        <n v="14469" u="1"/>
        <n v="14775" u="1"/>
        <n v="15494" u="1"/>
        <n v="1864" u="1"/>
        <n v="332" u="1"/>
        <n v="121" u="1"/>
        <n v="3790" u="1"/>
        <n v="9263" u="1"/>
        <n v="9773" u="1"/>
        <n v="132" u="1"/>
        <n v="3886" u="1"/>
        <n v="11748" u="1"/>
        <n v="2039" u="1"/>
        <n v="2100" u="1"/>
        <n v="4611" u="1"/>
        <n v="5077" u="1"/>
        <n v="5970" u="1"/>
        <n v="9308" u="1"/>
        <n v="10668" u="1"/>
        <n v="1502" u="1"/>
        <n v="531" u="1"/>
        <n v="829" u="1"/>
        <n v="1273" u="1"/>
        <n v="927" u="1"/>
        <n v="928" u="1"/>
        <n v="929" u="1"/>
        <n v="3064" u="1"/>
        <n v="222" u="1"/>
        <n v="242" u="1"/>
        <n v="324" u="1"/>
        <n v="328" u="1"/>
        <n v="612" u="1"/>
        <n v="614" u="1"/>
        <n v="616" u="1"/>
        <n v="623" u="1"/>
        <n v="624" u="1"/>
        <n v="151" u="1"/>
        <n v="152" u="1"/>
        <n v="153" u="1"/>
        <n v="155" u="1"/>
        <n v="276" u="1"/>
        <n v="295" u="1"/>
        <n v="532" u="1"/>
        <n v="1278" u="1"/>
        <n v="1287" u="1"/>
        <n v="1289" u="1"/>
        <n v="1294" u="1"/>
        <n v="1295" u="1"/>
        <n v="1917" u="1"/>
        <n v="1957" u="1"/>
        <n v="2034" u="1"/>
        <n v="2146" u="1"/>
        <n v="2167" u="1"/>
        <n v="2217" u="1"/>
        <n v="2229" u="1"/>
        <n v="2236" u="1"/>
        <n v="2358" u="1"/>
        <n v="126" u="1"/>
        <n v="138" u="1"/>
        <n v="141" u="1"/>
        <n v="355" u="1"/>
        <n v="409" u="1"/>
        <n v="439" u="1"/>
        <n v="463" u="1"/>
        <n v="479" u="1"/>
        <n v="499" u="1"/>
      </sharedItems>
    </cacheField>
    <cacheField name="Brand" numFmtId="49">
      <sharedItems count="41">
        <s v="Cosmetics 1"/>
        <s v="Drink"/>
        <s v="KSNY"/>
        <s v="Eat-In Sweets"/>
        <s v=""/>
        <s v="Household ＆ Specialty"/>
        <s v="Children Playground Promotion"/>
        <s v="Temporary Promotion L1"/>
        <s v="Ladies Shoes"/>
        <s v="Event hall - Baby Children Event"/>
        <s v="Food event"/>
        <s v="Eat-In"/>
        <s v="Cosmetics 2"/>
        <s v="Ladies Wear"/>
        <s v="Fragrance"/>
        <s v="Travel ＆ Outdoor"/>
        <s v="Baby"/>
        <s v="Temporary Promotion B1"/>
        <s v="Sports and Golf"/>
        <s v="Jewelry and Accessories"/>
        <s v="Children Wear and Sundries"/>
        <s v="Lingerie"/>
        <s v="Toys and Outdoor"/>
        <s v="Fashion Watch and Bazaar"/>
        <s v="Men business"/>
        <s v="Gift"/>
        <s v="Event hall - Events B1"/>
        <s v="Sweets"/>
        <s v="International Collections"/>
        <s v="Unisex and Specialty Promotion"/>
        <s v="Temporary Promotion L2"/>
        <s v="PRL"/>
        <s v="Young Fashion"/>
        <s v="Jewelry"/>
        <s v="Gift EC" u="1"/>
        <s v="Sweets EC" u="1"/>
        <s v="Fragrance EC" u="1"/>
        <s v="Cosmetic1 EC" u="1"/>
        <s v="Jewelry and Accessories EC" u="1"/>
        <s v="Cosmetics2 EC" u="1"/>
        <s v="Contemporary fashion" u="1"/>
      </sharedItems>
    </cacheField>
    <cacheField name="UsedBudget" numFmtId="3">
      <sharedItems containsSemiMixedTypes="0" containsString="0" containsNumber="1" containsInteger="1" minValue="-529289620" maxValue="3250000000" count="451">
        <n v="90000000"/>
        <n v="81637020"/>
        <n v="108405000"/>
        <n v="152533250"/>
        <n v="148509830"/>
        <n v="143018000"/>
        <n v="89653500"/>
        <n v="108586000"/>
        <n v="64941500"/>
        <n v="63739700"/>
        <n v="87040690"/>
        <n v="83993600"/>
        <n v="148644500"/>
        <n v="151606650"/>
        <n v="56050260"/>
        <n v="64027000"/>
        <n v="64079500"/>
        <n v="50115750"/>
        <n v="87868500"/>
        <n v="86184030"/>
        <n v="148092900"/>
        <n v="60417600"/>
        <n v="64257350"/>
        <n v="64250650"/>
        <n v="64817100"/>
        <n v="84861850"/>
        <n v="109093400"/>
        <n v="61690700"/>
        <n v="63872000"/>
        <n v="88751000"/>
        <n v="54146650"/>
        <n v="109350000"/>
        <n v="54042090"/>
        <n v="63183000"/>
        <n v="87613200"/>
        <n v="64509900"/>
        <n v="64684400"/>
        <n v="89802000"/>
        <n v="60891200"/>
        <n v="54808900"/>
        <n v="132256450"/>
        <n v="54375310"/>
        <n v="108445000"/>
        <n v="61995300"/>
        <n v="58699710"/>
        <n v="63851150"/>
        <n v="60590420"/>
        <n v="64344390"/>
        <n v="62339960"/>
        <n v="55802760"/>
        <n v="108567750"/>
        <n v="83720070"/>
        <n v="61345000"/>
        <n v="63740700"/>
        <n v="152550000"/>
        <n v="153252100"/>
        <n v="68974580"/>
        <n v="108755000"/>
        <n v="101184670"/>
        <n v="150234500"/>
        <n v="64312830"/>
        <n v="89062000"/>
        <n v="60252900"/>
        <n v="81505500"/>
        <n v="145558700"/>
        <n v="63203100"/>
        <n v="64066000"/>
        <n v="86019450"/>
        <n v="63916900"/>
        <n v="64183000"/>
        <n v="64901000"/>
        <n v="60970400"/>
        <n v="61189450"/>
        <n v="84618000"/>
        <n v="64365100"/>
        <n v="59051100"/>
        <n v="88166300"/>
        <n v="64142640"/>
        <n v="58920000"/>
        <n v="88662000"/>
        <n v="60715000"/>
        <n v="64709600"/>
        <n v="154240000"/>
        <n v="88561500"/>
        <n v="154473500"/>
        <n v="63482950"/>
        <n v="80677900"/>
        <n v="63226550"/>
        <n v="149540330"/>
        <n v="72710000"/>
        <n v="153737800"/>
        <n v="63437500"/>
        <n v="149410000"/>
        <n v="86215260"/>
        <n v="63946000"/>
        <n v="64788500"/>
        <n v="64141500"/>
        <n v="89330500"/>
        <n v="64332000"/>
        <n v="102037000"/>
        <n v="62496720"/>
        <n v="62005700"/>
        <n v="64502350"/>
        <n v="64703500"/>
        <n v="154309700"/>
        <n v="64783180"/>
        <n v="63302500"/>
        <n v="64818700"/>
        <n v="89784000"/>
        <n v="88125000"/>
        <n v="148547000"/>
        <n v="89536500"/>
        <n v="149890000"/>
        <n v="149865000"/>
        <n v="109643100"/>
        <n v="151077800"/>
        <n v="64076500"/>
        <n v="88531800"/>
        <n v="64958000"/>
        <n v="64247200"/>
        <n v="64873300"/>
        <n v="64669370"/>
        <n v="89408000"/>
        <n v="154853000"/>
        <n v="63800800"/>
        <n v="64145800"/>
        <n v="86406230"/>
        <n v="64643700"/>
        <n v="64856000"/>
        <n v="64626000"/>
        <n v="152389300"/>
        <n v="81550000"/>
        <n v="85260500"/>
        <n v="89520000"/>
        <n v="64916700"/>
        <n v="64888000"/>
        <n v="89914200"/>
        <n v="64945000"/>
        <n v="64969000"/>
        <n v="89941500"/>
        <n v="64959500"/>
        <n v="64859200"/>
        <n v="64825000"/>
        <n v="89788460"/>
        <n v="64851000"/>
        <n v="64797900"/>
        <n v="64681400"/>
        <n v="149871200"/>
        <n v="149925000"/>
        <n v="89940000"/>
        <n v="63917000"/>
        <n v="-132671945" u="1"/>
        <n v="-50000" u="1"/>
        <n v="-322500" u="1"/>
        <n v="-1042500" u="1"/>
        <n v="-299500" u="1"/>
        <n v="-82000" u="1"/>
        <n v="-1177035" u="1"/>
        <n v="-1446325" u="1"/>
        <n v="-9803715" u="1"/>
        <n v="-506000" u="1"/>
        <n v="-99750" u="1"/>
        <n v="-1017250" u="1"/>
        <n v="-211750" u="1"/>
        <n v="-54210" u="1"/>
        <n v="-501250" u="1"/>
        <n v="-93750" u="1"/>
        <n v="-312500" u="1"/>
        <n v="-311500" u="1"/>
        <n v="-95750" u="1"/>
        <n v="-292500" u="1"/>
        <n v="-996500" u="1"/>
        <n v="-377600" u="1"/>
        <n v="-489510" u="1"/>
        <n v="-1460250" u="1"/>
        <n v="-304500" u="1"/>
        <n v="-136000" u="1"/>
        <n v="-197500" u="1"/>
        <n v="-323000" u="1"/>
        <n v="-493500" u="1"/>
        <n v="-343500" u="1"/>
        <n v="-202000" u="1"/>
        <n v="-149750" u="1"/>
        <n v="-175000" u="1"/>
        <n v="-366500" u="1"/>
        <n v="-192600" u="1"/>
        <n v="-112500" u="1"/>
        <n v="-293750" u="1"/>
        <n v="-223000" u="1"/>
        <n v="-52250" u="1"/>
        <n v="-217500" u="1"/>
        <n v="-448250" u="1"/>
        <n v="-78750" u="1"/>
        <n v="-831500" u="1"/>
        <n v="-297500" u="1"/>
        <n v="-125000" u="1"/>
        <n v="-777750" u="1"/>
        <n v="-387500" u="1"/>
        <n v="-55000" u="1"/>
        <n v="-252265" u="1"/>
        <n v="-40000" u="1"/>
        <n v="-81250" u="1"/>
        <n v="-176250" u="1"/>
        <n v="-228750" u="1"/>
        <n v="-337500" u="1"/>
        <n v="-305000" u="1"/>
        <n v="-415500" u="1"/>
        <n v="-102000" u="1"/>
        <n v="-585000" u="1"/>
        <n v="-212500" u="1"/>
        <n v="-215750" u="1"/>
        <n v="-242500" u="1"/>
        <n v="-267500" u="1"/>
        <n v="-654250" u="1"/>
        <n v="-145000" u="1"/>
        <n v="-92000" u="1"/>
        <n v="-38290" u="1"/>
        <n v="-210000" u="1"/>
        <n v="-75000" u="1"/>
        <n v="-86500" u="1"/>
        <n v="-612500" u="1"/>
        <n v="-562500" u="1"/>
        <n v="-284750" u="1"/>
        <n v="-150000" u="1"/>
        <n v="89360000" u="1"/>
        <n v="129466818" u="1"/>
        <n v="107377000" u="1"/>
        <n v="55663300" u="1"/>
        <n v="63676000" u="1"/>
        <n v="60365700" u="1"/>
        <n v="135322000" u="1"/>
        <n v="154086500" u="1"/>
        <n v="63077750" u="1"/>
        <n v="143046800" u="1"/>
        <n v="53956491" u="1"/>
        <n v="-439289620" u="1"/>
        <n v="154550000" u="1"/>
        <n v="152324000" u="1"/>
        <n v="154791000" u="1"/>
        <n v="63454250" u="1"/>
        <n v="51542082" u="1"/>
        <n v="151450000" u="1"/>
        <n v="148188000" u="1"/>
        <n v="140259000" u="1"/>
        <n v="154350000" u="1"/>
        <n v="153338000" u="1"/>
        <n v="152620000" u="1"/>
        <n v="56827726" u="1"/>
        <n v="154420000" u="1"/>
        <n v="151880000" u="1"/>
        <n v="154632000" u="1"/>
        <n v="154045000" u="1"/>
        <n v="154700000" u="1"/>
        <n v="154308000" u="1"/>
        <n v="64445800" u="1"/>
        <n v="64011000" u="1"/>
        <n v="971637" u="1"/>
        <n v="58258210" u="1"/>
        <n v="62847500" u="1"/>
        <n v="83259700" u="1"/>
        <n v="63972750" u="1"/>
        <n v="64609700" u="1"/>
        <n v="46492300" u="1"/>
        <n v="61208800" u="1"/>
        <n v="50366850" u="1"/>
        <n v="62500000" u="1"/>
        <n v="57690400" u="1"/>
        <n v="62050600" u="1"/>
        <n v="85535000" u="1"/>
        <n v="85011050" u="1"/>
        <n v="147843376" u="1"/>
        <n v="64588000" u="1"/>
        <n v="59636850" u="1"/>
        <n v="63504000" u="1"/>
        <n v="73432050" u="1"/>
        <n v="88750000" u="1"/>
        <n v="85002000" u="1"/>
        <n v="86742000" u="1"/>
        <n v="152412000" u="1"/>
        <n v="154500000" u="1"/>
        <n v="151670100" u="1"/>
        <n v="152164000" u="1"/>
        <n v="60509300" u="1"/>
        <n v="62164000" u="1"/>
        <n v="64560000" u="1"/>
        <n v="58682000" u="1"/>
        <n v="-529289620" u="1"/>
        <n v="63064000" u="1"/>
        <n v="148682000" u="1"/>
        <n v="151850000" u="1"/>
        <n v="153825000" u="1"/>
        <n v="64000000" u="1"/>
        <n v="58900000" u="1"/>
        <n v="108205800" u="1"/>
        <n v="63170000" u="1"/>
        <n v="62450000" u="1"/>
        <n v="62490000" u="1"/>
        <n v="58188000" u="1"/>
        <n v="86790000" u="1"/>
        <n v="-504289620" u="1"/>
        <n v="63038526" u="1"/>
        <n v="64846836" u="1"/>
        <n v="63338000" u="1"/>
        <n v="59374200" u="1"/>
        <n v="57494100" u="1"/>
        <n v="107092095" u="1"/>
        <n v="107480000" u="1"/>
        <n v="49930120" u="1"/>
        <n v="87501000" u="1"/>
        <n v="57650000" u="1"/>
        <n v="150717800" u="1"/>
        <n v="107971000" u="1"/>
        <n v="72027600" u="1"/>
        <n v="60238000" u="1"/>
        <n v="63340000" u="1"/>
        <n v="83298230" u="1"/>
        <n v="89632000" u="1"/>
        <n v="51384100" u="1"/>
        <n v="143289782" u="1"/>
        <n v="62834000" u="1"/>
        <n v="58250000" u="1"/>
        <n v="63964000" u="1"/>
        <n v="62011000" u="1"/>
        <n v="57952750" u="1"/>
        <n v="63159700" u="1"/>
        <n v="62722000" u="1"/>
        <n v="88800000" u="1"/>
        <n v="107343000" u="1"/>
        <n v="63740450" u="1"/>
        <n v="63170500" u="1"/>
        <n v="63482170" u="1"/>
        <n v="82476800" u="1"/>
        <n v="63780100" u="1"/>
        <n v="87620300" u="1"/>
        <n v="84076230" u="1"/>
        <n v="64446500" u="1"/>
        <n v="65000000" u="1"/>
        <n v="64132720" u="1"/>
        <n v="64749400" u="1"/>
        <n v="60817220" u="1"/>
        <n v="78688143" u="1"/>
        <n v="57138050" u="1"/>
        <n v="109403700" u="1"/>
        <n v="61702500" u="1"/>
        <n v="61124000" u="1"/>
        <n v="154706000" u="1"/>
        <n v="56920220" u="1"/>
        <n v="64300000" u="1"/>
        <n v="62896000" u="1"/>
        <n v="152590800" u="1"/>
        <n v="89218000" u="1"/>
        <n v="32043600" u="1"/>
        <n v="61105700" u="1"/>
        <n v="10405982" u="1"/>
        <n v="153038526" u="1"/>
        <n v="76550000" u="1"/>
        <n v="86478500" u="1"/>
        <n v="131958950" u="1"/>
        <n v="153170000" u="1"/>
        <n v="62603000" u="1"/>
        <n v="89451000" u="1"/>
        <n v="63765000" u="1"/>
        <n v="63368000" u="1"/>
        <n v="153064000" u="1"/>
        <n v="88064000" u="1"/>
        <n v="63825000" u="1"/>
        <n v="109429600" u="1"/>
        <n v="78137120" u="1"/>
        <n v="150238000" u="1"/>
        <n v="152354750" u="1"/>
        <n v="63088400" u="1"/>
        <n v="38966264" u="1"/>
        <n v="108781000" u="1"/>
        <n v="63325272" u="1"/>
        <n v="145194500" u="1"/>
        <n v="84532500" u="1"/>
        <n v="89429600" u="1"/>
        <n v="87597000" u="1"/>
        <n v="53864459" u="1"/>
        <n v="79593850" u="1"/>
        <n v="88765000" u="1"/>
        <n v="56976300" u="1"/>
        <n v="64130000" u="1"/>
        <n v="146326900" u="1"/>
        <n v="149370000" u="1"/>
        <n v="146124000" u="1"/>
        <n v="148064000" u="1"/>
        <n v="64555000" u="1"/>
        <n v="88079000" u="1"/>
        <n v="-484289620" u="1"/>
        <n v="149796400" u="1"/>
        <n v="64625000" u="1"/>
        <n v="88340000" u="1"/>
        <n v="85238000" u="1"/>
        <n v="62159960" u="1"/>
        <n v="85313000" u="1"/>
        <n v="77987200" u="1"/>
        <n v="61742000" u="1"/>
        <n v="150000000" u="1"/>
        <n v="62620000" u="1"/>
        <n v="82250000" u="1"/>
        <n v="153992000" u="1"/>
        <n v="89601908" u="1"/>
        <n v="60535000" u="1"/>
        <n v="150002000" u="1"/>
        <n v="56516200" u="1"/>
        <n v="64680000" u="1"/>
        <n v="89550000" u="1"/>
        <n v="64592000" u="1"/>
        <n v="61880000" u="1"/>
        <n v="87412000" u="1"/>
        <n v="64401000" u="1"/>
        <n v="147419221" u="1"/>
        <n v="154601000" u="1"/>
        <n v="50259000" u="1"/>
        <n v="64210000" u="1"/>
        <n v="154229600" u="1"/>
        <n v="86511800" u="1"/>
        <n v="64712000" u="1"/>
        <n v="36073500" u="1"/>
        <n v="75259000" u="1"/>
        <n v="81485130" u="1"/>
        <n v="60883000" u="1"/>
        <n v="52840000" u="1"/>
        <n v="61430000" u="1"/>
        <n v="63626000" u="1"/>
        <n v="21485130" u="1"/>
        <n v="28395000" u="1"/>
        <n v="86490000" u="1"/>
        <n v="75781500" u="1"/>
        <n v="89672000" u="1"/>
        <n v="85830000" u="1"/>
        <n v="61979142" u="1"/>
        <n v="63041960" u="1"/>
        <n v="155000000" u="1"/>
        <n v="86485130" u="1"/>
        <n v="60016000" u="1"/>
        <n v="152604000" u="1"/>
        <n v="89760000" u="1"/>
        <n v="57050840" u="1"/>
        <n v="60291850" u="1"/>
        <n v="154153000" u="1"/>
        <n v="64338728" u="1"/>
        <n v="64800000" u="1"/>
        <n v="63710000" u="1"/>
        <n v="59905000" u="1"/>
        <n v="63132000" u="1"/>
        <n v="137477000" u="1"/>
        <n v="3249433440" u="1"/>
        <n v="3238383654" u="1"/>
        <n v="3250000000" u="1"/>
      </sharedItems>
    </cacheField>
    <cacheField name="Days (Date)" numFmtId="0" databaseField="0">
      <fieldGroup base="13">
        <rangePr groupBy="days" startDate="2025-08-01T00:00:00" endDate="2025-09-01T00:00:00"/>
        <groupItems count="368">
          <s v="&lt;8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1/2025"/>
        </groupItems>
      </fieldGroup>
    </cacheField>
    <cacheField name="Months (Date)" numFmtId="0" databaseField="0">
      <fieldGroup base="13">
        <rangePr groupBy="months" startDate="2025-08-01T00:00:00" endDate="2025-09-01T00:00:00"/>
        <groupItems count="14">
          <s v="&lt;8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7">
  <r>
    <s v="SUPER"/>
    <s v="HO"/>
    <s v="04/09/2025"/>
    <s v="01/08/2025-31/08/2025"/>
    <x v="0"/>
    <x v="0"/>
    <x v="0"/>
    <x v="0"/>
    <x v="0"/>
    <x v="0"/>
    <x v="0"/>
    <x v="0"/>
    <x v="0"/>
    <x v="0"/>
    <x v="0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1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2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3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4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5"/>
    <x v="0"/>
    <x v="0"/>
    <x v="0"/>
    <x v="0"/>
  </r>
  <r>
    <s v="SUPER"/>
    <s v="HO"/>
    <s v="04/09/2025"/>
    <s v="01/08/2025-31/08/2025"/>
    <x v="0"/>
    <x v="0"/>
    <x v="0"/>
    <x v="0"/>
    <x v="0"/>
    <x v="0"/>
    <x v="0"/>
    <x v="0"/>
    <x v="0"/>
    <x v="0"/>
    <x v="6"/>
    <x v="0"/>
    <x v="0"/>
    <x v="0"/>
    <x v="0"/>
  </r>
  <r>
    <s v="SUPER"/>
    <s v="HO"/>
    <s v="04/09/2025"/>
    <s v="01/08/2025-31/08/2025"/>
    <x v="1"/>
    <x v="1"/>
    <x v="1"/>
    <x v="0"/>
    <x v="0"/>
    <x v="0"/>
    <x v="0"/>
    <x v="0"/>
    <x v="0"/>
    <x v="0"/>
    <x v="7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8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9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10"/>
    <x v="0"/>
    <x v="0"/>
    <x v="0"/>
    <x v="1"/>
  </r>
  <r>
    <s v="SUPER"/>
    <s v="HO"/>
    <s v="04/09/2025"/>
    <s v="01/08/2025-31/08/2025"/>
    <x v="2"/>
    <x v="2"/>
    <x v="2"/>
    <x v="0"/>
    <x v="0"/>
    <x v="0"/>
    <x v="0"/>
    <x v="0"/>
    <x v="0"/>
    <x v="0"/>
    <x v="11"/>
    <x v="0"/>
    <x v="0"/>
    <x v="0"/>
    <x v="0"/>
  </r>
  <r>
    <s v="SUPER"/>
    <s v="HO"/>
    <s v="04/09/2025"/>
    <s v="01/08/2025-31/08/2025"/>
    <x v="1"/>
    <x v="1"/>
    <x v="1"/>
    <x v="0"/>
    <x v="0"/>
    <x v="0"/>
    <x v="0"/>
    <x v="0"/>
    <x v="0"/>
    <x v="0"/>
    <x v="12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13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14"/>
    <x v="0"/>
    <x v="0"/>
    <x v="0"/>
    <x v="1"/>
  </r>
  <r>
    <s v="SUPER"/>
    <s v="HO"/>
    <s v="04/09/2025"/>
    <s v="01/08/2025-31/08/2025"/>
    <x v="1"/>
    <x v="1"/>
    <x v="1"/>
    <x v="0"/>
    <x v="0"/>
    <x v="0"/>
    <x v="0"/>
    <x v="0"/>
    <x v="0"/>
    <x v="0"/>
    <x v="15"/>
    <x v="0"/>
    <x v="0"/>
    <x v="0"/>
    <x v="1"/>
  </r>
  <r>
    <s v="SUPER"/>
    <s v="HO"/>
    <s v="04/09/2025"/>
    <s v="01/08/2025-31/08/2025"/>
    <x v="2"/>
    <x v="2"/>
    <x v="2"/>
    <x v="0"/>
    <x v="0"/>
    <x v="0"/>
    <x v="0"/>
    <x v="0"/>
    <x v="0"/>
    <x v="0"/>
    <x v="16"/>
    <x v="0"/>
    <x v="0"/>
    <x v="0"/>
    <x v="0"/>
  </r>
  <r>
    <s v="SUPER"/>
    <s v="HO"/>
    <s v="04/09/2025"/>
    <s v="01/08/2025-31/08/2025"/>
    <x v="2"/>
    <x v="2"/>
    <x v="2"/>
    <x v="0"/>
    <x v="0"/>
    <x v="0"/>
    <x v="0"/>
    <x v="0"/>
    <x v="0"/>
    <x v="0"/>
    <x v="17"/>
    <x v="0"/>
    <x v="0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0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1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2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3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5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6"/>
    <x v="0"/>
    <x v="1"/>
    <x v="0"/>
    <x v="0"/>
  </r>
  <r>
    <s v="SUPER"/>
    <s v="HO"/>
    <s v="04/09/2025"/>
    <s v="01/08/2025-31/08/2025"/>
    <x v="3"/>
    <x v="3"/>
    <x v="3"/>
    <x v="0"/>
    <x v="1"/>
    <x v="0"/>
    <x v="0"/>
    <x v="0"/>
    <x v="0"/>
    <x v="0"/>
    <x v="18"/>
    <x v="0"/>
    <x v="1"/>
    <x v="0"/>
    <x v="2"/>
  </r>
  <r>
    <s v="SUPER"/>
    <s v="HO"/>
    <s v="04/09/2025"/>
    <s v="01/08/2025-31/08/2025"/>
    <x v="1"/>
    <x v="1"/>
    <x v="1"/>
    <x v="0"/>
    <x v="0"/>
    <x v="1"/>
    <x v="1"/>
    <x v="0"/>
    <x v="0"/>
    <x v="0"/>
    <x v="7"/>
    <x v="0"/>
    <x v="1"/>
    <x v="0"/>
    <x v="1"/>
  </r>
  <r>
    <s v="SUPER"/>
    <s v="HO"/>
    <s v="04/09/2025"/>
    <s v="01/08/2025-31/08/2025"/>
    <x v="1"/>
    <x v="1"/>
    <x v="1"/>
    <x v="0"/>
    <x v="0"/>
    <x v="1"/>
    <x v="1"/>
    <x v="0"/>
    <x v="0"/>
    <x v="0"/>
    <x v="8"/>
    <x v="0"/>
    <x v="1"/>
    <x v="0"/>
    <x v="1"/>
  </r>
  <r>
    <s v="SUPER"/>
    <s v="HO"/>
    <s v="04/09/2025"/>
    <s v="01/08/2025-31/08/2025"/>
    <x v="1"/>
    <x v="1"/>
    <x v="1"/>
    <x v="0"/>
    <x v="0"/>
    <x v="1"/>
    <x v="1"/>
    <x v="0"/>
    <x v="0"/>
    <x v="0"/>
    <x v="10"/>
    <x v="0"/>
    <x v="1"/>
    <x v="0"/>
    <x v="1"/>
  </r>
  <r>
    <s v="SUPER"/>
    <s v="HO"/>
    <s v="04/09/2025"/>
    <s v="01/08/2025-31/08/2025"/>
    <x v="2"/>
    <x v="2"/>
    <x v="2"/>
    <x v="0"/>
    <x v="0"/>
    <x v="1"/>
    <x v="1"/>
    <x v="0"/>
    <x v="0"/>
    <x v="0"/>
    <x v="11"/>
    <x v="0"/>
    <x v="1"/>
    <x v="0"/>
    <x v="0"/>
  </r>
  <r>
    <s v="SUPER"/>
    <s v="HO"/>
    <s v="04/09/2025"/>
    <s v="01/08/2025-31/08/2025"/>
    <x v="1"/>
    <x v="1"/>
    <x v="1"/>
    <x v="0"/>
    <x v="0"/>
    <x v="1"/>
    <x v="1"/>
    <x v="0"/>
    <x v="0"/>
    <x v="0"/>
    <x v="12"/>
    <x v="0"/>
    <x v="1"/>
    <x v="0"/>
    <x v="1"/>
  </r>
  <r>
    <s v="SUPER"/>
    <s v="HO"/>
    <s v="04/09/2025"/>
    <s v="01/08/2025-31/08/2025"/>
    <x v="1"/>
    <x v="1"/>
    <x v="1"/>
    <x v="0"/>
    <x v="0"/>
    <x v="1"/>
    <x v="1"/>
    <x v="0"/>
    <x v="0"/>
    <x v="0"/>
    <x v="13"/>
    <x v="0"/>
    <x v="1"/>
    <x v="0"/>
    <x v="1"/>
  </r>
  <r>
    <s v="SUPER"/>
    <s v="HO"/>
    <s v="04/09/2025"/>
    <s v="01/08/2025-31/08/2025"/>
    <x v="1"/>
    <x v="1"/>
    <x v="1"/>
    <x v="0"/>
    <x v="0"/>
    <x v="1"/>
    <x v="1"/>
    <x v="0"/>
    <x v="0"/>
    <x v="0"/>
    <x v="14"/>
    <x v="0"/>
    <x v="1"/>
    <x v="0"/>
    <x v="1"/>
  </r>
  <r>
    <s v="SUPER"/>
    <s v="HO"/>
    <s v="04/09/2025"/>
    <s v="01/08/2025-31/08/2025"/>
    <x v="1"/>
    <x v="1"/>
    <x v="1"/>
    <x v="0"/>
    <x v="0"/>
    <x v="1"/>
    <x v="1"/>
    <x v="0"/>
    <x v="0"/>
    <x v="0"/>
    <x v="15"/>
    <x v="0"/>
    <x v="1"/>
    <x v="0"/>
    <x v="1"/>
  </r>
  <r>
    <s v="SUPER"/>
    <s v="HO"/>
    <s v="04/09/2025"/>
    <s v="01/08/2025-31/08/2025"/>
    <x v="2"/>
    <x v="2"/>
    <x v="2"/>
    <x v="0"/>
    <x v="0"/>
    <x v="1"/>
    <x v="1"/>
    <x v="0"/>
    <x v="0"/>
    <x v="0"/>
    <x v="16"/>
    <x v="0"/>
    <x v="1"/>
    <x v="0"/>
    <x v="0"/>
  </r>
  <r>
    <s v="SUPER"/>
    <s v="HO"/>
    <s v="04/09/2025"/>
    <s v="01/08/2025-31/08/2025"/>
    <x v="2"/>
    <x v="2"/>
    <x v="2"/>
    <x v="0"/>
    <x v="0"/>
    <x v="1"/>
    <x v="1"/>
    <x v="0"/>
    <x v="0"/>
    <x v="0"/>
    <x v="17"/>
    <x v="0"/>
    <x v="1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4"/>
    <x v="0"/>
    <x v="2"/>
    <x v="0"/>
    <x v="0"/>
  </r>
  <r>
    <s v="SUPER"/>
    <s v="HO"/>
    <s v="04/09/2025"/>
    <s v="01/08/2025-31/08/2025"/>
    <x v="1"/>
    <x v="1"/>
    <x v="1"/>
    <x v="0"/>
    <x v="0"/>
    <x v="1"/>
    <x v="1"/>
    <x v="0"/>
    <x v="0"/>
    <x v="0"/>
    <x v="9"/>
    <x v="0"/>
    <x v="3"/>
    <x v="0"/>
    <x v="1"/>
  </r>
  <r>
    <s v="SUPER"/>
    <s v="HO"/>
    <s v="04/09/2025"/>
    <s v="01/08/2025-31/08/2025"/>
    <x v="3"/>
    <x v="3"/>
    <x v="3"/>
    <x v="0"/>
    <x v="1"/>
    <x v="1"/>
    <x v="1"/>
    <x v="0"/>
    <x v="0"/>
    <x v="0"/>
    <x v="18"/>
    <x v="0"/>
    <x v="4"/>
    <x v="0"/>
    <x v="2"/>
  </r>
  <r>
    <s v="SUPER"/>
    <s v="HO"/>
    <s v="04/09/2025"/>
    <s v="01/08/2025-31/08/2025"/>
    <x v="0"/>
    <x v="0"/>
    <x v="0"/>
    <x v="0"/>
    <x v="0"/>
    <x v="0"/>
    <x v="0"/>
    <x v="0"/>
    <x v="0"/>
    <x v="0"/>
    <x v="19"/>
    <x v="0"/>
    <x v="5"/>
    <x v="0"/>
    <x v="0"/>
  </r>
  <r>
    <s v="SUPER"/>
    <s v="HO"/>
    <s v="04/09/2025"/>
    <s v="01/08/2025-31/08/2025"/>
    <x v="0"/>
    <x v="0"/>
    <x v="0"/>
    <x v="0"/>
    <x v="0"/>
    <x v="1"/>
    <x v="1"/>
    <x v="0"/>
    <x v="0"/>
    <x v="0"/>
    <x v="19"/>
    <x v="0"/>
    <x v="6"/>
    <x v="0"/>
    <x v="0"/>
  </r>
  <r>
    <s v="SUPER"/>
    <s v="HO"/>
    <s v="04/09/2025"/>
    <s v="01/08/2025-31/08/2025"/>
    <x v="3"/>
    <x v="3"/>
    <x v="3"/>
    <x v="0"/>
    <x v="1"/>
    <x v="0"/>
    <x v="0"/>
    <x v="0"/>
    <x v="0"/>
    <x v="0"/>
    <x v="20"/>
    <x v="0"/>
    <x v="7"/>
    <x v="0"/>
    <x v="2"/>
  </r>
  <r>
    <s v="SUPER"/>
    <s v="HO"/>
    <s v="04/09/2025"/>
    <s v="01/08/2025-31/08/2025"/>
    <x v="3"/>
    <x v="3"/>
    <x v="3"/>
    <x v="0"/>
    <x v="1"/>
    <x v="1"/>
    <x v="1"/>
    <x v="0"/>
    <x v="0"/>
    <x v="0"/>
    <x v="20"/>
    <x v="0"/>
    <x v="8"/>
    <x v="0"/>
    <x v="2"/>
  </r>
  <r>
    <s v="SUPER"/>
    <s v="HO"/>
    <s v="04/09/2025"/>
    <s v="01/08/2025-31/08/2025"/>
    <x v="4"/>
    <x v="4"/>
    <x v="4"/>
    <x v="0"/>
    <x v="2"/>
    <x v="2"/>
    <x v="2"/>
    <x v="1"/>
    <x v="1"/>
    <x v="0"/>
    <x v="21"/>
    <x v="0"/>
    <x v="9"/>
    <x v="1"/>
    <x v="3"/>
  </r>
  <r>
    <s v="SUPER"/>
    <s v="HO"/>
    <s v="04/09/2025"/>
    <s v="01/08/2025-31/08/2025"/>
    <x v="5"/>
    <x v="5"/>
    <x v="4"/>
    <x v="0"/>
    <x v="2"/>
    <x v="3"/>
    <x v="3"/>
    <x v="2"/>
    <x v="2"/>
    <x v="0"/>
    <x v="10"/>
    <x v="0"/>
    <x v="10"/>
    <x v="2"/>
    <x v="4"/>
  </r>
  <r>
    <s v="SUPER"/>
    <s v="HO"/>
    <s v="04/09/2025"/>
    <s v="01/08/2025-31/08/2025"/>
    <x v="6"/>
    <x v="6"/>
    <x v="5"/>
    <x v="0"/>
    <x v="2"/>
    <x v="4"/>
    <x v="4"/>
    <x v="3"/>
    <x v="3"/>
    <x v="0"/>
    <x v="0"/>
    <x v="0"/>
    <x v="11"/>
    <x v="3"/>
    <x v="5"/>
  </r>
  <r>
    <s v="SUPER"/>
    <s v="HO"/>
    <s v="04/09/2025"/>
    <s v="01/08/2025-31/08/2025"/>
    <x v="7"/>
    <x v="7"/>
    <x v="6"/>
    <x v="0"/>
    <x v="0"/>
    <x v="5"/>
    <x v="5"/>
    <x v="4"/>
    <x v="4"/>
    <x v="0"/>
    <x v="5"/>
    <x v="0"/>
    <x v="12"/>
    <x v="4"/>
    <x v="6"/>
  </r>
  <r>
    <s v="SUPER"/>
    <s v="HO"/>
    <s v="04/09/2025"/>
    <s v="01/08/2025-31/08/2025"/>
    <x v="7"/>
    <x v="7"/>
    <x v="6"/>
    <x v="0"/>
    <x v="0"/>
    <x v="6"/>
    <x v="6"/>
    <x v="4"/>
    <x v="4"/>
    <x v="0"/>
    <x v="5"/>
    <x v="1"/>
    <x v="12"/>
    <x v="4"/>
    <x v="6"/>
  </r>
  <r>
    <s v="SUPER"/>
    <s v="HO"/>
    <s v="04/09/2025"/>
    <s v="01/08/2025-31/08/2025"/>
    <x v="8"/>
    <x v="8"/>
    <x v="7"/>
    <x v="0"/>
    <x v="1"/>
    <x v="7"/>
    <x v="7"/>
    <x v="5"/>
    <x v="5"/>
    <x v="0"/>
    <x v="0"/>
    <x v="0"/>
    <x v="13"/>
    <x v="4"/>
    <x v="7"/>
  </r>
  <r>
    <s v="SUPER"/>
    <s v="HO"/>
    <s v="04/09/2025"/>
    <s v="01/08/2025-31/08/2025"/>
    <x v="9"/>
    <x v="9"/>
    <x v="8"/>
    <x v="0"/>
    <x v="3"/>
    <x v="8"/>
    <x v="8"/>
    <x v="6"/>
    <x v="6"/>
    <x v="0"/>
    <x v="21"/>
    <x v="0"/>
    <x v="14"/>
    <x v="4"/>
    <x v="8"/>
  </r>
  <r>
    <s v="SUPER"/>
    <s v="HO"/>
    <s v="04/09/2025"/>
    <s v="01/08/2025-31/08/2025"/>
    <x v="10"/>
    <x v="10"/>
    <x v="9"/>
    <x v="0"/>
    <x v="3"/>
    <x v="9"/>
    <x v="9"/>
    <x v="7"/>
    <x v="7"/>
    <x v="0"/>
    <x v="13"/>
    <x v="0"/>
    <x v="15"/>
    <x v="5"/>
    <x v="9"/>
  </r>
  <r>
    <s v="SUPER"/>
    <s v="HO"/>
    <s v="04/09/2025"/>
    <s v="01/08/2025-31/08/2025"/>
    <x v="3"/>
    <x v="3"/>
    <x v="3"/>
    <x v="0"/>
    <x v="1"/>
    <x v="10"/>
    <x v="10"/>
    <x v="8"/>
    <x v="8"/>
    <x v="0"/>
    <x v="2"/>
    <x v="0"/>
    <x v="16"/>
    <x v="4"/>
    <x v="2"/>
  </r>
  <r>
    <s v="SUPER"/>
    <s v="HO"/>
    <s v="04/09/2025"/>
    <s v="01/08/2025-31/08/2025"/>
    <x v="3"/>
    <x v="3"/>
    <x v="3"/>
    <x v="0"/>
    <x v="1"/>
    <x v="11"/>
    <x v="11"/>
    <x v="8"/>
    <x v="8"/>
    <x v="0"/>
    <x v="2"/>
    <x v="1"/>
    <x v="16"/>
    <x v="4"/>
    <x v="2"/>
  </r>
  <r>
    <s v="SUPER"/>
    <s v="HO"/>
    <s v="04/09/2025"/>
    <s v="01/08/2025-31/08/2025"/>
    <x v="11"/>
    <x v="11"/>
    <x v="1"/>
    <x v="0"/>
    <x v="0"/>
    <x v="12"/>
    <x v="12"/>
    <x v="9"/>
    <x v="9"/>
    <x v="0"/>
    <x v="14"/>
    <x v="0"/>
    <x v="17"/>
    <x v="6"/>
    <x v="10"/>
  </r>
  <r>
    <s v="SUPER"/>
    <s v="HO"/>
    <s v="04/09/2025"/>
    <s v="01/08/2025-31/08/2025"/>
    <x v="11"/>
    <x v="11"/>
    <x v="1"/>
    <x v="0"/>
    <x v="0"/>
    <x v="13"/>
    <x v="13"/>
    <x v="9"/>
    <x v="9"/>
    <x v="0"/>
    <x v="14"/>
    <x v="1"/>
    <x v="17"/>
    <x v="6"/>
    <x v="10"/>
  </r>
  <r>
    <s v="SUPER"/>
    <s v="HO"/>
    <s v="04/09/2025"/>
    <s v="01/08/2025-31/08/2025"/>
    <x v="12"/>
    <x v="12"/>
    <x v="10"/>
    <x v="0"/>
    <x v="0"/>
    <x v="14"/>
    <x v="14"/>
    <x v="10"/>
    <x v="10"/>
    <x v="1"/>
    <x v="22"/>
    <x v="0"/>
    <x v="18"/>
    <x v="0"/>
    <x v="11"/>
  </r>
  <r>
    <s v="SUPER"/>
    <s v="HO"/>
    <s v="04/09/2025"/>
    <s v="01/08/2025-31/08/2025"/>
    <x v="12"/>
    <x v="12"/>
    <x v="10"/>
    <x v="0"/>
    <x v="0"/>
    <x v="15"/>
    <x v="15"/>
    <x v="10"/>
    <x v="10"/>
    <x v="1"/>
    <x v="22"/>
    <x v="1"/>
    <x v="18"/>
    <x v="0"/>
    <x v="11"/>
  </r>
  <r>
    <s v="SUPER"/>
    <s v="HO"/>
    <s v="04/09/2025"/>
    <s v="01/08/2025-31/08/2025"/>
    <x v="13"/>
    <x v="13"/>
    <x v="4"/>
    <x v="0"/>
    <x v="2"/>
    <x v="16"/>
    <x v="16"/>
    <x v="11"/>
    <x v="11"/>
    <x v="0"/>
    <x v="23"/>
    <x v="0"/>
    <x v="19"/>
    <x v="4"/>
    <x v="12"/>
  </r>
  <r>
    <s v="SUPER"/>
    <s v="HO"/>
    <s v="04/09/2025"/>
    <s v="01/08/2025-31/08/2025"/>
    <x v="14"/>
    <x v="14"/>
    <x v="5"/>
    <x v="0"/>
    <x v="2"/>
    <x v="17"/>
    <x v="17"/>
    <x v="12"/>
    <x v="12"/>
    <x v="0"/>
    <x v="23"/>
    <x v="0"/>
    <x v="20"/>
    <x v="7"/>
    <x v="13"/>
  </r>
  <r>
    <s v="SUPER"/>
    <s v="HO"/>
    <s v="04/09/2025"/>
    <s v="01/08/2025-31/08/2025"/>
    <x v="11"/>
    <x v="11"/>
    <x v="1"/>
    <x v="0"/>
    <x v="0"/>
    <x v="18"/>
    <x v="18"/>
    <x v="9"/>
    <x v="9"/>
    <x v="0"/>
    <x v="2"/>
    <x v="0"/>
    <x v="21"/>
    <x v="1"/>
    <x v="10"/>
  </r>
  <r>
    <s v="SUPER"/>
    <s v="HO"/>
    <s v="04/09/2025"/>
    <s v="01/08/2025-31/08/2025"/>
    <x v="11"/>
    <x v="11"/>
    <x v="1"/>
    <x v="0"/>
    <x v="0"/>
    <x v="19"/>
    <x v="19"/>
    <x v="9"/>
    <x v="9"/>
    <x v="0"/>
    <x v="2"/>
    <x v="1"/>
    <x v="21"/>
    <x v="1"/>
    <x v="10"/>
  </r>
  <r>
    <s v="SUPER"/>
    <s v="HO"/>
    <s v="04/09/2025"/>
    <s v="01/08/2025-31/08/2025"/>
    <x v="11"/>
    <x v="11"/>
    <x v="1"/>
    <x v="0"/>
    <x v="0"/>
    <x v="18"/>
    <x v="18"/>
    <x v="9"/>
    <x v="9"/>
    <x v="0"/>
    <x v="2"/>
    <x v="2"/>
    <x v="21"/>
    <x v="1"/>
    <x v="10"/>
  </r>
  <r>
    <s v="SUPER"/>
    <s v="HO"/>
    <s v="04/09/2025"/>
    <s v="01/08/2025-31/08/2025"/>
    <x v="11"/>
    <x v="11"/>
    <x v="1"/>
    <x v="0"/>
    <x v="0"/>
    <x v="19"/>
    <x v="19"/>
    <x v="9"/>
    <x v="9"/>
    <x v="0"/>
    <x v="2"/>
    <x v="0"/>
    <x v="22"/>
    <x v="4"/>
    <x v="10"/>
  </r>
  <r>
    <s v="SUPER"/>
    <s v="HO"/>
    <s v="04/09/2025"/>
    <s v="01/08/2025-31/08/2025"/>
    <x v="15"/>
    <x v="15"/>
    <x v="11"/>
    <x v="0"/>
    <x v="3"/>
    <x v="20"/>
    <x v="20"/>
    <x v="13"/>
    <x v="13"/>
    <x v="0"/>
    <x v="13"/>
    <x v="0"/>
    <x v="22"/>
    <x v="4"/>
    <x v="14"/>
  </r>
  <r>
    <s v="SUPER"/>
    <s v="HO"/>
    <s v="04/09/2025"/>
    <s v="01/08/2025-31/08/2025"/>
    <x v="11"/>
    <x v="11"/>
    <x v="1"/>
    <x v="0"/>
    <x v="0"/>
    <x v="18"/>
    <x v="18"/>
    <x v="9"/>
    <x v="9"/>
    <x v="0"/>
    <x v="2"/>
    <x v="1"/>
    <x v="22"/>
    <x v="4"/>
    <x v="10"/>
  </r>
  <r>
    <s v="SUPER"/>
    <s v="HO"/>
    <s v="04/09/2025"/>
    <s v="01/08/2025-31/08/2025"/>
    <x v="11"/>
    <x v="11"/>
    <x v="1"/>
    <x v="0"/>
    <x v="0"/>
    <x v="18"/>
    <x v="18"/>
    <x v="9"/>
    <x v="9"/>
    <x v="0"/>
    <x v="2"/>
    <x v="2"/>
    <x v="22"/>
    <x v="4"/>
    <x v="10"/>
  </r>
  <r>
    <s v="SUPER"/>
    <s v="HO"/>
    <s v="04/09/2025"/>
    <s v="01/08/2025-31/08/2025"/>
    <x v="16"/>
    <x v="16"/>
    <x v="12"/>
    <x v="0"/>
    <x v="3"/>
    <x v="21"/>
    <x v="21"/>
    <x v="14"/>
    <x v="14"/>
    <x v="0"/>
    <x v="18"/>
    <x v="0"/>
    <x v="23"/>
    <x v="8"/>
    <x v="15"/>
  </r>
  <r>
    <s v="SUPER"/>
    <s v="HO"/>
    <s v="04/09/2025"/>
    <s v="01/08/2025-31/08/2025"/>
    <x v="17"/>
    <x v="17"/>
    <x v="9"/>
    <x v="0"/>
    <x v="3"/>
    <x v="22"/>
    <x v="22"/>
    <x v="15"/>
    <x v="15"/>
    <x v="0"/>
    <x v="5"/>
    <x v="0"/>
    <x v="24"/>
    <x v="3"/>
    <x v="16"/>
  </r>
  <r>
    <s v="SUPER"/>
    <s v="HO"/>
    <s v="04/09/2025"/>
    <s v="01/08/2025-31/08/2025"/>
    <x v="18"/>
    <x v="18"/>
    <x v="12"/>
    <x v="0"/>
    <x v="3"/>
    <x v="23"/>
    <x v="23"/>
    <x v="16"/>
    <x v="16"/>
    <x v="0"/>
    <x v="14"/>
    <x v="0"/>
    <x v="25"/>
    <x v="9"/>
    <x v="17"/>
  </r>
  <r>
    <s v="SUPER"/>
    <s v="HO"/>
    <s v="04/09/2025"/>
    <s v="01/08/2025-31/08/2025"/>
    <x v="18"/>
    <x v="18"/>
    <x v="12"/>
    <x v="0"/>
    <x v="3"/>
    <x v="24"/>
    <x v="24"/>
    <x v="16"/>
    <x v="16"/>
    <x v="0"/>
    <x v="14"/>
    <x v="1"/>
    <x v="25"/>
    <x v="9"/>
    <x v="17"/>
  </r>
  <r>
    <s v="SUPER"/>
    <s v="HO"/>
    <s v="04/09/2025"/>
    <s v="01/08/2025-31/08/2025"/>
    <x v="18"/>
    <x v="18"/>
    <x v="12"/>
    <x v="0"/>
    <x v="3"/>
    <x v="25"/>
    <x v="25"/>
    <x v="16"/>
    <x v="16"/>
    <x v="0"/>
    <x v="14"/>
    <x v="2"/>
    <x v="25"/>
    <x v="9"/>
    <x v="17"/>
  </r>
  <r>
    <s v="SUPER"/>
    <s v="HO"/>
    <s v="04/09/2025"/>
    <s v="01/08/2025-31/08/2025"/>
    <x v="18"/>
    <x v="18"/>
    <x v="12"/>
    <x v="0"/>
    <x v="3"/>
    <x v="26"/>
    <x v="26"/>
    <x v="16"/>
    <x v="16"/>
    <x v="0"/>
    <x v="14"/>
    <x v="3"/>
    <x v="25"/>
    <x v="9"/>
    <x v="17"/>
  </r>
  <r>
    <s v="SUPER"/>
    <s v="HO"/>
    <s v="04/09/2025"/>
    <s v="01/08/2025-31/08/2025"/>
    <x v="18"/>
    <x v="18"/>
    <x v="12"/>
    <x v="0"/>
    <x v="3"/>
    <x v="27"/>
    <x v="27"/>
    <x v="16"/>
    <x v="16"/>
    <x v="0"/>
    <x v="14"/>
    <x v="4"/>
    <x v="25"/>
    <x v="9"/>
    <x v="17"/>
  </r>
  <r>
    <s v="SUPER"/>
    <s v="HO"/>
    <s v="04/09/2025"/>
    <s v="01/08/2025-31/08/2025"/>
    <x v="18"/>
    <x v="18"/>
    <x v="12"/>
    <x v="0"/>
    <x v="3"/>
    <x v="28"/>
    <x v="28"/>
    <x v="16"/>
    <x v="16"/>
    <x v="0"/>
    <x v="14"/>
    <x v="5"/>
    <x v="25"/>
    <x v="9"/>
    <x v="17"/>
  </r>
  <r>
    <s v="SUPER"/>
    <s v="HO"/>
    <s v="04/09/2025"/>
    <s v="01/08/2025-31/08/2025"/>
    <x v="18"/>
    <x v="18"/>
    <x v="12"/>
    <x v="0"/>
    <x v="3"/>
    <x v="29"/>
    <x v="29"/>
    <x v="16"/>
    <x v="16"/>
    <x v="0"/>
    <x v="14"/>
    <x v="6"/>
    <x v="25"/>
    <x v="9"/>
    <x v="17"/>
  </r>
  <r>
    <s v="SUPER"/>
    <s v="HO"/>
    <s v="04/09/2025"/>
    <s v="01/08/2025-31/08/2025"/>
    <x v="19"/>
    <x v="19"/>
    <x v="6"/>
    <x v="0"/>
    <x v="0"/>
    <x v="30"/>
    <x v="30"/>
    <x v="17"/>
    <x v="17"/>
    <x v="0"/>
    <x v="1"/>
    <x v="0"/>
    <x v="26"/>
    <x v="10"/>
    <x v="18"/>
  </r>
  <r>
    <s v="SUPER"/>
    <s v="HO"/>
    <s v="04/09/2025"/>
    <s v="01/08/2025-31/08/2025"/>
    <x v="20"/>
    <x v="20"/>
    <x v="1"/>
    <x v="0"/>
    <x v="0"/>
    <x v="31"/>
    <x v="31"/>
    <x v="1"/>
    <x v="1"/>
    <x v="0"/>
    <x v="21"/>
    <x v="0"/>
    <x v="27"/>
    <x v="10"/>
    <x v="19"/>
  </r>
  <r>
    <s v="SUPER"/>
    <s v="HO"/>
    <s v="04/09/2025"/>
    <s v="01/08/2025-31/08/2025"/>
    <x v="21"/>
    <x v="21"/>
    <x v="13"/>
    <x v="0"/>
    <x v="4"/>
    <x v="32"/>
    <x v="32"/>
    <x v="18"/>
    <x v="18"/>
    <x v="0"/>
    <x v="14"/>
    <x v="0"/>
    <x v="28"/>
    <x v="9"/>
    <x v="20"/>
  </r>
  <r>
    <s v="SUPER"/>
    <s v="HO"/>
    <s v="04/09/2025"/>
    <s v="01/08/2025-31/08/2025"/>
    <x v="21"/>
    <x v="21"/>
    <x v="13"/>
    <x v="0"/>
    <x v="4"/>
    <x v="33"/>
    <x v="33"/>
    <x v="18"/>
    <x v="18"/>
    <x v="0"/>
    <x v="14"/>
    <x v="1"/>
    <x v="28"/>
    <x v="9"/>
    <x v="20"/>
  </r>
  <r>
    <s v="SUPER"/>
    <s v="HO"/>
    <s v="04/09/2025"/>
    <s v="01/08/2025-31/08/2025"/>
    <x v="21"/>
    <x v="21"/>
    <x v="13"/>
    <x v="0"/>
    <x v="4"/>
    <x v="32"/>
    <x v="32"/>
    <x v="18"/>
    <x v="18"/>
    <x v="0"/>
    <x v="14"/>
    <x v="0"/>
    <x v="29"/>
    <x v="9"/>
    <x v="20"/>
  </r>
  <r>
    <s v="SUPER"/>
    <s v="HO"/>
    <s v="04/09/2025"/>
    <s v="01/08/2025-31/08/2025"/>
    <x v="21"/>
    <x v="21"/>
    <x v="13"/>
    <x v="0"/>
    <x v="4"/>
    <x v="32"/>
    <x v="32"/>
    <x v="18"/>
    <x v="18"/>
    <x v="0"/>
    <x v="14"/>
    <x v="1"/>
    <x v="29"/>
    <x v="9"/>
    <x v="20"/>
  </r>
  <r>
    <s v="SUPER"/>
    <s v="HO"/>
    <s v="04/09/2025"/>
    <s v="01/08/2025-31/08/2025"/>
    <x v="22"/>
    <x v="22"/>
    <x v="14"/>
    <x v="0"/>
    <x v="3"/>
    <x v="31"/>
    <x v="31"/>
    <x v="1"/>
    <x v="1"/>
    <x v="0"/>
    <x v="21"/>
    <x v="0"/>
    <x v="30"/>
    <x v="10"/>
    <x v="21"/>
  </r>
  <r>
    <s v="SUPER"/>
    <s v="HO"/>
    <s v="04/09/2025"/>
    <s v="01/08/2025-31/08/2025"/>
    <x v="23"/>
    <x v="23"/>
    <x v="9"/>
    <x v="0"/>
    <x v="3"/>
    <x v="34"/>
    <x v="34"/>
    <x v="19"/>
    <x v="19"/>
    <x v="0"/>
    <x v="21"/>
    <x v="0"/>
    <x v="31"/>
    <x v="11"/>
    <x v="22"/>
  </r>
  <r>
    <s v="SUPER"/>
    <s v="HO"/>
    <s v="04/09/2025"/>
    <s v="01/08/2025-31/08/2025"/>
    <x v="23"/>
    <x v="23"/>
    <x v="9"/>
    <x v="0"/>
    <x v="3"/>
    <x v="35"/>
    <x v="35"/>
    <x v="19"/>
    <x v="19"/>
    <x v="0"/>
    <x v="21"/>
    <x v="1"/>
    <x v="31"/>
    <x v="11"/>
    <x v="22"/>
  </r>
  <r>
    <s v="SUPER"/>
    <s v="HO"/>
    <s v="04/09/2025"/>
    <s v="01/08/2025-31/08/2025"/>
    <x v="23"/>
    <x v="23"/>
    <x v="9"/>
    <x v="0"/>
    <x v="3"/>
    <x v="36"/>
    <x v="36"/>
    <x v="19"/>
    <x v="19"/>
    <x v="0"/>
    <x v="21"/>
    <x v="2"/>
    <x v="31"/>
    <x v="11"/>
    <x v="22"/>
  </r>
  <r>
    <s v="SUPER"/>
    <s v="HO"/>
    <s v="04/09/2025"/>
    <s v="01/08/2025-31/08/2025"/>
    <x v="24"/>
    <x v="24"/>
    <x v="12"/>
    <x v="0"/>
    <x v="3"/>
    <x v="37"/>
    <x v="37"/>
    <x v="20"/>
    <x v="20"/>
    <x v="0"/>
    <x v="1"/>
    <x v="0"/>
    <x v="32"/>
    <x v="4"/>
    <x v="23"/>
  </r>
  <r>
    <s v="SUPER"/>
    <s v="HO"/>
    <s v="04/09/2025"/>
    <s v="01/08/2025-31/08/2025"/>
    <x v="7"/>
    <x v="7"/>
    <x v="6"/>
    <x v="0"/>
    <x v="0"/>
    <x v="38"/>
    <x v="38"/>
    <x v="4"/>
    <x v="4"/>
    <x v="0"/>
    <x v="21"/>
    <x v="0"/>
    <x v="32"/>
    <x v="1"/>
    <x v="6"/>
  </r>
  <r>
    <s v="SUPER"/>
    <s v="HO"/>
    <s v="04/09/2025"/>
    <s v="01/08/2025-31/08/2025"/>
    <x v="25"/>
    <x v="25"/>
    <x v="14"/>
    <x v="0"/>
    <x v="3"/>
    <x v="39"/>
    <x v="39"/>
    <x v="21"/>
    <x v="21"/>
    <x v="0"/>
    <x v="1"/>
    <x v="0"/>
    <x v="33"/>
    <x v="11"/>
    <x v="24"/>
  </r>
  <r>
    <s v="SUPER"/>
    <s v="HO"/>
    <s v="04/09/2025"/>
    <s v="01/08/2025-31/08/2025"/>
    <x v="10"/>
    <x v="10"/>
    <x v="9"/>
    <x v="0"/>
    <x v="3"/>
    <x v="40"/>
    <x v="40"/>
    <x v="7"/>
    <x v="7"/>
    <x v="0"/>
    <x v="19"/>
    <x v="0"/>
    <x v="34"/>
    <x v="4"/>
    <x v="9"/>
  </r>
  <r>
    <s v="SUPER"/>
    <s v="HO"/>
    <s v="04/09/2025"/>
    <s v="01/08/2025-31/08/2025"/>
    <x v="26"/>
    <x v="26"/>
    <x v="15"/>
    <x v="0"/>
    <x v="0"/>
    <x v="41"/>
    <x v="41"/>
    <x v="22"/>
    <x v="22"/>
    <x v="1"/>
    <x v="24"/>
    <x v="0"/>
    <x v="35"/>
    <x v="12"/>
    <x v="25"/>
  </r>
  <r>
    <s v="SUPER"/>
    <s v="HO"/>
    <s v="04/09/2025"/>
    <s v="01/08/2025-31/08/2025"/>
    <x v="27"/>
    <x v="27"/>
    <x v="16"/>
    <x v="0"/>
    <x v="1"/>
    <x v="42"/>
    <x v="42"/>
    <x v="23"/>
    <x v="23"/>
    <x v="1"/>
    <x v="25"/>
    <x v="0"/>
    <x v="36"/>
    <x v="0"/>
    <x v="26"/>
  </r>
  <r>
    <s v="SUPER"/>
    <s v="HO"/>
    <s v="04/09/2025"/>
    <s v="01/08/2025-31/08/2025"/>
    <x v="28"/>
    <x v="28"/>
    <x v="11"/>
    <x v="0"/>
    <x v="3"/>
    <x v="11"/>
    <x v="11"/>
    <x v="1"/>
    <x v="1"/>
    <x v="0"/>
    <x v="21"/>
    <x v="0"/>
    <x v="37"/>
    <x v="11"/>
    <x v="27"/>
  </r>
  <r>
    <s v="SUPER"/>
    <s v="HO"/>
    <s v="04/09/2025"/>
    <s v="01/08/2025-31/08/2025"/>
    <x v="29"/>
    <x v="29"/>
    <x v="9"/>
    <x v="0"/>
    <x v="3"/>
    <x v="39"/>
    <x v="39"/>
    <x v="24"/>
    <x v="24"/>
    <x v="1"/>
    <x v="2"/>
    <x v="0"/>
    <x v="38"/>
    <x v="4"/>
    <x v="28"/>
  </r>
  <r>
    <s v="SUPER"/>
    <s v="HO"/>
    <s v="04/09/2025"/>
    <s v="01/08/2025-31/08/2025"/>
    <x v="20"/>
    <x v="20"/>
    <x v="1"/>
    <x v="0"/>
    <x v="0"/>
    <x v="43"/>
    <x v="43"/>
    <x v="25"/>
    <x v="25"/>
    <x v="1"/>
    <x v="24"/>
    <x v="0"/>
    <x v="39"/>
    <x v="13"/>
    <x v="19"/>
  </r>
  <r>
    <s v="SUPER"/>
    <s v="HO"/>
    <s v="04/09/2025"/>
    <s v="01/08/2025-31/08/2025"/>
    <x v="30"/>
    <x v="30"/>
    <x v="1"/>
    <x v="0"/>
    <x v="0"/>
    <x v="44"/>
    <x v="44"/>
    <x v="26"/>
    <x v="26"/>
    <x v="2"/>
    <x v="26"/>
    <x v="0"/>
    <x v="40"/>
    <x v="4"/>
    <x v="29"/>
  </r>
  <r>
    <s v="SUPER"/>
    <s v="HO"/>
    <s v="04/09/2025"/>
    <s v="01/08/2025-31/08/2025"/>
    <x v="30"/>
    <x v="30"/>
    <x v="1"/>
    <x v="0"/>
    <x v="0"/>
    <x v="45"/>
    <x v="45"/>
    <x v="26"/>
    <x v="26"/>
    <x v="2"/>
    <x v="26"/>
    <x v="1"/>
    <x v="40"/>
    <x v="4"/>
    <x v="29"/>
  </r>
  <r>
    <s v="SUPER"/>
    <s v="HO"/>
    <s v="04/09/2025"/>
    <s v="01/08/2025-31/08/2025"/>
    <x v="31"/>
    <x v="31"/>
    <x v="17"/>
    <x v="0"/>
    <x v="3"/>
    <x v="46"/>
    <x v="46"/>
    <x v="17"/>
    <x v="17"/>
    <x v="2"/>
    <x v="11"/>
    <x v="0"/>
    <x v="41"/>
    <x v="4"/>
    <x v="30"/>
  </r>
  <r>
    <s v="SUPER"/>
    <s v="HO"/>
    <s v="04/09/2025"/>
    <s v="01/08/2025-31/08/2025"/>
    <x v="12"/>
    <x v="12"/>
    <x v="10"/>
    <x v="0"/>
    <x v="0"/>
    <x v="47"/>
    <x v="47"/>
    <x v="27"/>
    <x v="27"/>
    <x v="1"/>
    <x v="4"/>
    <x v="0"/>
    <x v="42"/>
    <x v="11"/>
    <x v="11"/>
  </r>
  <r>
    <s v="SUPER"/>
    <s v="HO"/>
    <s v="04/09/2025"/>
    <s v="01/08/2025-31/08/2025"/>
    <x v="12"/>
    <x v="12"/>
    <x v="10"/>
    <x v="0"/>
    <x v="0"/>
    <x v="48"/>
    <x v="48"/>
    <x v="27"/>
    <x v="27"/>
    <x v="1"/>
    <x v="4"/>
    <x v="1"/>
    <x v="42"/>
    <x v="11"/>
    <x v="11"/>
  </r>
  <r>
    <s v="SUPER"/>
    <s v="HO"/>
    <s v="04/09/2025"/>
    <s v="01/08/2025-31/08/2025"/>
    <x v="32"/>
    <x v="32"/>
    <x v="7"/>
    <x v="0"/>
    <x v="1"/>
    <x v="49"/>
    <x v="49"/>
    <x v="28"/>
    <x v="28"/>
    <x v="1"/>
    <x v="21"/>
    <x v="0"/>
    <x v="43"/>
    <x v="4"/>
    <x v="31"/>
  </r>
  <r>
    <s v="SUPER"/>
    <s v="HO"/>
    <s v="04/09/2025"/>
    <s v="01/08/2025-31/08/2025"/>
    <x v="33"/>
    <x v="33"/>
    <x v="17"/>
    <x v="0"/>
    <x v="3"/>
    <x v="50"/>
    <x v="50"/>
    <x v="10"/>
    <x v="10"/>
    <x v="3"/>
    <x v="27"/>
    <x v="0"/>
    <x v="44"/>
    <x v="14"/>
    <x v="32"/>
  </r>
  <r>
    <s v="SUPER"/>
    <s v="HO"/>
    <s v="04/09/2025"/>
    <s v="01/08/2025-31/08/2025"/>
    <x v="20"/>
    <x v="20"/>
    <x v="1"/>
    <x v="0"/>
    <x v="0"/>
    <x v="31"/>
    <x v="31"/>
    <x v="25"/>
    <x v="25"/>
    <x v="1"/>
    <x v="4"/>
    <x v="0"/>
    <x v="45"/>
    <x v="10"/>
    <x v="19"/>
  </r>
  <r>
    <s v="SUPER"/>
    <s v="HO"/>
    <s v="04/09/2025"/>
    <s v="01/08/2025-31/08/2025"/>
    <x v="34"/>
    <x v="34"/>
    <x v="17"/>
    <x v="0"/>
    <x v="3"/>
    <x v="0"/>
    <x v="0"/>
    <x v="1"/>
    <x v="1"/>
    <x v="1"/>
    <x v="21"/>
    <x v="0"/>
    <x v="46"/>
    <x v="10"/>
    <x v="33"/>
  </r>
  <r>
    <s v="SUPER"/>
    <s v="HO"/>
    <s v="04/09/2025"/>
    <s v="01/08/2025-31/08/2025"/>
    <x v="35"/>
    <x v="35"/>
    <x v="6"/>
    <x v="0"/>
    <x v="0"/>
    <x v="2"/>
    <x v="2"/>
    <x v="29"/>
    <x v="29"/>
    <x v="1"/>
    <x v="28"/>
    <x v="0"/>
    <x v="47"/>
    <x v="4"/>
    <x v="34"/>
  </r>
  <r>
    <s v="SUPER"/>
    <s v="HO"/>
    <s v="04/09/2025"/>
    <s v="01/08/2025-31/08/2025"/>
    <x v="36"/>
    <x v="36"/>
    <x v="14"/>
    <x v="0"/>
    <x v="3"/>
    <x v="51"/>
    <x v="51"/>
    <x v="30"/>
    <x v="30"/>
    <x v="1"/>
    <x v="4"/>
    <x v="0"/>
    <x v="48"/>
    <x v="11"/>
    <x v="35"/>
  </r>
  <r>
    <s v="SUPER"/>
    <s v="HO"/>
    <s v="04/09/2025"/>
    <s v="01/08/2025-31/08/2025"/>
    <x v="37"/>
    <x v="37"/>
    <x v="12"/>
    <x v="0"/>
    <x v="3"/>
    <x v="52"/>
    <x v="52"/>
    <x v="31"/>
    <x v="31"/>
    <x v="1"/>
    <x v="5"/>
    <x v="0"/>
    <x v="49"/>
    <x v="3"/>
    <x v="36"/>
  </r>
  <r>
    <s v="SUPER"/>
    <s v="HO"/>
    <s v="04/09/2025"/>
    <s v="01/08/2025-31/08/2025"/>
    <x v="18"/>
    <x v="18"/>
    <x v="12"/>
    <x v="0"/>
    <x v="3"/>
    <x v="42"/>
    <x v="42"/>
    <x v="16"/>
    <x v="16"/>
    <x v="1"/>
    <x v="4"/>
    <x v="0"/>
    <x v="50"/>
    <x v="3"/>
    <x v="17"/>
  </r>
  <r>
    <s v="SUPER"/>
    <s v="HO"/>
    <s v="04/09/2025"/>
    <s v="01/08/2025-31/08/2025"/>
    <x v="38"/>
    <x v="38"/>
    <x v="2"/>
    <x v="0"/>
    <x v="0"/>
    <x v="29"/>
    <x v="29"/>
    <x v="32"/>
    <x v="32"/>
    <x v="4"/>
    <x v="16"/>
    <x v="0"/>
    <x v="51"/>
    <x v="9"/>
    <x v="37"/>
  </r>
  <r>
    <s v="SUPER"/>
    <s v="HO"/>
    <s v="04/09/2025"/>
    <s v="01/08/2025-31/08/2025"/>
    <x v="38"/>
    <x v="38"/>
    <x v="2"/>
    <x v="0"/>
    <x v="0"/>
    <x v="29"/>
    <x v="29"/>
    <x v="32"/>
    <x v="32"/>
    <x v="4"/>
    <x v="16"/>
    <x v="1"/>
    <x v="51"/>
    <x v="9"/>
    <x v="37"/>
  </r>
  <r>
    <s v="SUPER"/>
    <s v="HO"/>
    <s v="04/09/2025"/>
    <s v="01/08/2025-31/08/2025"/>
    <x v="39"/>
    <x v="39"/>
    <x v="18"/>
    <x v="0"/>
    <x v="3"/>
    <x v="53"/>
    <x v="53"/>
    <x v="33"/>
    <x v="33"/>
    <x v="2"/>
    <x v="24"/>
    <x v="0"/>
    <x v="52"/>
    <x v="4"/>
    <x v="38"/>
  </r>
  <r>
    <s v="SUPER"/>
    <s v="HO"/>
    <s v="04/09/2025"/>
    <s v="01/08/2025-31/08/2025"/>
    <x v="39"/>
    <x v="39"/>
    <x v="18"/>
    <x v="0"/>
    <x v="3"/>
    <x v="53"/>
    <x v="53"/>
    <x v="33"/>
    <x v="33"/>
    <x v="2"/>
    <x v="24"/>
    <x v="1"/>
    <x v="52"/>
    <x v="4"/>
    <x v="38"/>
  </r>
  <r>
    <s v="SUPER"/>
    <s v="HO"/>
    <s v="04/09/2025"/>
    <s v="01/08/2025-31/08/2025"/>
    <x v="39"/>
    <x v="39"/>
    <x v="18"/>
    <x v="0"/>
    <x v="3"/>
    <x v="30"/>
    <x v="30"/>
    <x v="1"/>
    <x v="1"/>
    <x v="1"/>
    <x v="1"/>
    <x v="0"/>
    <x v="53"/>
    <x v="10"/>
    <x v="38"/>
  </r>
  <r>
    <s v="SUPER"/>
    <s v="HO"/>
    <s v="04/09/2025"/>
    <s v="01/08/2025-31/08/2025"/>
    <x v="1"/>
    <x v="1"/>
    <x v="1"/>
    <x v="0"/>
    <x v="0"/>
    <x v="29"/>
    <x v="29"/>
    <x v="32"/>
    <x v="32"/>
    <x v="1"/>
    <x v="14"/>
    <x v="0"/>
    <x v="54"/>
    <x v="9"/>
    <x v="1"/>
  </r>
  <r>
    <s v="SUPER"/>
    <s v="HO"/>
    <s v="04/09/2025"/>
    <s v="01/08/2025-31/08/2025"/>
    <x v="1"/>
    <x v="1"/>
    <x v="1"/>
    <x v="0"/>
    <x v="0"/>
    <x v="29"/>
    <x v="29"/>
    <x v="32"/>
    <x v="32"/>
    <x v="1"/>
    <x v="14"/>
    <x v="1"/>
    <x v="54"/>
    <x v="9"/>
    <x v="1"/>
  </r>
  <r>
    <s v="SUPER"/>
    <s v="HO"/>
    <s v="04/09/2025"/>
    <s v="01/08/2025-31/08/2025"/>
    <x v="40"/>
    <x v="40"/>
    <x v="11"/>
    <x v="0"/>
    <x v="3"/>
    <x v="54"/>
    <x v="54"/>
    <x v="1"/>
    <x v="1"/>
    <x v="4"/>
    <x v="26"/>
    <x v="0"/>
    <x v="55"/>
    <x v="12"/>
    <x v="39"/>
  </r>
  <r>
    <s v="SUPER"/>
    <s v="HO"/>
    <s v="04/09/2025"/>
    <s v="01/08/2025-31/08/2025"/>
    <x v="41"/>
    <x v="41"/>
    <x v="4"/>
    <x v="0"/>
    <x v="2"/>
    <x v="55"/>
    <x v="55"/>
    <x v="34"/>
    <x v="34"/>
    <x v="4"/>
    <x v="18"/>
    <x v="0"/>
    <x v="56"/>
    <x v="8"/>
    <x v="40"/>
  </r>
  <r>
    <s v="SUPER"/>
    <s v="HO"/>
    <s v="04/09/2025"/>
    <s v="01/08/2025-31/08/2025"/>
    <x v="42"/>
    <x v="42"/>
    <x v="14"/>
    <x v="0"/>
    <x v="3"/>
    <x v="56"/>
    <x v="56"/>
    <x v="35"/>
    <x v="35"/>
    <x v="5"/>
    <x v="29"/>
    <x v="0"/>
    <x v="57"/>
    <x v="4"/>
    <x v="41"/>
  </r>
  <r>
    <s v="SUPER"/>
    <s v="HO"/>
    <s v="04/09/2025"/>
    <s v="01/08/2025-31/08/2025"/>
    <x v="42"/>
    <x v="42"/>
    <x v="14"/>
    <x v="0"/>
    <x v="3"/>
    <x v="56"/>
    <x v="56"/>
    <x v="35"/>
    <x v="35"/>
    <x v="5"/>
    <x v="29"/>
    <x v="1"/>
    <x v="57"/>
    <x v="4"/>
    <x v="41"/>
  </r>
  <r>
    <s v="SUPER"/>
    <s v="HO"/>
    <s v="04/09/2025"/>
    <s v="01/08/2025-31/08/2025"/>
    <x v="42"/>
    <x v="42"/>
    <x v="14"/>
    <x v="0"/>
    <x v="3"/>
    <x v="56"/>
    <x v="56"/>
    <x v="35"/>
    <x v="35"/>
    <x v="5"/>
    <x v="29"/>
    <x v="2"/>
    <x v="57"/>
    <x v="4"/>
    <x v="41"/>
  </r>
  <r>
    <s v="SUPER"/>
    <s v="HO"/>
    <s v="04/09/2025"/>
    <s v="01/08/2025-31/08/2025"/>
    <x v="42"/>
    <x v="42"/>
    <x v="14"/>
    <x v="0"/>
    <x v="3"/>
    <x v="56"/>
    <x v="56"/>
    <x v="35"/>
    <x v="35"/>
    <x v="5"/>
    <x v="29"/>
    <x v="3"/>
    <x v="57"/>
    <x v="4"/>
    <x v="41"/>
  </r>
  <r>
    <s v="SUPER"/>
    <s v="HO"/>
    <s v="04/09/2025"/>
    <s v="01/08/2025-31/08/2025"/>
    <x v="43"/>
    <x v="43"/>
    <x v="16"/>
    <x v="0"/>
    <x v="1"/>
    <x v="57"/>
    <x v="57"/>
    <x v="36"/>
    <x v="36"/>
    <x v="1"/>
    <x v="17"/>
    <x v="0"/>
    <x v="58"/>
    <x v="9"/>
    <x v="42"/>
  </r>
  <r>
    <s v="SUPER"/>
    <s v="HO"/>
    <s v="04/09/2025"/>
    <s v="01/08/2025-31/08/2025"/>
    <x v="44"/>
    <x v="44"/>
    <x v="11"/>
    <x v="0"/>
    <x v="3"/>
    <x v="58"/>
    <x v="58"/>
    <x v="1"/>
    <x v="1"/>
    <x v="6"/>
    <x v="9"/>
    <x v="0"/>
    <x v="59"/>
    <x v="4"/>
    <x v="43"/>
  </r>
  <r>
    <s v="SUPER"/>
    <s v="HO"/>
    <s v="04/09/2025"/>
    <s v="01/08/2025-31/08/2025"/>
    <x v="1"/>
    <x v="1"/>
    <x v="1"/>
    <x v="0"/>
    <x v="0"/>
    <x v="59"/>
    <x v="59"/>
    <x v="32"/>
    <x v="32"/>
    <x v="1"/>
    <x v="21"/>
    <x v="0"/>
    <x v="60"/>
    <x v="4"/>
    <x v="1"/>
  </r>
  <r>
    <s v="SUPER"/>
    <s v="HO"/>
    <s v="04/09/2025"/>
    <s v="01/08/2025-31/08/2025"/>
    <x v="1"/>
    <x v="1"/>
    <x v="1"/>
    <x v="0"/>
    <x v="0"/>
    <x v="60"/>
    <x v="60"/>
    <x v="32"/>
    <x v="32"/>
    <x v="1"/>
    <x v="21"/>
    <x v="1"/>
    <x v="60"/>
    <x v="4"/>
    <x v="1"/>
  </r>
  <r>
    <s v="SUPER"/>
    <s v="HO"/>
    <s v="04/09/2025"/>
    <s v="01/08/2025-31/08/2025"/>
    <x v="1"/>
    <x v="1"/>
    <x v="1"/>
    <x v="0"/>
    <x v="0"/>
    <x v="61"/>
    <x v="61"/>
    <x v="32"/>
    <x v="32"/>
    <x v="1"/>
    <x v="21"/>
    <x v="2"/>
    <x v="60"/>
    <x v="4"/>
    <x v="1"/>
  </r>
  <r>
    <s v="SUPER"/>
    <s v="HO"/>
    <s v="04/09/2025"/>
    <s v="01/08/2025-31/08/2025"/>
    <x v="1"/>
    <x v="1"/>
    <x v="1"/>
    <x v="0"/>
    <x v="0"/>
    <x v="62"/>
    <x v="62"/>
    <x v="32"/>
    <x v="32"/>
    <x v="1"/>
    <x v="21"/>
    <x v="3"/>
    <x v="60"/>
    <x v="4"/>
    <x v="1"/>
  </r>
  <r>
    <s v="SUPER"/>
    <s v="HO"/>
    <s v="04/09/2025"/>
    <s v="01/08/2025-31/08/2025"/>
    <x v="1"/>
    <x v="1"/>
    <x v="1"/>
    <x v="0"/>
    <x v="0"/>
    <x v="60"/>
    <x v="60"/>
    <x v="32"/>
    <x v="32"/>
    <x v="1"/>
    <x v="21"/>
    <x v="4"/>
    <x v="60"/>
    <x v="4"/>
    <x v="1"/>
  </r>
  <r>
    <s v="SUPER"/>
    <s v="HO"/>
    <s v="04/09/2025"/>
    <s v="01/08/2025-31/08/2025"/>
    <x v="1"/>
    <x v="1"/>
    <x v="1"/>
    <x v="0"/>
    <x v="0"/>
    <x v="63"/>
    <x v="63"/>
    <x v="32"/>
    <x v="32"/>
    <x v="1"/>
    <x v="21"/>
    <x v="5"/>
    <x v="60"/>
    <x v="4"/>
    <x v="1"/>
  </r>
  <r>
    <s v="SUPER"/>
    <s v="HO"/>
    <s v="04/09/2025"/>
    <s v="01/08/2025-31/08/2025"/>
    <x v="45"/>
    <x v="45"/>
    <x v="14"/>
    <x v="0"/>
    <x v="3"/>
    <x v="64"/>
    <x v="64"/>
    <x v="37"/>
    <x v="37"/>
    <x v="1"/>
    <x v="19"/>
    <x v="0"/>
    <x v="61"/>
    <x v="3"/>
    <x v="44"/>
  </r>
  <r>
    <s v="SUPER"/>
    <s v="HO"/>
    <s v="04/09/2025"/>
    <s v="01/08/2025-31/08/2025"/>
    <x v="46"/>
    <x v="46"/>
    <x v="9"/>
    <x v="0"/>
    <x v="3"/>
    <x v="7"/>
    <x v="7"/>
    <x v="1"/>
    <x v="1"/>
    <x v="1"/>
    <x v="21"/>
    <x v="0"/>
    <x v="62"/>
    <x v="10"/>
    <x v="45"/>
  </r>
  <r>
    <s v="SUPER"/>
    <s v="HO"/>
    <s v="04/09/2025"/>
    <s v="01/08/2025-31/08/2025"/>
    <x v="47"/>
    <x v="47"/>
    <x v="14"/>
    <x v="0"/>
    <x v="3"/>
    <x v="65"/>
    <x v="65"/>
    <x v="38"/>
    <x v="38"/>
    <x v="7"/>
    <x v="18"/>
    <x v="0"/>
    <x v="63"/>
    <x v="8"/>
    <x v="46"/>
  </r>
  <r>
    <s v="SUPER"/>
    <s v="HO"/>
    <s v="04/09/2025"/>
    <s v="01/08/2025-31/08/2025"/>
    <x v="47"/>
    <x v="47"/>
    <x v="14"/>
    <x v="0"/>
    <x v="3"/>
    <x v="66"/>
    <x v="66"/>
    <x v="38"/>
    <x v="38"/>
    <x v="7"/>
    <x v="18"/>
    <x v="1"/>
    <x v="63"/>
    <x v="8"/>
    <x v="46"/>
  </r>
  <r>
    <s v="SUPER"/>
    <s v="HO"/>
    <s v="04/09/2025"/>
    <s v="01/08/2025-31/08/2025"/>
    <x v="40"/>
    <x v="40"/>
    <x v="11"/>
    <x v="0"/>
    <x v="3"/>
    <x v="67"/>
    <x v="67"/>
    <x v="1"/>
    <x v="1"/>
    <x v="1"/>
    <x v="4"/>
    <x v="0"/>
    <x v="64"/>
    <x v="10"/>
    <x v="39"/>
  </r>
  <r>
    <s v="SUPER"/>
    <s v="HO"/>
    <s v="04/09/2025"/>
    <s v="01/08/2025-31/08/2025"/>
    <x v="40"/>
    <x v="40"/>
    <x v="11"/>
    <x v="0"/>
    <x v="3"/>
    <x v="67"/>
    <x v="67"/>
    <x v="1"/>
    <x v="1"/>
    <x v="1"/>
    <x v="4"/>
    <x v="1"/>
    <x v="64"/>
    <x v="10"/>
    <x v="39"/>
  </r>
  <r>
    <s v="SUPER"/>
    <s v="HO"/>
    <s v="04/09/2025"/>
    <s v="01/08/2025-31/08/2025"/>
    <x v="48"/>
    <x v="48"/>
    <x v="12"/>
    <x v="0"/>
    <x v="3"/>
    <x v="42"/>
    <x v="42"/>
    <x v="39"/>
    <x v="39"/>
    <x v="2"/>
    <x v="2"/>
    <x v="0"/>
    <x v="65"/>
    <x v="4"/>
    <x v="47"/>
  </r>
  <r>
    <s v="SUPER"/>
    <s v="HO"/>
    <s v="04/09/2025"/>
    <s v="01/08/2025-31/08/2025"/>
    <x v="48"/>
    <x v="48"/>
    <x v="12"/>
    <x v="0"/>
    <x v="3"/>
    <x v="29"/>
    <x v="29"/>
    <x v="39"/>
    <x v="39"/>
    <x v="2"/>
    <x v="2"/>
    <x v="1"/>
    <x v="65"/>
    <x v="4"/>
    <x v="47"/>
  </r>
  <r>
    <s v="SUPER"/>
    <s v="HO"/>
    <s v="04/09/2025"/>
    <s v="01/08/2025-31/08/2025"/>
    <x v="15"/>
    <x v="15"/>
    <x v="11"/>
    <x v="0"/>
    <x v="3"/>
    <x v="68"/>
    <x v="68"/>
    <x v="13"/>
    <x v="13"/>
    <x v="2"/>
    <x v="30"/>
    <x v="0"/>
    <x v="66"/>
    <x v="14"/>
    <x v="14"/>
  </r>
  <r>
    <s v="SUPER"/>
    <s v="HO"/>
    <s v="04/09/2025"/>
    <s v="01/08/2025-31/08/2025"/>
    <x v="15"/>
    <x v="15"/>
    <x v="11"/>
    <x v="0"/>
    <x v="3"/>
    <x v="69"/>
    <x v="69"/>
    <x v="13"/>
    <x v="13"/>
    <x v="2"/>
    <x v="30"/>
    <x v="1"/>
    <x v="66"/>
    <x v="7"/>
    <x v="14"/>
  </r>
  <r>
    <s v="SUPER"/>
    <s v="HO"/>
    <s v="04/09/2025"/>
    <s v="01/08/2025-31/08/2025"/>
    <x v="49"/>
    <x v="49"/>
    <x v="11"/>
    <x v="0"/>
    <x v="3"/>
    <x v="70"/>
    <x v="70"/>
    <x v="40"/>
    <x v="40"/>
    <x v="2"/>
    <x v="24"/>
    <x v="0"/>
    <x v="67"/>
    <x v="4"/>
    <x v="48"/>
  </r>
  <r>
    <s v="SUPER"/>
    <s v="HO"/>
    <s v="04/09/2025"/>
    <s v="01/08/2025-31/08/2025"/>
    <x v="49"/>
    <x v="49"/>
    <x v="11"/>
    <x v="0"/>
    <x v="3"/>
    <x v="70"/>
    <x v="70"/>
    <x v="40"/>
    <x v="40"/>
    <x v="2"/>
    <x v="24"/>
    <x v="1"/>
    <x v="67"/>
    <x v="4"/>
    <x v="48"/>
  </r>
  <r>
    <s v="SUPER"/>
    <s v="HO"/>
    <s v="04/09/2025"/>
    <s v="01/08/2025-31/08/2025"/>
    <x v="50"/>
    <x v="50"/>
    <x v="8"/>
    <x v="0"/>
    <x v="3"/>
    <x v="71"/>
    <x v="71"/>
    <x v="41"/>
    <x v="41"/>
    <x v="5"/>
    <x v="9"/>
    <x v="0"/>
    <x v="68"/>
    <x v="2"/>
    <x v="49"/>
  </r>
  <r>
    <s v="SUPER"/>
    <s v="HO"/>
    <s v="04/09/2025"/>
    <s v="01/08/2025-31/08/2025"/>
    <x v="41"/>
    <x v="41"/>
    <x v="4"/>
    <x v="0"/>
    <x v="2"/>
    <x v="72"/>
    <x v="72"/>
    <x v="34"/>
    <x v="34"/>
    <x v="5"/>
    <x v="29"/>
    <x v="0"/>
    <x v="68"/>
    <x v="15"/>
    <x v="40"/>
  </r>
  <r>
    <s v="SUPER"/>
    <s v="HO"/>
    <s v="04/09/2025"/>
    <s v="01/08/2025-31/08/2025"/>
    <x v="31"/>
    <x v="31"/>
    <x v="17"/>
    <x v="0"/>
    <x v="3"/>
    <x v="73"/>
    <x v="73"/>
    <x v="42"/>
    <x v="42"/>
    <x v="2"/>
    <x v="24"/>
    <x v="0"/>
    <x v="69"/>
    <x v="12"/>
    <x v="30"/>
  </r>
  <r>
    <s v="SUPER"/>
    <s v="HO"/>
    <s v="04/09/2025"/>
    <s v="01/08/2025-31/08/2025"/>
    <x v="49"/>
    <x v="49"/>
    <x v="11"/>
    <x v="0"/>
    <x v="3"/>
    <x v="74"/>
    <x v="74"/>
    <x v="40"/>
    <x v="40"/>
    <x v="2"/>
    <x v="30"/>
    <x v="0"/>
    <x v="70"/>
    <x v="14"/>
    <x v="48"/>
  </r>
  <r>
    <s v="SUPER"/>
    <s v="HO"/>
    <s v="04/09/2025"/>
    <s v="01/08/2025-31/08/2025"/>
    <x v="51"/>
    <x v="51"/>
    <x v="19"/>
    <x v="0"/>
    <x v="1"/>
    <x v="2"/>
    <x v="2"/>
    <x v="1"/>
    <x v="1"/>
    <x v="1"/>
    <x v="21"/>
    <x v="0"/>
    <x v="71"/>
    <x v="1"/>
    <x v="50"/>
  </r>
  <r>
    <s v="SUPER"/>
    <s v="HO"/>
    <s v="04/09/2025"/>
    <s v="01/08/2025-31/08/2025"/>
    <x v="31"/>
    <x v="31"/>
    <x v="17"/>
    <x v="0"/>
    <x v="3"/>
    <x v="75"/>
    <x v="75"/>
    <x v="42"/>
    <x v="42"/>
    <x v="1"/>
    <x v="21"/>
    <x v="0"/>
    <x v="72"/>
    <x v="4"/>
    <x v="30"/>
  </r>
  <r>
    <s v="SUPER"/>
    <s v="HO"/>
    <s v="04/09/2025"/>
    <s v="01/08/2025-31/08/2025"/>
    <x v="52"/>
    <x v="52"/>
    <x v="15"/>
    <x v="0"/>
    <x v="0"/>
    <x v="70"/>
    <x v="70"/>
    <x v="43"/>
    <x v="43"/>
    <x v="1"/>
    <x v="21"/>
    <x v="0"/>
    <x v="73"/>
    <x v="10"/>
    <x v="51"/>
  </r>
  <r>
    <s v="SUPER"/>
    <s v="HO"/>
    <s v="04/09/2025"/>
    <s v="01/08/2025-31/08/2025"/>
    <x v="53"/>
    <x v="53"/>
    <x v="11"/>
    <x v="0"/>
    <x v="3"/>
    <x v="76"/>
    <x v="76"/>
    <x v="44"/>
    <x v="44"/>
    <x v="8"/>
    <x v="13"/>
    <x v="0"/>
    <x v="74"/>
    <x v="16"/>
    <x v="52"/>
  </r>
  <r>
    <s v="SUPER"/>
    <s v="HO"/>
    <s v="04/09/2025"/>
    <s v="01/08/2025-31/08/2025"/>
    <x v="53"/>
    <x v="53"/>
    <x v="11"/>
    <x v="0"/>
    <x v="3"/>
    <x v="77"/>
    <x v="77"/>
    <x v="44"/>
    <x v="44"/>
    <x v="8"/>
    <x v="13"/>
    <x v="1"/>
    <x v="74"/>
    <x v="16"/>
    <x v="52"/>
  </r>
  <r>
    <s v="SUPER"/>
    <s v="HO"/>
    <s v="04/09/2025"/>
    <s v="01/08/2025-31/08/2025"/>
    <x v="53"/>
    <x v="53"/>
    <x v="11"/>
    <x v="0"/>
    <x v="3"/>
    <x v="78"/>
    <x v="78"/>
    <x v="44"/>
    <x v="44"/>
    <x v="8"/>
    <x v="13"/>
    <x v="2"/>
    <x v="74"/>
    <x v="16"/>
    <x v="52"/>
  </r>
  <r>
    <s v="SUPER"/>
    <s v="HO"/>
    <s v="04/09/2025"/>
    <s v="01/08/2025-31/08/2025"/>
    <x v="53"/>
    <x v="53"/>
    <x v="11"/>
    <x v="0"/>
    <x v="3"/>
    <x v="76"/>
    <x v="76"/>
    <x v="44"/>
    <x v="44"/>
    <x v="8"/>
    <x v="13"/>
    <x v="3"/>
    <x v="74"/>
    <x v="16"/>
    <x v="52"/>
  </r>
  <r>
    <s v="SUPER"/>
    <s v="HO"/>
    <s v="04/09/2025"/>
    <s v="01/08/2025-31/08/2025"/>
    <x v="53"/>
    <x v="53"/>
    <x v="11"/>
    <x v="0"/>
    <x v="3"/>
    <x v="79"/>
    <x v="79"/>
    <x v="44"/>
    <x v="44"/>
    <x v="8"/>
    <x v="13"/>
    <x v="4"/>
    <x v="74"/>
    <x v="16"/>
    <x v="52"/>
  </r>
  <r>
    <s v="SUPER"/>
    <s v="HO"/>
    <s v="04/09/2025"/>
    <s v="01/08/2025-31/08/2025"/>
    <x v="53"/>
    <x v="53"/>
    <x v="11"/>
    <x v="0"/>
    <x v="3"/>
    <x v="80"/>
    <x v="80"/>
    <x v="44"/>
    <x v="44"/>
    <x v="8"/>
    <x v="13"/>
    <x v="5"/>
    <x v="74"/>
    <x v="16"/>
    <x v="52"/>
  </r>
  <r>
    <s v="SUPER"/>
    <s v="HO"/>
    <s v="04/09/2025"/>
    <s v="01/08/2025-31/08/2025"/>
    <x v="43"/>
    <x v="43"/>
    <x v="16"/>
    <x v="0"/>
    <x v="1"/>
    <x v="10"/>
    <x v="10"/>
    <x v="36"/>
    <x v="36"/>
    <x v="1"/>
    <x v="21"/>
    <x v="0"/>
    <x v="75"/>
    <x v="10"/>
    <x v="42"/>
  </r>
  <r>
    <s v="SUPER"/>
    <s v="HO"/>
    <s v="04/09/2025"/>
    <s v="01/08/2025-31/08/2025"/>
    <x v="54"/>
    <x v="54"/>
    <x v="14"/>
    <x v="0"/>
    <x v="3"/>
    <x v="81"/>
    <x v="81"/>
    <x v="45"/>
    <x v="45"/>
    <x v="2"/>
    <x v="2"/>
    <x v="0"/>
    <x v="76"/>
    <x v="4"/>
    <x v="53"/>
  </r>
  <r>
    <s v="SUPER"/>
    <s v="HO"/>
    <s v="04/09/2025"/>
    <s v="01/08/2025-31/08/2025"/>
    <x v="54"/>
    <x v="54"/>
    <x v="14"/>
    <x v="0"/>
    <x v="3"/>
    <x v="82"/>
    <x v="82"/>
    <x v="45"/>
    <x v="45"/>
    <x v="2"/>
    <x v="2"/>
    <x v="1"/>
    <x v="76"/>
    <x v="4"/>
    <x v="53"/>
  </r>
  <r>
    <s v="SUPER"/>
    <s v="HO"/>
    <s v="04/09/2025"/>
    <s v="01/08/2025-31/08/2025"/>
    <x v="31"/>
    <x v="31"/>
    <x v="17"/>
    <x v="0"/>
    <x v="3"/>
    <x v="83"/>
    <x v="83"/>
    <x v="42"/>
    <x v="42"/>
    <x v="8"/>
    <x v="13"/>
    <x v="0"/>
    <x v="77"/>
    <x v="16"/>
    <x v="30"/>
  </r>
  <r>
    <s v="SUPER"/>
    <s v="HO"/>
    <s v="04/09/2025"/>
    <s v="01/08/2025-31/08/2025"/>
    <x v="31"/>
    <x v="31"/>
    <x v="17"/>
    <x v="0"/>
    <x v="3"/>
    <x v="76"/>
    <x v="76"/>
    <x v="42"/>
    <x v="42"/>
    <x v="8"/>
    <x v="13"/>
    <x v="1"/>
    <x v="77"/>
    <x v="16"/>
    <x v="30"/>
  </r>
  <r>
    <s v="SUPER"/>
    <s v="HO"/>
    <s v="04/09/2025"/>
    <s v="01/08/2025-31/08/2025"/>
    <x v="31"/>
    <x v="31"/>
    <x v="17"/>
    <x v="0"/>
    <x v="3"/>
    <x v="84"/>
    <x v="84"/>
    <x v="42"/>
    <x v="42"/>
    <x v="8"/>
    <x v="13"/>
    <x v="2"/>
    <x v="77"/>
    <x v="16"/>
    <x v="30"/>
  </r>
  <r>
    <s v="SUPER"/>
    <s v="HO"/>
    <s v="04/09/2025"/>
    <s v="01/08/2025-31/08/2025"/>
    <x v="55"/>
    <x v="55"/>
    <x v="20"/>
    <x v="0"/>
    <x v="2"/>
    <x v="23"/>
    <x v="23"/>
    <x v="1"/>
    <x v="1"/>
    <x v="2"/>
    <x v="4"/>
    <x v="0"/>
    <x v="78"/>
    <x v="3"/>
    <x v="54"/>
  </r>
  <r>
    <s v="SUPER"/>
    <s v="HO"/>
    <s v="04/09/2025"/>
    <s v="01/08/2025-31/08/2025"/>
    <x v="22"/>
    <x v="22"/>
    <x v="14"/>
    <x v="0"/>
    <x v="3"/>
    <x v="39"/>
    <x v="39"/>
    <x v="46"/>
    <x v="46"/>
    <x v="2"/>
    <x v="2"/>
    <x v="0"/>
    <x v="79"/>
    <x v="4"/>
    <x v="21"/>
  </r>
  <r>
    <s v="SUPER"/>
    <s v="HO"/>
    <s v="04/09/2025"/>
    <s v="01/08/2025-31/08/2025"/>
    <x v="22"/>
    <x v="22"/>
    <x v="14"/>
    <x v="0"/>
    <x v="3"/>
    <x v="85"/>
    <x v="85"/>
    <x v="46"/>
    <x v="46"/>
    <x v="2"/>
    <x v="2"/>
    <x v="1"/>
    <x v="79"/>
    <x v="4"/>
    <x v="21"/>
  </r>
  <r>
    <s v="SUPER"/>
    <s v="HO"/>
    <s v="04/09/2025"/>
    <s v="01/08/2025-31/08/2025"/>
    <x v="56"/>
    <x v="56"/>
    <x v="20"/>
    <x v="0"/>
    <x v="2"/>
    <x v="86"/>
    <x v="86"/>
    <x v="47"/>
    <x v="47"/>
    <x v="1"/>
    <x v="21"/>
    <x v="0"/>
    <x v="80"/>
    <x v="1"/>
    <x v="55"/>
  </r>
  <r>
    <s v="SUPER"/>
    <s v="HO"/>
    <s v="04/09/2025"/>
    <s v="01/08/2025-31/08/2025"/>
    <x v="56"/>
    <x v="56"/>
    <x v="20"/>
    <x v="0"/>
    <x v="2"/>
    <x v="87"/>
    <x v="87"/>
    <x v="47"/>
    <x v="47"/>
    <x v="1"/>
    <x v="21"/>
    <x v="1"/>
    <x v="80"/>
    <x v="1"/>
    <x v="55"/>
  </r>
  <r>
    <s v="SUPER"/>
    <s v="HO"/>
    <s v="04/09/2025"/>
    <s v="01/08/2025-31/08/2025"/>
    <x v="40"/>
    <x v="40"/>
    <x v="11"/>
    <x v="0"/>
    <x v="3"/>
    <x v="40"/>
    <x v="40"/>
    <x v="1"/>
    <x v="1"/>
    <x v="9"/>
    <x v="18"/>
    <x v="0"/>
    <x v="81"/>
    <x v="17"/>
    <x v="39"/>
  </r>
  <r>
    <s v="SUPER"/>
    <s v="HO"/>
    <s v="04/09/2025"/>
    <s v="01/08/2025-31/08/2025"/>
    <x v="40"/>
    <x v="40"/>
    <x v="11"/>
    <x v="0"/>
    <x v="3"/>
    <x v="88"/>
    <x v="88"/>
    <x v="1"/>
    <x v="1"/>
    <x v="9"/>
    <x v="18"/>
    <x v="1"/>
    <x v="81"/>
    <x v="17"/>
    <x v="39"/>
  </r>
  <r>
    <s v="SUPER"/>
    <s v="HO"/>
    <s v="04/09/2025"/>
    <s v="01/08/2025-31/08/2025"/>
    <x v="57"/>
    <x v="57"/>
    <x v="14"/>
    <x v="0"/>
    <x v="3"/>
    <x v="89"/>
    <x v="89"/>
    <x v="1"/>
    <x v="1"/>
    <x v="7"/>
    <x v="11"/>
    <x v="0"/>
    <x v="82"/>
    <x v="18"/>
    <x v="56"/>
  </r>
  <r>
    <s v="SUPER"/>
    <s v="HO"/>
    <s v="04/09/2025"/>
    <s v="01/08/2025-31/08/2025"/>
    <x v="57"/>
    <x v="57"/>
    <x v="14"/>
    <x v="0"/>
    <x v="3"/>
    <x v="90"/>
    <x v="90"/>
    <x v="1"/>
    <x v="1"/>
    <x v="7"/>
    <x v="11"/>
    <x v="1"/>
    <x v="82"/>
    <x v="18"/>
    <x v="56"/>
  </r>
  <r>
    <s v="SUPER"/>
    <s v="HO"/>
    <s v="04/09/2025"/>
    <s v="01/08/2025-31/08/2025"/>
    <x v="58"/>
    <x v="58"/>
    <x v="3"/>
    <x v="0"/>
    <x v="1"/>
    <x v="91"/>
    <x v="91"/>
    <x v="1"/>
    <x v="1"/>
    <x v="6"/>
    <x v="26"/>
    <x v="0"/>
    <x v="83"/>
    <x v="8"/>
    <x v="57"/>
  </r>
  <r>
    <s v="SUPER"/>
    <s v="HO"/>
    <s v="04/09/2025"/>
    <s v="01/08/2025-31/08/2025"/>
    <x v="50"/>
    <x v="50"/>
    <x v="8"/>
    <x v="0"/>
    <x v="3"/>
    <x v="92"/>
    <x v="92"/>
    <x v="48"/>
    <x v="48"/>
    <x v="5"/>
    <x v="12"/>
    <x v="0"/>
    <x v="84"/>
    <x v="16"/>
    <x v="49"/>
  </r>
  <r>
    <s v="SUPER"/>
    <s v="HO"/>
    <s v="04/09/2025"/>
    <s v="01/08/2025-31/08/2025"/>
    <x v="50"/>
    <x v="50"/>
    <x v="8"/>
    <x v="0"/>
    <x v="3"/>
    <x v="93"/>
    <x v="93"/>
    <x v="48"/>
    <x v="48"/>
    <x v="5"/>
    <x v="12"/>
    <x v="1"/>
    <x v="84"/>
    <x v="4"/>
    <x v="49"/>
  </r>
  <r>
    <s v="SUPER"/>
    <s v="HO"/>
    <s v="04/09/2025"/>
    <s v="01/08/2025-31/08/2025"/>
    <x v="59"/>
    <x v="59"/>
    <x v="16"/>
    <x v="0"/>
    <x v="1"/>
    <x v="94"/>
    <x v="94"/>
    <x v="49"/>
    <x v="49"/>
    <x v="6"/>
    <x v="20"/>
    <x v="0"/>
    <x v="85"/>
    <x v="4"/>
    <x v="58"/>
  </r>
  <r>
    <s v="SUPER"/>
    <s v="HO"/>
    <s v="04/09/2025"/>
    <s v="01/08/2025-31/08/2025"/>
    <x v="59"/>
    <x v="59"/>
    <x v="16"/>
    <x v="0"/>
    <x v="1"/>
    <x v="95"/>
    <x v="95"/>
    <x v="49"/>
    <x v="49"/>
    <x v="6"/>
    <x v="20"/>
    <x v="1"/>
    <x v="85"/>
    <x v="4"/>
    <x v="58"/>
  </r>
  <r>
    <s v="SUPER"/>
    <s v="HO"/>
    <s v="04/09/2025"/>
    <s v="01/08/2025-31/08/2025"/>
    <x v="59"/>
    <x v="59"/>
    <x v="16"/>
    <x v="0"/>
    <x v="1"/>
    <x v="96"/>
    <x v="96"/>
    <x v="49"/>
    <x v="49"/>
    <x v="6"/>
    <x v="20"/>
    <x v="2"/>
    <x v="85"/>
    <x v="4"/>
    <x v="58"/>
  </r>
  <r>
    <s v="SUPER"/>
    <s v="HO"/>
    <s v="04/09/2025"/>
    <s v="01/08/2025-31/08/2025"/>
    <x v="59"/>
    <x v="59"/>
    <x v="16"/>
    <x v="0"/>
    <x v="1"/>
    <x v="97"/>
    <x v="97"/>
    <x v="49"/>
    <x v="49"/>
    <x v="6"/>
    <x v="20"/>
    <x v="3"/>
    <x v="85"/>
    <x v="4"/>
    <x v="58"/>
  </r>
  <r>
    <s v="SUPER"/>
    <s v="HO"/>
    <s v="04/09/2025"/>
    <s v="01/08/2025-31/08/2025"/>
    <x v="8"/>
    <x v="8"/>
    <x v="7"/>
    <x v="0"/>
    <x v="1"/>
    <x v="98"/>
    <x v="98"/>
    <x v="5"/>
    <x v="5"/>
    <x v="6"/>
    <x v="26"/>
    <x v="0"/>
    <x v="86"/>
    <x v="13"/>
    <x v="7"/>
  </r>
  <r>
    <s v="SUPER"/>
    <s v="HO"/>
    <s v="04/09/2025"/>
    <s v="01/08/2025-31/08/2025"/>
    <x v="60"/>
    <x v="60"/>
    <x v="21"/>
    <x v="0"/>
    <x v="2"/>
    <x v="99"/>
    <x v="99"/>
    <x v="1"/>
    <x v="1"/>
    <x v="2"/>
    <x v="3"/>
    <x v="0"/>
    <x v="87"/>
    <x v="11"/>
    <x v="59"/>
  </r>
  <r>
    <s v="SUPER"/>
    <s v="HO"/>
    <s v="04/09/2025"/>
    <s v="01/08/2025-31/08/2025"/>
    <x v="60"/>
    <x v="60"/>
    <x v="21"/>
    <x v="0"/>
    <x v="2"/>
    <x v="99"/>
    <x v="99"/>
    <x v="1"/>
    <x v="1"/>
    <x v="2"/>
    <x v="3"/>
    <x v="1"/>
    <x v="87"/>
    <x v="11"/>
    <x v="59"/>
  </r>
  <r>
    <s v="SUPER"/>
    <s v="HO"/>
    <s v="04/09/2025"/>
    <s v="01/08/2025-31/08/2025"/>
    <x v="60"/>
    <x v="60"/>
    <x v="21"/>
    <x v="0"/>
    <x v="2"/>
    <x v="100"/>
    <x v="100"/>
    <x v="1"/>
    <x v="1"/>
    <x v="2"/>
    <x v="3"/>
    <x v="2"/>
    <x v="87"/>
    <x v="11"/>
    <x v="59"/>
  </r>
  <r>
    <s v="SUPER"/>
    <s v="HO"/>
    <s v="04/09/2025"/>
    <s v="01/08/2025-31/08/2025"/>
    <x v="60"/>
    <x v="60"/>
    <x v="21"/>
    <x v="0"/>
    <x v="2"/>
    <x v="101"/>
    <x v="101"/>
    <x v="1"/>
    <x v="1"/>
    <x v="2"/>
    <x v="3"/>
    <x v="3"/>
    <x v="87"/>
    <x v="11"/>
    <x v="59"/>
  </r>
  <r>
    <s v="SUPER"/>
    <s v="HO"/>
    <s v="04/09/2025"/>
    <s v="01/08/2025-31/08/2025"/>
    <x v="22"/>
    <x v="22"/>
    <x v="14"/>
    <x v="0"/>
    <x v="3"/>
    <x v="102"/>
    <x v="102"/>
    <x v="46"/>
    <x v="46"/>
    <x v="2"/>
    <x v="4"/>
    <x v="0"/>
    <x v="88"/>
    <x v="3"/>
    <x v="21"/>
  </r>
  <r>
    <s v="SUPER"/>
    <s v="HO"/>
    <s v="04/09/2025"/>
    <s v="01/08/2025-31/08/2025"/>
    <x v="61"/>
    <x v="61"/>
    <x v="11"/>
    <x v="0"/>
    <x v="3"/>
    <x v="64"/>
    <x v="64"/>
    <x v="50"/>
    <x v="50"/>
    <x v="2"/>
    <x v="21"/>
    <x v="0"/>
    <x v="89"/>
    <x v="4"/>
    <x v="60"/>
  </r>
  <r>
    <s v="SUPER"/>
    <s v="HO"/>
    <s v="04/09/2025"/>
    <s v="01/08/2025-31/08/2025"/>
    <x v="26"/>
    <x v="26"/>
    <x v="15"/>
    <x v="0"/>
    <x v="0"/>
    <x v="103"/>
    <x v="103"/>
    <x v="51"/>
    <x v="51"/>
    <x v="2"/>
    <x v="4"/>
    <x v="0"/>
    <x v="90"/>
    <x v="4"/>
    <x v="25"/>
  </r>
  <r>
    <s v="SUPER"/>
    <s v="HO"/>
    <s v="04/09/2025"/>
    <s v="01/08/2025-31/08/2025"/>
    <x v="15"/>
    <x v="15"/>
    <x v="11"/>
    <x v="0"/>
    <x v="3"/>
    <x v="104"/>
    <x v="104"/>
    <x v="13"/>
    <x v="13"/>
    <x v="2"/>
    <x v="4"/>
    <x v="0"/>
    <x v="91"/>
    <x v="4"/>
    <x v="14"/>
  </r>
  <r>
    <s v="SUPER"/>
    <s v="HO"/>
    <s v="04/09/2025"/>
    <s v="01/08/2025-31/08/2025"/>
    <x v="62"/>
    <x v="62"/>
    <x v="10"/>
    <x v="0"/>
    <x v="0"/>
    <x v="105"/>
    <x v="105"/>
    <x v="52"/>
    <x v="52"/>
    <x v="10"/>
    <x v="29"/>
    <x v="0"/>
    <x v="92"/>
    <x v="4"/>
    <x v="61"/>
  </r>
  <r>
    <s v="SUPER"/>
    <s v="HO"/>
    <s v="04/09/2025"/>
    <s v="01/08/2025-31/08/2025"/>
    <x v="15"/>
    <x v="15"/>
    <x v="11"/>
    <x v="0"/>
    <x v="3"/>
    <x v="106"/>
    <x v="106"/>
    <x v="13"/>
    <x v="13"/>
    <x v="5"/>
    <x v="20"/>
    <x v="0"/>
    <x v="93"/>
    <x v="19"/>
    <x v="14"/>
  </r>
  <r>
    <s v="SUPER"/>
    <s v="HO"/>
    <s v="04/09/2025"/>
    <s v="01/08/2025-31/08/2025"/>
    <x v="31"/>
    <x v="31"/>
    <x v="17"/>
    <x v="0"/>
    <x v="3"/>
    <x v="107"/>
    <x v="107"/>
    <x v="53"/>
    <x v="53"/>
    <x v="7"/>
    <x v="12"/>
    <x v="0"/>
    <x v="94"/>
    <x v="15"/>
    <x v="30"/>
  </r>
  <r>
    <s v="SUPER"/>
    <s v="HO"/>
    <s v="04/09/2025"/>
    <s v="01/08/2025-31/08/2025"/>
    <x v="63"/>
    <x v="63"/>
    <x v="8"/>
    <x v="0"/>
    <x v="3"/>
    <x v="108"/>
    <x v="108"/>
    <x v="54"/>
    <x v="54"/>
    <x v="8"/>
    <x v="30"/>
    <x v="0"/>
    <x v="95"/>
    <x v="4"/>
    <x v="62"/>
  </r>
  <r>
    <s v="SUPER"/>
    <s v="HO"/>
    <s v="04/09/2025"/>
    <s v="01/08/2025-31/08/2025"/>
    <x v="64"/>
    <x v="64"/>
    <x v="15"/>
    <x v="0"/>
    <x v="0"/>
    <x v="109"/>
    <x v="109"/>
    <x v="1"/>
    <x v="1"/>
    <x v="11"/>
    <x v="23"/>
    <x v="0"/>
    <x v="96"/>
    <x v="14"/>
    <x v="63"/>
  </r>
  <r>
    <s v="SUPER"/>
    <s v="HO"/>
    <s v="04/09/2025"/>
    <s v="01/08/2025-31/08/2025"/>
    <x v="40"/>
    <x v="40"/>
    <x v="11"/>
    <x v="0"/>
    <x v="3"/>
    <x v="110"/>
    <x v="110"/>
    <x v="1"/>
    <x v="1"/>
    <x v="12"/>
    <x v="18"/>
    <x v="0"/>
    <x v="97"/>
    <x v="12"/>
    <x v="39"/>
  </r>
  <r>
    <s v="SUPER"/>
    <s v="HO"/>
    <s v="04/09/2025"/>
    <s v="01/08/2025-31/08/2025"/>
    <x v="65"/>
    <x v="65"/>
    <x v="22"/>
    <x v="0"/>
    <x v="2"/>
    <x v="111"/>
    <x v="111"/>
    <x v="1"/>
    <x v="1"/>
    <x v="4"/>
    <x v="3"/>
    <x v="0"/>
    <x v="98"/>
    <x v="11"/>
    <x v="64"/>
  </r>
  <r>
    <s v="SUPER"/>
    <s v="HO"/>
    <s v="04/09/2025"/>
    <s v="01/08/2025-31/08/2025"/>
    <x v="65"/>
    <x v="65"/>
    <x v="22"/>
    <x v="0"/>
    <x v="2"/>
    <x v="112"/>
    <x v="112"/>
    <x v="1"/>
    <x v="1"/>
    <x v="4"/>
    <x v="3"/>
    <x v="1"/>
    <x v="98"/>
    <x v="11"/>
    <x v="64"/>
  </r>
  <r>
    <s v="SUPER"/>
    <s v="HO"/>
    <s v="04/09/2025"/>
    <s v="01/08/2025-31/08/2025"/>
    <x v="65"/>
    <x v="65"/>
    <x v="22"/>
    <x v="0"/>
    <x v="2"/>
    <x v="113"/>
    <x v="113"/>
    <x v="1"/>
    <x v="1"/>
    <x v="4"/>
    <x v="3"/>
    <x v="2"/>
    <x v="98"/>
    <x v="11"/>
    <x v="64"/>
  </r>
  <r>
    <s v="SUPER"/>
    <s v="HO"/>
    <s v="04/09/2025"/>
    <s v="01/08/2025-31/08/2025"/>
    <x v="65"/>
    <x v="65"/>
    <x v="22"/>
    <x v="0"/>
    <x v="2"/>
    <x v="8"/>
    <x v="8"/>
    <x v="1"/>
    <x v="1"/>
    <x v="4"/>
    <x v="3"/>
    <x v="3"/>
    <x v="98"/>
    <x v="11"/>
    <x v="64"/>
  </r>
  <r>
    <s v="SUPER"/>
    <s v="HO"/>
    <s v="04/09/2025"/>
    <s v="01/08/2025-31/08/2025"/>
    <x v="65"/>
    <x v="65"/>
    <x v="22"/>
    <x v="0"/>
    <x v="2"/>
    <x v="100"/>
    <x v="100"/>
    <x v="1"/>
    <x v="1"/>
    <x v="4"/>
    <x v="3"/>
    <x v="4"/>
    <x v="98"/>
    <x v="11"/>
    <x v="64"/>
  </r>
  <r>
    <s v="SUPER"/>
    <s v="HO"/>
    <s v="04/09/2025"/>
    <s v="01/08/2025-31/08/2025"/>
    <x v="65"/>
    <x v="65"/>
    <x v="22"/>
    <x v="0"/>
    <x v="2"/>
    <x v="101"/>
    <x v="101"/>
    <x v="1"/>
    <x v="1"/>
    <x v="4"/>
    <x v="3"/>
    <x v="5"/>
    <x v="98"/>
    <x v="11"/>
    <x v="64"/>
  </r>
  <r>
    <s v="SUPER"/>
    <s v="HO"/>
    <s v="04/09/2025"/>
    <s v="01/08/2025-31/08/2025"/>
    <x v="66"/>
    <x v="66"/>
    <x v="14"/>
    <x v="0"/>
    <x v="3"/>
    <x v="39"/>
    <x v="39"/>
    <x v="7"/>
    <x v="7"/>
    <x v="4"/>
    <x v="2"/>
    <x v="0"/>
    <x v="99"/>
    <x v="11"/>
    <x v="65"/>
  </r>
  <r>
    <s v="SUPER"/>
    <s v="HO"/>
    <s v="04/09/2025"/>
    <s v="01/08/2025-31/08/2025"/>
    <x v="66"/>
    <x v="66"/>
    <x v="14"/>
    <x v="0"/>
    <x v="3"/>
    <x v="82"/>
    <x v="82"/>
    <x v="7"/>
    <x v="7"/>
    <x v="4"/>
    <x v="2"/>
    <x v="1"/>
    <x v="99"/>
    <x v="11"/>
    <x v="65"/>
  </r>
  <r>
    <s v="SUPER"/>
    <s v="HO"/>
    <s v="04/09/2025"/>
    <s v="01/08/2025-31/08/2025"/>
    <x v="66"/>
    <x v="66"/>
    <x v="14"/>
    <x v="0"/>
    <x v="3"/>
    <x v="114"/>
    <x v="114"/>
    <x v="7"/>
    <x v="7"/>
    <x v="4"/>
    <x v="2"/>
    <x v="2"/>
    <x v="99"/>
    <x v="11"/>
    <x v="65"/>
  </r>
  <r>
    <s v="SUPER"/>
    <s v="HO"/>
    <s v="04/09/2025"/>
    <s v="01/08/2025-31/08/2025"/>
    <x v="66"/>
    <x v="66"/>
    <x v="14"/>
    <x v="0"/>
    <x v="3"/>
    <x v="115"/>
    <x v="115"/>
    <x v="7"/>
    <x v="7"/>
    <x v="4"/>
    <x v="2"/>
    <x v="3"/>
    <x v="99"/>
    <x v="4"/>
    <x v="65"/>
  </r>
  <r>
    <s v="SUPER"/>
    <s v="HO"/>
    <s v="04/09/2025"/>
    <s v="01/08/2025-31/08/2025"/>
    <x v="66"/>
    <x v="66"/>
    <x v="14"/>
    <x v="0"/>
    <x v="3"/>
    <x v="51"/>
    <x v="51"/>
    <x v="7"/>
    <x v="7"/>
    <x v="4"/>
    <x v="2"/>
    <x v="4"/>
    <x v="99"/>
    <x v="10"/>
    <x v="65"/>
  </r>
  <r>
    <s v="SUPER"/>
    <s v="HO"/>
    <s v="04/09/2025"/>
    <s v="01/08/2025-31/08/2025"/>
    <x v="22"/>
    <x v="22"/>
    <x v="14"/>
    <x v="0"/>
    <x v="3"/>
    <x v="116"/>
    <x v="116"/>
    <x v="46"/>
    <x v="46"/>
    <x v="4"/>
    <x v="2"/>
    <x v="0"/>
    <x v="100"/>
    <x v="11"/>
    <x v="21"/>
  </r>
  <r>
    <s v="SUPER"/>
    <s v="HO"/>
    <s v="04/09/2025"/>
    <s v="01/08/2025-31/08/2025"/>
    <x v="22"/>
    <x v="22"/>
    <x v="14"/>
    <x v="0"/>
    <x v="3"/>
    <x v="35"/>
    <x v="35"/>
    <x v="46"/>
    <x v="46"/>
    <x v="4"/>
    <x v="2"/>
    <x v="1"/>
    <x v="100"/>
    <x v="11"/>
    <x v="21"/>
  </r>
  <r>
    <s v="SUPER"/>
    <s v="HO"/>
    <s v="04/09/2025"/>
    <s v="01/08/2025-31/08/2025"/>
    <x v="22"/>
    <x v="22"/>
    <x v="14"/>
    <x v="0"/>
    <x v="3"/>
    <x v="117"/>
    <x v="117"/>
    <x v="46"/>
    <x v="46"/>
    <x v="4"/>
    <x v="2"/>
    <x v="2"/>
    <x v="100"/>
    <x v="11"/>
    <x v="21"/>
  </r>
  <r>
    <s v="SUPER"/>
    <s v="HO"/>
    <s v="04/09/2025"/>
    <s v="01/08/2025-31/08/2025"/>
    <x v="67"/>
    <x v="67"/>
    <x v="17"/>
    <x v="0"/>
    <x v="3"/>
    <x v="118"/>
    <x v="118"/>
    <x v="55"/>
    <x v="55"/>
    <x v="2"/>
    <x v="15"/>
    <x v="0"/>
    <x v="101"/>
    <x v="20"/>
    <x v="66"/>
  </r>
  <r>
    <s v="SUPER"/>
    <s v="HO"/>
    <s v="04/09/2025"/>
    <s v="01/08/2025-31/08/2025"/>
    <x v="67"/>
    <x v="67"/>
    <x v="17"/>
    <x v="0"/>
    <x v="3"/>
    <x v="119"/>
    <x v="119"/>
    <x v="55"/>
    <x v="55"/>
    <x v="2"/>
    <x v="15"/>
    <x v="1"/>
    <x v="101"/>
    <x v="20"/>
    <x v="66"/>
  </r>
  <r>
    <s v="SUPER"/>
    <s v="HO"/>
    <s v="04/09/2025"/>
    <s v="01/08/2025-31/08/2025"/>
    <x v="6"/>
    <x v="6"/>
    <x v="5"/>
    <x v="0"/>
    <x v="2"/>
    <x v="120"/>
    <x v="120"/>
    <x v="3"/>
    <x v="3"/>
    <x v="8"/>
    <x v="30"/>
    <x v="0"/>
    <x v="102"/>
    <x v="14"/>
    <x v="5"/>
  </r>
  <r>
    <s v="SUPER"/>
    <s v="HO"/>
    <s v="04/09/2025"/>
    <s v="01/08/2025-31/08/2025"/>
    <x v="34"/>
    <x v="34"/>
    <x v="17"/>
    <x v="0"/>
    <x v="3"/>
    <x v="86"/>
    <x v="86"/>
    <x v="1"/>
    <x v="1"/>
    <x v="9"/>
    <x v="12"/>
    <x v="0"/>
    <x v="103"/>
    <x v="16"/>
    <x v="33"/>
  </r>
  <r>
    <s v="SUPER"/>
    <s v="HO"/>
    <s v="04/09/2025"/>
    <s v="01/08/2025-31/08/2025"/>
    <x v="68"/>
    <x v="68"/>
    <x v="6"/>
    <x v="0"/>
    <x v="0"/>
    <x v="121"/>
    <x v="121"/>
    <x v="56"/>
    <x v="56"/>
    <x v="4"/>
    <x v="2"/>
    <x v="0"/>
    <x v="104"/>
    <x v="11"/>
    <x v="67"/>
  </r>
  <r>
    <s v="SUPER"/>
    <s v="HO"/>
    <s v="04/09/2025"/>
    <s v="01/08/2025-31/08/2025"/>
    <x v="69"/>
    <x v="69"/>
    <x v="14"/>
    <x v="0"/>
    <x v="3"/>
    <x v="122"/>
    <x v="122"/>
    <x v="57"/>
    <x v="57"/>
    <x v="8"/>
    <x v="24"/>
    <x v="0"/>
    <x v="105"/>
    <x v="12"/>
    <x v="68"/>
  </r>
  <r>
    <s v="SUPER"/>
    <s v="HO"/>
    <s v="04/09/2025"/>
    <s v="01/08/2025-31/08/2025"/>
    <x v="30"/>
    <x v="30"/>
    <x v="1"/>
    <x v="0"/>
    <x v="0"/>
    <x v="12"/>
    <x v="12"/>
    <x v="26"/>
    <x v="26"/>
    <x v="13"/>
    <x v="9"/>
    <x v="0"/>
    <x v="105"/>
    <x v="21"/>
    <x v="29"/>
  </r>
  <r>
    <s v="SUPER"/>
    <s v="HO"/>
    <s v="04/09/2025"/>
    <s v="01/08/2025-31/08/2025"/>
    <x v="69"/>
    <x v="69"/>
    <x v="14"/>
    <x v="0"/>
    <x v="3"/>
    <x v="29"/>
    <x v="29"/>
    <x v="57"/>
    <x v="57"/>
    <x v="8"/>
    <x v="24"/>
    <x v="1"/>
    <x v="105"/>
    <x v="12"/>
    <x v="68"/>
  </r>
  <r>
    <s v="SUPER"/>
    <s v="HO"/>
    <s v="04/09/2025"/>
    <s v="01/08/2025-31/08/2025"/>
    <x v="30"/>
    <x v="30"/>
    <x v="1"/>
    <x v="0"/>
    <x v="0"/>
    <x v="12"/>
    <x v="12"/>
    <x v="26"/>
    <x v="26"/>
    <x v="13"/>
    <x v="9"/>
    <x v="1"/>
    <x v="105"/>
    <x v="21"/>
    <x v="29"/>
  </r>
  <r>
    <s v="SUPER"/>
    <s v="HO"/>
    <s v="04/09/2025"/>
    <s v="01/08/2025-31/08/2025"/>
    <x v="69"/>
    <x v="69"/>
    <x v="14"/>
    <x v="0"/>
    <x v="3"/>
    <x v="123"/>
    <x v="123"/>
    <x v="57"/>
    <x v="57"/>
    <x v="8"/>
    <x v="24"/>
    <x v="2"/>
    <x v="105"/>
    <x v="12"/>
    <x v="68"/>
  </r>
  <r>
    <s v="SUPER"/>
    <s v="HO"/>
    <s v="04/09/2025"/>
    <s v="01/08/2025-31/08/2025"/>
    <x v="69"/>
    <x v="69"/>
    <x v="14"/>
    <x v="0"/>
    <x v="3"/>
    <x v="124"/>
    <x v="124"/>
    <x v="57"/>
    <x v="57"/>
    <x v="8"/>
    <x v="24"/>
    <x v="3"/>
    <x v="105"/>
    <x v="4"/>
    <x v="68"/>
  </r>
  <r>
    <s v="SUPER"/>
    <s v="HO"/>
    <s v="04/09/2025"/>
    <s v="01/08/2025-31/08/2025"/>
    <x v="69"/>
    <x v="69"/>
    <x v="14"/>
    <x v="0"/>
    <x v="3"/>
    <x v="125"/>
    <x v="125"/>
    <x v="57"/>
    <x v="57"/>
    <x v="8"/>
    <x v="24"/>
    <x v="4"/>
    <x v="105"/>
    <x v="12"/>
    <x v="68"/>
  </r>
  <r>
    <s v="SUPER"/>
    <s v="HO"/>
    <s v="04/09/2025"/>
    <s v="01/08/2025-31/08/2025"/>
    <x v="5"/>
    <x v="5"/>
    <x v="4"/>
    <x v="0"/>
    <x v="2"/>
    <x v="126"/>
    <x v="126"/>
    <x v="58"/>
    <x v="58"/>
    <x v="5"/>
    <x v="26"/>
    <x v="0"/>
    <x v="106"/>
    <x v="8"/>
    <x v="4"/>
  </r>
  <r>
    <s v="SUPER"/>
    <s v="HO"/>
    <s v="04/09/2025"/>
    <s v="01/08/2025-31/08/2025"/>
    <x v="59"/>
    <x v="59"/>
    <x v="16"/>
    <x v="0"/>
    <x v="1"/>
    <x v="127"/>
    <x v="127"/>
    <x v="49"/>
    <x v="49"/>
    <x v="9"/>
    <x v="12"/>
    <x v="0"/>
    <x v="107"/>
    <x v="16"/>
    <x v="58"/>
  </r>
  <r>
    <s v="SUPER"/>
    <s v="HO"/>
    <s v="04/09/2025"/>
    <s v="01/08/2025-31/08/2025"/>
    <x v="70"/>
    <x v="70"/>
    <x v="9"/>
    <x v="0"/>
    <x v="3"/>
    <x v="45"/>
    <x v="45"/>
    <x v="59"/>
    <x v="59"/>
    <x v="7"/>
    <x v="16"/>
    <x v="0"/>
    <x v="108"/>
    <x v="6"/>
    <x v="69"/>
  </r>
  <r>
    <s v="SUPER"/>
    <s v="HO"/>
    <s v="04/09/2025"/>
    <s v="01/08/2025-31/08/2025"/>
    <x v="20"/>
    <x v="20"/>
    <x v="1"/>
    <x v="0"/>
    <x v="0"/>
    <x v="128"/>
    <x v="128"/>
    <x v="60"/>
    <x v="60"/>
    <x v="8"/>
    <x v="24"/>
    <x v="0"/>
    <x v="109"/>
    <x v="4"/>
    <x v="19"/>
  </r>
  <r>
    <s v="SUPER"/>
    <s v="HO"/>
    <s v="04/09/2025"/>
    <s v="01/08/2025-31/08/2025"/>
    <x v="65"/>
    <x v="65"/>
    <x v="22"/>
    <x v="0"/>
    <x v="2"/>
    <x v="129"/>
    <x v="129"/>
    <x v="1"/>
    <x v="1"/>
    <x v="5"/>
    <x v="26"/>
    <x v="0"/>
    <x v="109"/>
    <x v="12"/>
    <x v="64"/>
  </r>
  <r>
    <s v="SUPER"/>
    <s v="HO"/>
    <s v="04/09/2025"/>
    <s v="01/08/2025-31/08/2025"/>
    <x v="71"/>
    <x v="71"/>
    <x v="8"/>
    <x v="0"/>
    <x v="3"/>
    <x v="29"/>
    <x v="29"/>
    <x v="61"/>
    <x v="61"/>
    <x v="11"/>
    <x v="17"/>
    <x v="0"/>
    <x v="110"/>
    <x v="9"/>
    <x v="70"/>
  </r>
  <r>
    <s v="SUPER"/>
    <s v="HO"/>
    <s v="04/09/2025"/>
    <s v="01/08/2025-31/08/2025"/>
    <x v="47"/>
    <x v="47"/>
    <x v="14"/>
    <x v="0"/>
    <x v="3"/>
    <x v="130"/>
    <x v="130"/>
    <x v="62"/>
    <x v="62"/>
    <x v="14"/>
    <x v="18"/>
    <x v="0"/>
    <x v="111"/>
    <x v="8"/>
    <x v="46"/>
  </r>
  <r>
    <s v="SUPER"/>
    <s v="HO"/>
    <s v="04/09/2025"/>
    <s v="01/08/2025-31/08/2025"/>
    <x v="72"/>
    <x v="72"/>
    <x v="18"/>
    <x v="0"/>
    <x v="3"/>
    <x v="131"/>
    <x v="131"/>
    <x v="63"/>
    <x v="63"/>
    <x v="11"/>
    <x v="31"/>
    <x v="0"/>
    <x v="112"/>
    <x v="0"/>
    <x v="71"/>
  </r>
  <r>
    <s v="SUPER"/>
    <s v="HO"/>
    <s v="04/09/2025"/>
    <s v="01/08/2025-31/08/2025"/>
    <x v="72"/>
    <x v="72"/>
    <x v="18"/>
    <x v="0"/>
    <x v="3"/>
    <x v="132"/>
    <x v="132"/>
    <x v="63"/>
    <x v="63"/>
    <x v="11"/>
    <x v="31"/>
    <x v="1"/>
    <x v="112"/>
    <x v="0"/>
    <x v="71"/>
  </r>
  <r>
    <s v="SUPER"/>
    <s v="HO"/>
    <s v="04/09/2025"/>
    <s v="01/08/2025-31/08/2025"/>
    <x v="73"/>
    <x v="73"/>
    <x v="9"/>
    <x v="0"/>
    <x v="3"/>
    <x v="133"/>
    <x v="133"/>
    <x v="64"/>
    <x v="64"/>
    <x v="2"/>
    <x v="15"/>
    <x v="0"/>
    <x v="113"/>
    <x v="16"/>
    <x v="72"/>
  </r>
  <r>
    <s v="SUPER"/>
    <s v="HO"/>
    <s v="04/09/2025"/>
    <s v="01/08/2025-31/08/2025"/>
    <x v="31"/>
    <x v="31"/>
    <x v="17"/>
    <x v="0"/>
    <x v="3"/>
    <x v="134"/>
    <x v="134"/>
    <x v="52"/>
    <x v="52"/>
    <x v="7"/>
    <x v="13"/>
    <x v="0"/>
    <x v="114"/>
    <x v="22"/>
    <x v="30"/>
  </r>
  <r>
    <s v="SUPER"/>
    <s v="HO"/>
    <s v="04/09/2025"/>
    <s v="01/08/2025-31/08/2025"/>
    <x v="74"/>
    <x v="74"/>
    <x v="2"/>
    <x v="0"/>
    <x v="0"/>
    <x v="135"/>
    <x v="135"/>
    <x v="65"/>
    <x v="65"/>
    <x v="11"/>
    <x v="17"/>
    <x v="0"/>
    <x v="115"/>
    <x v="23"/>
    <x v="73"/>
  </r>
  <r>
    <s v="SUPER"/>
    <s v="HO"/>
    <s v="04/09/2025"/>
    <s v="01/08/2025-31/08/2025"/>
    <x v="75"/>
    <x v="75"/>
    <x v="9"/>
    <x v="0"/>
    <x v="3"/>
    <x v="136"/>
    <x v="136"/>
    <x v="1"/>
    <x v="1"/>
    <x v="11"/>
    <x v="2"/>
    <x v="0"/>
    <x v="116"/>
    <x v="11"/>
    <x v="74"/>
  </r>
  <r>
    <s v="SUPER"/>
    <s v="HO"/>
    <s v="04/09/2025"/>
    <s v="01/08/2025-31/08/2025"/>
    <x v="76"/>
    <x v="76"/>
    <x v="14"/>
    <x v="0"/>
    <x v="3"/>
    <x v="136"/>
    <x v="136"/>
    <x v="66"/>
    <x v="66"/>
    <x v="4"/>
    <x v="4"/>
    <x v="0"/>
    <x v="117"/>
    <x v="4"/>
    <x v="75"/>
  </r>
  <r>
    <s v="SUPER"/>
    <s v="HO"/>
    <s v="04/09/2025"/>
    <s v="01/08/2025-31/08/2025"/>
    <x v="76"/>
    <x v="76"/>
    <x v="14"/>
    <x v="0"/>
    <x v="3"/>
    <x v="11"/>
    <x v="11"/>
    <x v="66"/>
    <x v="66"/>
    <x v="4"/>
    <x v="4"/>
    <x v="1"/>
    <x v="117"/>
    <x v="4"/>
    <x v="75"/>
  </r>
  <r>
    <s v="SUPER"/>
    <s v="HO"/>
    <s v="04/09/2025"/>
    <s v="01/08/2025-31/08/2025"/>
    <x v="76"/>
    <x v="76"/>
    <x v="14"/>
    <x v="0"/>
    <x v="3"/>
    <x v="137"/>
    <x v="137"/>
    <x v="66"/>
    <x v="66"/>
    <x v="4"/>
    <x v="4"/>
    <x v="2"/>
    <x v="117"/>
    <x v="4"/>
    <x v="75"/>
  </r>
  <r>
    <s v="SUPER"/>
    <s v="HO"/>
    <s v="04/09/2025"/>
    <s v="01/08/2025-31/08/2025"/>
    <x v="76"/>
    <x v="76"/>
    <x v="14"/>
    <x v="0"/>
    <x v="3"/>
    <x v="138"/>
    <x v="138"/>
    <x v="66"/>
    <x v="66"/>
    <x v="4"/>
    <x v="4"/>
    <x v="3"/>
    <x v="117"/>
    <x v="4"/>
    <x v="75"/>
  </r>
  <r>
    <s v="SUPER"/>
    <s v="HO"/>
    <s v="04/09/2025"/>
    <s v="01/08/2025-31/08/2025"/>
    <x v="76"/>
    <x v="76"/>
    <x v="14"/>
    <x v="0"/>
    <x v="3"/>
    <x v="139"/>
    <x v="139"/>
    <x v="66"/>
    <x v="66"/>
    <x v="4"/>
    <x v="4"/>
    <x v="4"/>
    <x v="117"/>
    <x v="4"/>
    <x v="75"/>
  </r>
  <r>
    <s v="SUPER"/>
    <s v="HO"/>
    <s v="04/09/2025"/>
    <s v="01/08/2025-31/08/2025"/>
    <x v="31"/>
    <x v="31"/>
    <x v="17"/>
    <x v="0"/>
    <x v="3"/>
    <x v="75"/>
    <x v="75"/>
    <x v="42"/>
    <x v="42"/>
    <x v="2"/>
    <x v="21"/>
    <x v="0"/>
    <x v="118"/>
    <x v="10"/>
    <x v="30"/>
  </r>
  <r>
    <s v="SUPER"/>
    <s v="HO"/>
    <s v="04/09/2025"/>
    <s v="01/08/2025-31/08/2025"/>
    <x v="19"/>
    <x v="19"/>
    <x v="6"/>
    <x v="0"/>
    <x v="0"/>
    <x v="39"/>
    <x v="39"/>
    <x v="17"/>
    <x v="17"/>
    <x v="11"/>
    <x v="2"/>
    <x v="0"/>
    <x v="119"/>
    <x v="11"/>
    <x v="18"/>
  </r>
  <r>
    <s v="SUPER"/>
    <s v="HO"/>
    <s v="04/09/2025"/>
    <s v="01/08/2025-31/08/2025"/>
    <x v="19"/>
    <x v="19"/>
    <x v="6"/>
    <x v="0"/>
    <x v="0"/>
    <x v="121"/>
    <x v="121"/>
    <x v="17"/>
    <x v="17"/>
    <x v="11"/>
    <x v="2"/>
    <x v="1"/>
    <x v="119"/>
    <x v="11"/>
    <x v="18"/>
  </r>
  <r>
    <s v="SUPER"/>
    <s v="HO"/>
    <s v="04/09/2025"/>
    <s v="01/08/2025-31/08/2025"/>
    <x v="19"/>
    <x v="19"/>
    <x v="6"/>
    <x v="0"/>
    <x v="0"/>
    <x v="140"/>
    <x v="140"/>
    <x v="17"/>
    <x v="17"/>
    <x v="11"/>
    <x v="2"/>
    <x v="2"/>
    <x v="119"/>
    <x v="11"/>
    <x v="18"/>
  </r>
  <r>
    <s v="SUPER"/>
    <s v="HO"/>
    <s v="04/09/2025"/>
    <s v="01/08/2025-31/08/2025"/>
    <x v="19"/>
    <x v="19"/>
    <x v="6"/>
    <x v="0"/>
    <x v="0"/>
    <x v="141"/>
    <x v="141"/>
    <x v="17"/>
    <x v="17"/>
    <x v="11"/>
    <x v="2"/>
    <x v="3"/>
    <x v="119"/>
    <x v="11"/>
    <x v="18"/>
  </r>
  <r>
    <s v="SUPER"/>
    <s v="HO"/>
    <s v="04/09/2025"/>
    <s v="01/08/2025-31/08/2025"/>
    <x v="19"/>
    <x v="19"/>
    <x v="6"/>
    <x v="0"/>
    <x v="0"/>
    <x v="142"/>
    <x v="142"/>
    <x v="17"/>
    <x v="17"/>
    <x v="11"/>
    <x v="2"/>
    <x v="4"/>
    <x v="119"/>
    <x v="11"/>
    <x v="18"/>
  </r>
  <r>
    <s v="SUPER"/>
    <s v="HO"/>
    <s v="04/09/2025"/>
    <s v="01/08/2025-31/08/2025"/>
    <x v="19"/>
    <x v="19"/>
    <x v="6"/>
    <x v="0"/>
    <x v="0"/>
    <x v="30"/>
    <x v="30"/>
    <x v="17"/>
    <x v="17"/>
    <x v="11"/>
    <x v="2"/>
    <x v="5"/>
    <x v="119"/>
    <x v="10"/>
    <x v="18"/>
  </r>
  <r>
    <s v="SUPER"/>
    <s v="HO"/>
    <s v="04/09/2025"/>
    <s v="01/08/2025-31/08/2025"/>
    <x v="77"/>
    <x v="77"/>
    <x v="10"/>
    <x v="0"/>
    <x v="0"/>
    <x v="51"/>
    <x v="51"/>
    <x v="12"/>
    <x v="12"/>
    <x v="11"/>
    <x v="2"/>
    <x v="0"/>
    <x v="120"/>
    <x v="11"/>
    <x v="76"/>
  </r>
  <r>
    <s v="SUPER"/>
    <s v="HO"/>
    <s v="04/09/2025"/>
    <s v="01/08/2025-31/08/2025"/>
    <x v="78"/>
    <x v="78"/>
    <x v="9"/>
    <x v="0"/>
    <x v="3"/>
    <x v="0"/>
    <x v="0"/>
    <x v="1"/>
    <x v="1"/>
    <x v="2"/>
    <x v="21"/>
    <x v="0"/>
    <x v="121"/>
    <x v="1"/>
    <x v="77"/>
  </r>
  <r>
    <s v="SUPER"/>
    <s v="HO"/>
    <s v="04/09/2025"/>
    <s v="01/08/2025-31/08/2025"/>
    <x v="63"/>
    <x v="63"/>
    <x v="8"/>
    <x v="0"/>
    <x v="3"/>
    <x v="143"/>
    <x v="143"/>
    <x v="54"/>
    <x v="54"/>
    <x v="5"/>
    <x v="24"/>
    <x v="0"/>
    <x v="122"/>
    <x v="12"/>
    <x v="62"/>
  </r>
  <r>
    <s v="SUPER"/>
    <s v="HO"/>
    <s v="04/09/2025"/>
    <s v="01/08/2025-31/08/2025"/>
    <x v="63"/>
    <x v="63"/>
    <x v="8"/>
    <x v="0"/>
    <x v="3"/>
    <x v="144"/>
    <x v="144"/>
    <x v="54"/>
    <x v="54"/>
    <x v="5"/>
    <x v="24"/>
    <x v="1"/>
    <x v="122"/>
    <x v="12"/>
    <x v="62"/>
  </r>
  <r>
    <s v="SUPER"/>
    <s v="HO"/>
    <s v="04/09/2025"/>
    <s v="01/08/2025-31/08/2025"/>
    <x v="72"/>
    <x v="72"/>
    <x v="18"/>
    <x v="0"/>
    <x v="3"/>
    <x v="145"/>
    <x v="145"/>
    <x v="19"/>
    <x v="19"/>
    <x v="11"/>
    <x v="17"/>
    <x v="0"/>
    <x v="123"/>
    <x v="9"/>
    <x v="71"/>
  </r>
  <r>
    <s v="SUPER"/>
    <s v="HO"/>
    <s v="04/09/2025"/>
    <s v="01/08/2025-31/08/2025"/>
    <x v="1"/>
    <x v="1"/>
    <x v="1"/>
    <x v="0"/>
    <x v="0"/>
    <x v="146"/>
    <x v="146"/>
    <x v="32"/>
    <x v="32"/>
    <x v="15"/>
    <x v="12"/>
    <x v="0"/>
    <x v="124"/>
    <x v="16"/>
    <x v="1"/>
  </r>
  <r>
    <s v="SUPER"/>
    <s v="HO"/>
    <s v="04/09/2025"/>
    <s v="01/08/2025-31/08/2025"/>
    <x v="1"/>
    <x v="1"/>
    <x v="1"/>
    <x v="0"/>
    <x v="0"/>
    <x v="147"/>
    <x v="147"/>
    <x v="32"/>
    <x v="32"/>
    <x v="15"/>
    <x v="12"/>
    <x v="1"/>
    <x v="124"/>
    <x v="4"/>
    <x v="1"/>
  </r>
  <r>
    <s v="SUPER"/>
    <s v="HO"/>
    <s v="04/09/2025"/>
    <s v="01/08/2025-31/08/2025"/>
    <x v="1"/>
    <x v="1"/>
    <x v="1"/>
    <x v="0"/>
    <x v="0"/>
    <x v="148"/>
    <x v="148"/>
    <x v="32"/>
    <x v="32"/>
    <x v="15"/>
    <x v="12"/>
    <x v="0"/>
    <x v="125"/>
    <x v="4"/>
    <x v="1"/>
  </r>
  <r>
    <s v="SUPER"/>
    <s v="HO"/>
    <s v="04/09/2025"/>
    <s v="01/08/2025-31/08/2025"/>
    <x v="79"/>
    <x v="79"/>
    <x v="18"/>
    <x v="0"/>
    <x v="3"/>
    <x v="149"/>
    <x v="149"/>
    <x v="67"/>
    <x v="67"/>
    <x v="8"/>
    <x v="23"/>
    <x v="0"/>
    <x v="126"/>
    <x v="0"/>
    <x v="78"/>
  </r>
  <r>
    <s v="SUPER"/>
    <s v="HO"/>
    <s v="04/09/2025"/>
    <s v="01/08/2025-31/08/2025"/>
    <x v="79"/>
    <x v="79"/>
    <x v="18"/>
    <x v="0"/>
    <x v="3"/>
    <x v="150"/>
    <x v="150"/>
    <x v="67"/>
    <x v="67"/>
    <x v="8"/>
    <x v="23"/>
    <x v="1"/>
    <x v="126"/>
    <x v="0"/>
    <x v="78"/>
  </r>
  <r>
    <s v="SUPER"/>
    <s v="HO"/>
    <s v="04/09/2025"/>
    <s v="01/08/2025-31/08/2025"/>
    <x v="80"/>
    <x v="80"/>
    <x v="10"/>
    <x v="0"/>
    <x v="0"/>
    <x v="151"/>
    <x v="151"/>
    <x v="43"/>
    <x v="43"/>
    <x v="12"/>
    <x v="11"/>
    <x v="0"/>
    <x v="127"/>
    <x v="24"/>
    <x v="79"/>
  </r>
  <r>
    <s v="SUPER"/>
    <s v="HO"/>
    <s v="04/09/2025"/>
    <s v="01/08/2025-31/08/2025"/>
    <x v="81"/>
    <x v="81"/>
    <x v="8"/>
    <x v="0"/>
    <x v="3"/>
    <x v="96"/>
    <x v="96"/>
    <x v="41"/>
    <x v="41"/>
    <x v="5"/>
    <x v="30"/>
    <x v="0"/>
    <x v="128"/>
    <x v="7"/>
    <x v="80"/>
  </r>
  <r>
    <s v="SUPER"/>
    <s v="HO"/>
    <s v="04/09/2025"/>
    <s v="01/08/2025-31/08/2025"/>
    <x v="81"/>
    <x v="81"/>
    <x v="8"/>
    <x v="0"/>
    <x v="3"/>
    <x v="152"/>
    <x v="152"/>
    <x v="41"/>
    <x v="41"/>
    <x v="5"/>
    <x v="30"/>
    <x v="1"/>
    <x v="128"/>
    <x v="7"/>
    <x v="80"/>
  </r>
  <r>
    <s v="SUPER"/>
    <s v="HO"/>
    <s v="04/09/2025"/>
    <s v="01/08/2025-31/08/2025"/>
    <x v="81"/>
    <x v="81"/>
    <x v="8"/>
    <x v="0"/>
    <x v="3"/>
    <x v="153"/>
    <x v="153"/>
    <x v="41"/>
    <x v="41"/>
    <x v="5"/>
    <x v="30"/>
    <x v="2"/>
    <x v="128"/>
    <x v="7"/>
    <x v="80"/>
  </r>
  <r>
    <s v="SUPER"/>
    <s v="HO"/>
    <s v="04/09/2025"/>
    <s v="01/08/2025-31/08/2025"/>
    <x v="81"/>
    <x v="81"/>
    <x v="8"/>
    <x v="0"/>
    <x v="3"/>
    <x v="154"/>
    <x v="154"/>
    <x v="41"/>
    <x v="41"/>
    <x v="5"/>
    <x v="30"/>
    <x v="3"/>
    <x v="128"/>
    <x v="7"/>
    <x v="80"/>
  </r>
  <r>
    <s v="SUPER"/>
    <s v="HO"/>
    <s v="04/09/2025"/>
    <s v="01/08/2025-31/08/2025"/>
    <x v="81"/>
    <x v="81"/>
    <x v="8"/>
    <x v="0"/>
    <x v="3"/>
    <x v="155"/>
    <x v="155"/>
    <x v="41"/>
    <x v="41"/>
    <x v="5"/>
    <x v="30"/>
    <x v="4"/>
    <x v="128"/>
    <x v="7"/>
    <x v="80"/>
  </r>
  <r>
    <s v="SUPER"/>
    <s v="HO"/>
    <s v="04/09/2025"/>
    <s v="01/08/2025-31/08/2025"/>
    <x v="81"/>
    <x v="81"/>
    <x v="8"/>
    <x v="0"/>
    <x v="3"/>
    <x v="156"/>
    <x v="156"/>
    <x v="41"/>
    <x v="41"/>
    <x v="5"/>
    <x v="30"/>
    <x v="5"/>
    <x v="128"/>
    <x v="7"/>
    <x v="80"/>
  </r>
  <r>
    <s v="SUPER"/>
    <s v="HO"/>
    <s v="04/09/2025"/>
    <s v="01/08/2025-31/08/2025"/>
    <x v="81"/>
    <x v="81"/>
    <x v="8"/>
    <x v="0"/>
    <x v="3"/>
    <x v="157"/>
    <x v="157"/>
    <x v="41"/>
    <x v="41"/>
    <x v="5"/>
    <x v="30"/>
    <x v="6"/>
    <x v="128"/>
    <x v="7"/>
    <x v="80"/>
  </r>
  <r>
    <s v="SUPER"/>
    <s v="HO"/>
    <s v="04/09/2025"/>
    <s v="01/08/2025-31/08/2025"/>
    <x v="81"/>
    <x v="81"/>
    <x v="8"/>
    <x v="0"/>
    <x v="3"/>
    <x v="158"/>
    <x v="158"/>
    <x v="41"/>
    <x v="41"/>
    <x v="5"/>
    <x v="30"/>
    <x v="7"/>
    <x v="128"/>
    <x v="7"/>
    <x v="80"/>
  </r>
  <r>
    <s v="SUPER"/>
    <s v="HO"/>
    <s v="04/09/2025"/>
    <s v="01/08/2025-31/08/2025"/>
    <x v="81"/>
    <x v="81"/>
    <x v="8"/>
    <x v="0"/>
    <x v="3"/>
    <x v="23"/>
    <x v="23"/>
    <x v="41"/>
    <x v="41"/>
    <x v="5"/>
    <x v="30"/>
    <x v="8"/>
    <x v="128"/>
    <x v="7"/>
    <x v="80"/>
  </r>
  <r>
    <s v="SUPER"/>
    <s v="HO"/>
    <s v="04/09/2025"/>
    <s v="01/08/2025-31/08/2025"/>
    <x v="81"/>
    <x v="81"/>
    <x v="8"/>
    <x v="0"/>
    <x v="3"/>
    <x v="159"/>
    <x v="159"/>
    <x v="1"/>
    <x v="1"/>
    <x v="5"/>
    <x v="30"/>
    <x v="0"/>
    <x v="129"/>
    <x v="7"/>
    <x v="80"/>
  </r>
  <r>
    <s v="SUPER"/>
    <s v="HO"/>
    <s v="04/09/2025"/>
    <s v="01/08/2025-31/08/2025"/>
    <x v="20"/>
    <x v="20"/>
    <x v="1"/>
    <x v="0"/>
    <x v="0"/>
    <x v="160"/>
    <x v="160"/>
    <x v="25"/>
    <x v="25"/>
    <x v="11"/>
    <x v="2"/>
    <x v="0"/>
    <x v="130"/>
    <x v="10"/>
    <x v="19"/>
  </r>
  <r>
    <s v="SUPER"/>
    <s v="HO"/>
    <s v="04/09/2025"/>
    <s v="01/08/2025-31/08/2025"/>
    <x v="52"/>
    <x v="52"/>
    <x v="15"/>
    <x v="0"/>
    <x v="0"/>
    <x v="161"/>
    <x v="161"/>
    <x v="68"/>
    <x v="68"/>
    <x v="11"/>
    <x v="3"/>
    <x v="0"/>
    <x v="131"/>
    <x v="4"/>
    <x v="51"/>
  </r>
  <r>
    <s v="SUPER"/>
    <s v="HO"/>
    <s v="04/09/2025"/>
    <s v="01/08/2025-31/08/2025"/>
    <x v="52"/>
    <x v="52"/>
    <x v="15"/>
    <x v="0"/>
    <x v="0"/>
    <x v="31"/>
    <x v="31"/>
    <x v="69"/>
    <x v="69"/>
    <x v="11"/>
    <x v="3"/>
    <x v="0"/>
    <x v="132"/>
    <x v="4"/>
    <x v="51"/>
  </r>
  <r>
    <s v="SUPER"/>
    <s v="HO"/>
    <s v="04/09/2025"/>
    <s v="01/08/2025-31/08/2025"/>
    <x v="20"/>
    <x v="20"/>
    <x v="1"/>
    <x v="0"/>
    <x v="0"/>
    <x v="162"/>
    <x v="162"/>
    <x v="25"/>
    <x v="25"/>
    <x v="15"/>
    <x v="12"/>
    <x v="0"/>
    <x v="132"/>
    <x v="4"/>
    <x v="19"/>
  </r>
  <r>
    <s v="SUPER"/>
    <s v="HO"/>
    <s v="04/09/2025"/>
    <s v="01/08/2025-31/08/2025"/>
    <x v="20"/>
    <x v="20"/>
    <x v="1"/>
    <x v="0"/>
    <x v="0"/>
    <x v="163"/>
    <x v="163"/>
    <x v="25"/>
    <x v="25"/>
    <x v="15"/>
    <x v="12"/>
    <x v="1"/>
    <x v="132"/>
    <x v="4"/>
    <x v="19"/>
  </r>
  <r>
    <s v="SUPER"/>
    <s v="HO"/>
    <s v="04/09/2025"/>
    <s v="01/08/2025-31/08/2025"/>
    <x v="20"/>
    <x v="20"/>
    <x v="1"/>
    <x v="0"/>
    <x v="0"/>
    <x v="53"/>
    <x v="53"/>
    <x v="25"/>
    <x v="25"/>
    <x v="15"/>
    <x v="12"/>
    <x v="2"/>
    <x v="132"/>
    <x v="4"/>
    <x v="19"/>
  </r>
  <r>
    <s v="SUPER"/>
    <s v="HO"/>
    <s v="04/09/2025"/>
    <s v="01/08/2025-31/08/2025"/>
    <x v="82"/>
    <x v="82"/>
    <x v="11"/>
    <x v="0"/>
    <x v="3"/>
    <x v="164"/>
    <x v="164"/>
    <x v="70"/>
    <x v="70"/>
    <x v="9"/>
    <x v="13"/>
    <x v="0"/>
    <x v="133"/>
    <x v="16"/>
    <x v="81"/>
  </r>
  <r>
    <s v="SUPER"/>
    <s v="HO"/>
    <s v="04/09/2025"/>
    <s v="01/08/2025-31/08/2025"/>
    <x v="46"/>
    <x v="46"/>
    <x v="9"/>
    <x v="0"/>
    <x v="3"/>
    <x v="165"/>
    <x v="165"/>
    <x v="71"/>
    <x v="71"/>
    <x v="11"/>
    <x v="2"/>
    <x v="0"/>
    <x v="134"/>
    <x v="25"/>
    <x v="45"/>
  </r>
  <r>
    <s v="SUPER"/>
    <s v="HO"/>
    <s v="04/09/2025"/>
    <s v="01/08/2025-31/08/2025"/>
    <x v="83"/>
    <x v="83"/>
    <x v="5"/>
    <x v="0"/>
    <x v="2"/>
    <x v="166"/>
    <x v="166"/>
    <x v="72"/>
    <x v="72"/>
    <x v="7"/>
    <x v="26"/>
    <x v="0"/>
    <x v="135"/>
    <x v="4"/>
    <x v="82"/>
  </r>
  <r>
    <s v="SUPER"/>
    <s v="HO"/>
    <s v="04/09/2025"/>
    <s v="01/08/2025-31/08/2025"/>
    <x v="44"/>
    <x v="44"/>
    <x v="11"/>
    <x v="0"/>
    <x v="3"/>
    <x v="167"/>
    <x v="167"/>
    <x v="69"/>
    <x v="69"/>
    <x v="16"/>
    <x v="29"/>
    <x v="0"/>
    <x v="136"/>
    <x v="23"/>
    <x v="43"/>
  </r>
  <r>
    <s v="SUPER"/>
    <s v="HO"/>
    <s v="04/09/2025"/>
    <s v="01/08/2025-31/08/2025"/>
    <x v="34"/>
    <x v="34"/>
    <x v="17"/>
    <x v="0"/>
    <x v="3"/>
    <x v="168"/>
    <x v="168"/>
    <x v="1"/>
    <x v="1"/>
    <x v="15"/>
    <x v="12"/>
    <x v="0"/>
    <x v="137"/>
    <x v="20"/>
    <x v="33"/>
  </r>
  <r>
    <s v="SUPER"/>
    <s v="HO"/>
    <s v="04/09/2025"/>
    <s v="01/08/2025-31/08/2025"/>
    <x v="34"/>
    <x v="34"/>
    <x v="17"/>
    <x v="0"/>
    <x v="3"/>
    <x v="169"/>
    <x v="169"/>
    <x v="1"/>
    <x v="1"/>
    <x v="15"/>
    <x v="12"/>
    <x v="1"/>
    <x v="137"/>
    <x v="20"/>
    <x v="33"/>
  </r>
  <r>
    <s v="SUPER"/>
    <s v="HO"/>
    <s v="04/09/2025"/>
    <s v="01/08/2025-31/08/2025"/>
    <x v="28"/>
    <x v="28"/>
    <x v="11"/>
    <x v="0"/>
    <x v="3"/>
    <x v="170"/>
    <x v="170"/>
    <x v="73"/>
    <x v="73"/>
    <x v="2"/>
    <x v="0"/>
    <x v="0"/>
    <x v="138"/>
    <x v="10"/>
    <x v="27"/>
  </r>
  <r>
    <s v="SUPER"/>
    <s v="HO"/>
    <s v="04/09/2025"/>
    <s v="01/08/2025-31/08/2025"/>
    <x v="64"/>
    <x v="64"/>
    <x v="15"/>
    <x v="0"/>
    <x v="0"/>
    <x v="121"/>
    <x v="121"/>
    <x v="74"/>
    <x v="74"/>
    <x v="11"/>
    <x v="2"/>
    <x v="0"/>
    <x v="139"/>
    <x v="11"/>
    <x v="63"/>
  </r>
  <r>
    <s v="SUPER"/>
    <s v="HO"/>
    <s v="04/09/2025"/>
    <s v="01/08/2025-31/08/2025"/>
    <x v="26"/>
    <x v="26"/>
    <x v="15"/>
    <x v="0"/>
    <x v="0"/>
    <x v="167"/>
    <x v="167"/>
    <x v="51"/>
    <x v="51"/>
    <x v="5"/>
    <x v="30"/>
    <x v="0"/>
    <x v="140"/>
    <x v="0"/>
    <x v="25"/>
  </r>
  <r>
    <s v="SUPER"/>
    <s v="HO"/>
    <s v="04/09/2025"/>
    <s v="01/08/2025-31/08/2025"/>
    <x v="52"/>
    <x v="52"/>
    <x v="15"/>
    <x v="0"/>
    <x v="0"/>
    <x v="23"/>
    <x v="23"/>
    <x v="69"/>
    <x v="69"/>
    <x v="11"/>
    <x v="4"/>
    <x v="0"/>
    <x v="141"/>
    <x v="4"/>
    <x v="51"/>
  </r>
  <r>
    <s v="SUPER"/>
    <s v="HO"/>
    <s v="04/09/2025"/>
    <s v="01/08/2025-31/08/2025"/>
    <x v="52"/>
    <x v="52"/>
    <x v="15"/>
    <x v="0"/>
    <x v="0"/>
    <x v="171"/>
    <x v="171"/>
    <x v="69"/>
    <x v="69"/>
    <x v="11"/>
    <x v="4"/>
    <x v="1"/>
    <x v="141"/>
    <x v="4"/>
    <x v="51"/>
  </r>
  <r>
    <s v="SUPER"/>
    <s v="HO"/>
    <s v="04/09/2025"/>
    <s v="01/08/2025-31/08/2025"/>
    <x v="52"/>
    <x v="52"/>
    <x v="15"/>
    <x v="0"/>
    <x v="0"/>
    <x v="29"/>
    <x v="29"/>
    <x v="69"/>
    <x v="69"/>
    <x v="11"/>
    <x v="4"/>
    <x v="2"/>
    <x v="141"/>
    <x v="4"/>
    <x v="51"/>
  </r>
  <r>
    <s v="SUPER"/>
    <s v="HO"/>
    <s v="04/09/2025"/>
    <s v="01/08/2025-31/08/2025"/>
    <x v="76"/>
    <x v="76"/>
    <x v="14"/>
    <x v="0"/>
    <x v="3"/>
    <x v="136"/>
    <x v="136"/>
    <x v="66"/>
    <x v="66"/>
    <x v="2"/>
    <x v="1"/>
    <x v="0"/>
    <x v="142"/>
    <x v="11"/>
    <x v="75"/>
  </r>
  <r>
    <s v="SUPER"/>
    <s v="HO"/>
    <s v="04/09/2025"/>
    <s v="01/08/2025-31/08/2025"/>
    <x v="76"/>
    <x v="76"/>
    <x v="14"/>
    <x v="0"/>
    <x v="3"/>
    <x v="137"/>
    <x v="137"/>
    <x v="66"/>
    <x v="66"/>
    <x v="2"/>
    <x v="1"/>
    <x v="1"/>
    <x v="142"/>
    <x v="11"/>
    <x v="75"/>
  </r>
  <r>
    <s v="SUPER"/>
    <s v="HO"/>
    <s v="04/09/2025"/>
    <s v="01/08/2025-31/08/2025"/>
    <x v="76"/>
    <x v="76"/>
    <x v="14"/>
    <x v="0"/>
    <x v="3"/>
    <x v="138"/>
    <x v="138"/>
    <x v="66"/>
    <x v="66"/>
    <x v="2"/>
    <x v="1"/>
    <x v="2"/>
    <x v="142"/>
    <x v="11"/>
    <x v="75"/>
  </r>
  <r>
    <s v="SUPER"/>
    <s v="HO"/>
    <s v="04/09/2025"/>
    <s v="01/08/2025-31/08/2025"/>
    <x v="20"/>
    <x v="20"/>
    <x v="1"/>
    <x v="0"/>
    <x v="0"/>
    <x v="172"/>
    <x v="172"/>
    <x v="75"/>
    <x v="75"/>
    <x v="15"/>
    <x v="20"/>
    <x v="0"/>
    <x v="143"/>
    <x v="8"/>
    <x v="19"/>
  </r>
  <r>
    <s v="SUPER"/>
    <s v="HO"/>
    <s v="04/09/2025"/>
    <s v="01/08/2025-31/08/2025"/>
    <x v="84"/>
    <x v="84"/>
    <x v="1"/>
    <x v="0"/>
    <x v="0"/>
    <x v="64"/>
    <x v="64"/>
    <x v="76"/>
    <x v="76"/>
    <x v="4"/>
    <x v="21"/>
    <x v="0"/>
    <x v="144"/>
    <x v="1"/>
    <x v="83"/>
  </r>
  <r>
    <s v="SUPER"/>
    <s v="HO"/>
    <s v="04/09/2025"/>
    <s v="01/08/2025-31/08/2025"/>
    <x v="85"/>
    <x v="85"/>
    <x v="20"/>
    <x v="0"/>
    <x v="2"/>
    <x v="2"/>
    <x v="2"/>
    <x v="1"/>
    <x v="1"/>
    <x v="4"/>
    <x v="21"/>
    <x v="0"/>
    <x v="145"/>
    <x v="1"/>
    <x v="84"/>
  </r>
  <r>
    <s v="SUPER"/>
    <s v="HO"/>
    <s v="04/09/2025"/>
    <s v="01/08/2025-31/08/2025"/>
    <x v="85"/>
    <x v="85"/>
    <x v="20"/>
    <x v="0"/>
    <x v="2"/>
    <x v="161"/>
    <x v="161"/>
    <x v="1"/>
    <x v="1"/>
    <x v="4"/>
    <x v="21"/>
    <x v="1"/>
    <x v="145"/>
    <x v="1"/>
    <x v="84"/>
  </r>
  <r>
    <s v="SUPER"/>
    <s v="HO"/>
    <s v="04/09/2025"/>
    <s v="01/08/2025-31/08/2025"/>
    <x v="64"/>
    <x v="64"/>
    <x v="15"/>
    <x v="0"/>
    <x v="0"/>
    <x v="118"/>
    <x v="118"/>
    <x v="68"/>
    <x v="68"/>
    <x v="11"/>
    <x v="4"/>
    <x v="0"/>
    <x v="146"/>
    <x v="3"/>
    <x v="63"/>
  </r>
  <r>
    <s v="SUPER"/>
    <s v="HO"/>
    <s v="04/09/2025"/>
    <s v="01/08/2025-31/08/2025"/>
    <x v="46"/>
    <x v="46"/>
    <x v="9"/>
    <x v="0"/>
    <x v="3"/>
    <x v="173"/>
    <x v="173"/>
    <x v="1"/>
    <x v="1"/>
    <x v="11"/>
    <x v="4"/>
    <x v="0"/>
    <x v="147"/>
    <x v="1"/>
    <x v="45"/>
  </r>
  <r>
    <s v="SUPER"/>
    <s v="HO"/>
    <s v="04/09/2025"/>
    <s v="01/08/2025-31/08/2025"/>
    <x v="65"/>
    <x v="65"/>
    <x v="22"/>
    <x v="0"/>
    <x v="2"/>
    <x v="174"/>
    <x v="174"/>
    <x v="1"/>
    <x v="1"/>
    <x v="4"/>
    <x v="0"/>
    <x v="0"/>
    <x v="148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4"/>
    <x v="0"/>
    <x v="1"/>
    <x v="148"/>
    <x v="3"/>
    <x v="64"/>
  </r>
  <r>
    <s v="SUPER"/>
    <s v="HO"/>
    <s v="04/09/2025"/>
    <s v="01/08/2025-31/08/2025"/>
    <x v="6"/>
    <x v="6"/>
    <x v="5"/>
    <x v="0"/>
    <x v="2"/>
    <x v="176"/>
    <x v="176"/>
    <x v="3"/>
    <x v="3"/>
    <x v="4"/>
    <x v="0"/>
    <x v="0"/>
    <x v="149"/>
    <x v="3"/>
    <x v="5"/>
  </r>
  <r>
    <s v="SUPER"/>
    <s v="HO"/>
    <s v="04/09/2025"/>
    <s v="01/08/2025-31/08/2025"/>
    <x v="28"/>
    <x v="28"/>
    <x v="11"/>
    <x v="0"/>
    <x v="3"/>
    <x v="177"/>
    <x v="177"/>
    <x v="77"/>
    <x v="77"/>
    <x v="2"/>
    <x v="28"/>
    <x v="0"/>
    <x v="149"/>
    <x v="4"/>
    <x v="27"/>
  </r>
  <r>
    <s v="SUPER"/>
    <s v="HO"/>
    <s v="04/09/2025"/>
    <s v="01/08/2025-31/08/2025"/>
    <x v="60"/>
    <x v="60"/>
    <x v="21"/>
    <x v="0"/>
    <x v="2"/>
    <x v="22"/>
    <x v="22"/>
    <x v="1"/>
    <x v="1"/>
    <x v="4"/>
    <x v="0"/>
    <x v="0"/>
    <x v="150"/>
    <x v="3"/>
    <x v="59"/>
  </r>
  <r>
    <s v="SUPER"/>
    <s v="HO"/>
    <s v="04/09/2025"/>
    <s v="01/08/2025-31/08/2025"/>
    <x v="65"/>
    <x v="65"/>
    <x v="22"/>
    <x v="0"/>
    <x v="2"/>
    <x v="178"/>
    <x v="178"/>
    <x v="78"/>
    <x v="78"/>
    <x v="6"/>
    <x v="23"/>
    <x v="0"/>
    <x v="151"/>
    <x v="14"/>
    <x v="64"/>
  </r>
  <r>
    <s v="SUPER"/>
    <s v="HO"/>
    <s v="04/09/2025"/>
    <s v="01/08/2025-31/08/2025"/>
    <x v="77"/>
    <x v="77"/>
    <x v="10"/>
    <x v="0"/>
    <x v="0"/>
    <x v="179"/>
    <x v="179"/>
    <x v="79"/>
    <x v="79"/>
    <x v="7"/>
    <x v="30"/>
    <x v="0"/>
    <x v="151"/>
    <x v="7"/>
    <x v="76"/>
  </r>
  <r>
    <s v="SUPER"/>
    <s v="HO"/>
    <s v="04/09/2025"/>
    <s v="01/08/2025-31/08/2025"/>
    <x v="65"/>
    <x v="65"/>
    <x v="22"/>
    <x v="0"/>
    <x v="2"/>
    <x v="180"/>
    <x v="180"/>
    <x v="78"/>
    <x v="78"/>
    <x v="6"/>
    <x v="23"/>
    <x v="1"/>
    <x v="151"/>
    <x v="14"/>
    <x v="64"/>
  </r>
  <r>
    <s v="SUPER"/>
    <s v="HO"/>
    <s v="04/09/2025"/>
    <s v="01/08/2025-31/08/2025"/>
    <x v="77"/>
    <x v="77"/>
    <x v="10"/>
    <x v="0"/>
    <x v="0"/>
    <x v="179"/>
    <x v="179"/>
    <x v="79"/>
    <x v="79"/>
    <x v="7"/>
    <x v="30"/>
    <x v="1"/>
    <x v="151"/>
    <x v="7"/>
    <x v="76"/>
  </r>
  <r>
    <s v="SUPER"/>
    <s v="HO"/>
    <s v="04/09/2025"/>
    <s v="01/08/2025-31/08/2025"/>
    <x v="20"/>
    <x v="20"/>
    <x v="1"/>
    <x v="0"/>
    <x v="0"/>
    <x v="31"/>
    <x v="31"/>
    <x v="25"/>
    <x v="25"/>
    <x v="8"/>
    <x v="2"/>
    <x v="0"/>
    <x v="152"/>
    <x v="4"/>
    <x v="19"/>
  </r>
  <r>
    <s v="SUPER"/>
    <s v="HO"/>
    <s v="04/09/2025"/>
    <s v="01/08/2025-31/08/2025"/>
    <x v="6"/>
    <x v="6"/>
    <x v="5"/>
    <x v="0"/>
    <x v="2"/>
    <x v="181"/>
    <x v="181"/>
    <x v="3"/>
    <x v="3"/>
    <x v="12"/>
    <x v="13"/>
    <x v="0"/>
    <x v="153"/>
    <x v="16"/>
    <x v="5"/>
  </r>
  <r>
    <s v="SUPER"/>
    <s v="HO"/>
    <s v="04/09/2025"/>
    <s v="01/08/2025-31/08/2025"/>
    <x v="6"/>
    <x v="6"/>
    <x v="5"/>
    <x v="0"/>
    <x v="2"/>
    <x v="181"/>
    <x v="181"/>
    <x v="3"/>
    <x v="3"/>
    <x v="12"/>
    <x v="13"/>
    <x v="1"/>
    <x v="153"/>
    <x v="16"/>
    <x v="5"/>
  </r>
  <r>
    <s v="SUPER"/>
    <s v="HO"/>
    <s v="04/09/2025"/>
    <s v="01/08/2025-31/08/2025"/>
    <x v="6"/>
    <x v="6"/>
    <x v="5"/>
    <x v="0"/>
    <x v="2"/>
    <x v="181"/>
    <x v="181"/>
    <x v="3"/>
    <x v="3"/>
    <x v="12"/>
    <x v="13"/>
    <x v="2"/>
    <x v="153"/>
    <x v="16"/>
    <x v="5"/>
  </r>
  <r>
    <s v="SUPER"/>
    <s v="HO"/>
    <s v="04/09/2025"/>
    <s v="01/08/2025-31/08/2025"/>
    <x v="6"/>
    <x v="6"/>
    <x v="5"/>
    <x v="0"/>
    <x v="2"/>
    <x v="182"/>
    <x v="182"/>
    <x v="3"/>
    <x v="3"/>
    <x v="12"/>
    <x v="13"/>
    <x v="3"/>
    <x v="153"/>
    <x v="16"/>
    <x v="5"/>
  </r>
  <r>
    <s v="SUPER"/>
    <s v="HO"/>
    <s v="04/09/2025"/>
    <s v="01/08/2025-31/08/2025"/>
    <x v="6"/>
    <x v="6"/>
    <x v="5"/>
    <x v="0"/>
    <x v="2"/>
    <x v="183"/>
    <x v="183"/>
    <x v="3"/>
    <x v="3"/>
    <x v="12"/>
    <x v="13"/>
    <x v="4"/>
    <x v="153"/>
    <x v="16"/>
    <x v="5"/>
  </r>
  <r>
    <s v="SUPER"/>
    <s v="HO"/>
    <s v="04/09/2025"/>
    <s v="01/08/2025-31/08/2025"/>
    <x v="29"/>
    <x v="29"/>
    <x v="9"/>
    <x v="0"/>
    <x v="3"/>
    <x v="184"/>
    <x v="184"/>
    <x v="24"/>
    <x v="24"/>
    <x v="8"/>
    <x v="2"/>
    <x v="0"/>
    <x v="154"/>
    <x v="11"/>
    <x v="28"/>
  </r>
  <r>
    <s v="SUPER"/>
    <s v="HO"/>
    <s v="04/09/2025"/>
    <s v="01/08/2025-31/08/2025"/>
    <x v="51"/>
    <x v="51"/>
    <x v="19"/>
    <x v="0"/>
    <x v="1"/>
    <x v="185"/>
    <x v="185"/>
    <x v="80"/>
    <x v="80"/>
    <x v="13"/>
    <x v="12"/>
    <x v="0"/>
    <x v="154"/>
    <x v="16"/>
    <x v="50"/>
  </r>
  <r>
    <s v="SUPER"/>
    <s v="HO"/>
    <s v="04/09/2025"/>
    <s v="01/08/2025-31/08/2025"/>
    <x v="51"/>
    <x v="51"/>
    <x v="19"/>
    <x v="0"/>
    <x v="1"/>
    <x v="113"/>
    <x v="113"/>
    <x v="80"/>
    <x v="80"/>
    <x v="13"/>
    <x v="12"/>
    <x v="1"/>
    <x v="154"/>
    <x v="4"/>
    <x v="50"/>
  </r>
  <r>
    <s v="SUPER"/>
    <s v="HO"/>
    <s v="04/09/2025"/>
    <s v="01/08/2025-31/08/2025"/>
    <x v="51"/>
    <x v="51"/>
    <x v="19"/>
    <x v="0"/>
    <x v="1"/>
    <x v="31"/>
    <x v="31"/>
    <x v="80"/>
    <x v="80"/>
    <x v="13"/>
    <x v="12"/>
    <x v="2"/>
    <x v="154"/>
    <x v="20"/>
    <x v="50"/>
  </r>
  <r>
    <s v="SUPER"/>
    <s v="HO"/>
    <s v="04/09/2025"/>
    <s v="01/08/2025-31/08/2025"/>
    <x v="86"/>
    <x v="86"/>
    <x v="14"/>
    <x v="0"/>
    <x v="3"/>
    <x v="30"/>
    <x v="30"/>
    <x v="1"/>
    <x v="1"/>
    <x v="8"/>
    <x v="2"/>
    <x v="0"/>
    <x v="155"/>
    <x v="10"/>
    <x v="85"/>
  </r>
  <r>
    <s v="SUPER"/>
    <s v="HO"/>
    <s v="04/09/2025"/>
    <s v="01/08/2025-31/08/2025"/>
    <x v="54"/>
    <x v="54"/>
    <x v="14"/>
    <x v="0"/>
    <x v="3"/>
    <x v="82"/>
    <x v="82"/>
    <x v="81"/>
    <x v="81"/>
    <x v="2"/>
    <x v="1"/>
    <x v="0"/>
    <x v="156"/>
    <x v="11"/>
    <x v="53"/>
  </r>
  <r>
    <s v="SUPER"/>
    <s v="HO"/>
    <s v="04/09/2025"/>
    <s v="01/08/2025-31/08/2025"/>
    <x v="65"/>
    <x v="65"/>
    <x v="22"/>
    <x v="0"/>
    <x v="2"/>
    <x v="174"/>
    <x v="174"/>
    <x v="1"/>
    <x v="1"/>
    <x v="4"/>
    <x v="5"/>
    <x v="0"/>
    <x v="157"/>
    <x v="3"/>
    <x v="64"/>
  </r>
  <r>
    <s v="SUPER"/>
    <s v="HO"/>
    <s v="04/09/2025"/>
    <s v="01/08/2025-31/08/2025"/>
    <x v="87"/>
    <x v="87"/>
    <x v="15"/>
    <x v="0"/>
    <x v="0"/>
    <x v="51"/>
    <x v="51"/>
    <x v="1"/>
    <x v="1"/>
    <x v="8"/>
    <x v="2"/>
    <x v="0"/>
    <x v="158"/>
    <x v="11"/>
    <x v="86"/>
  </r>
  <r>
    <s v="SUPER"/>
    <s v="HO"/>
    <s v="04/09/2025"/>
    <s v="01/08/2025-31/08/2025"/>
    <x v="87"/>
    <x v="87"/>
    <x v="15"/>
    <x v="0"/>
    <x v="0"/>
    <x v="137"/>
    <x v="137"/>
    <x v="1"/>
    <x v="1"/>
    <x v="8"/>
    <x v="2"/>
    <x v="1"/>
    <x v="158"/>
    <x v="11"/>
    <x v="86"/>
  </r>
  <r>
    <s v="SUPER"/>
    <s v="HO"/>
    <s v="04/09/2025"/>
    <s v="01/08/2025-31/08/2025"/>
    <x v="6"/>
    <x v="6"/>
    <x v="5"/>
    <x v="0"/>
    <x v="2"/>
    <x v="186"/>
    <x v="186"/>
    <x v="3"/>
    <x v="3"/>
    <x v="4"/>
    <x v="15"/>
    <x v="0"/>
    <x v="159"/>
    <x v="15"/>
    <x v="5"/>
  </r>
  <r>
    <s v="SUPER"/>
    <s v="HO"/>
    <s v="04/09/2025"/>
    <s v="01/08/2025-31/08/2025"/>
    <x v="30"/>
    <x v="30"/>
    <x v="1"/>
    <x v="0"/>
    <x v="0"/>
    <x v="187"/>
    <x v="187"/>
    <x v="26"/>
    <x v="26"/>
    <x v="9"/>
    <x v="24"/>
    <x v="0"/>
    <x v="160"/>
    <x v="12"/>
    <x v="29"/>
  </r>
  <r>
    <s v="SUPER"/>
    <s v="HO"/>
    <s v="04/09/2025"/>
    <s v="01/08/2025-31/08/2025"/>
    <x v="51"/>
    <x v="51"/>
    <x v="19"/>
    <x v="0"/>
    <x v="1"/>
    <x v="160"/>
    <x v="160"/>
    <x v="1"/>
    <x v="1"/>
    <x v="4"/>
    <x v="21"/>
    <x v="0"/>
    <x v="161"/>
    <x v="4"/>
    <x v="50"/>
  </r>
  <r>
    <s v="SUPER"/>
    <s v="HO"/>
    <s v="04/09/2025"/>
    <s v="01/08/2025-31/08/2025"/>
    <x v="88"/>
    <x v="88"/>
    <x v="9"/>
    <x v="0"/>
    <x v="3"/>
    <x v="7"/>
    <x v="7"/>
    <x v="82"/>
    <x v="82"/>
    <x v="4"/>
    <x v="21"/>
    <x v="0"/>
    <x v="162"/>
    <x v="4"/>
    <x v="87"/>
  </r>
  <r>
    <s v="SUPER"/>
    <s v="HO"/>
    <s v="04/09/2025"/>
    <s v="01/08/2025-31/08/2025"/>
    <x v="35"/>
    <x v="35"/>
    <x v="6"/>
    <x v="0"/>
    <x v="0"/>
    <x v="102"/>
    <x v="102"/>
    <x v="29"/>
    <x v="29"/>
    <x v="8"/>
    <x v="4"/>
    <x v="0"/>
    <x v="163"/>
    <x v="3"/>
    <x v="34"/>
  </r>
  <r>
    <s v="SUPER"/>
    <s v="HO"/>
    <s v="04/09/2025"/>
    <s v="01/08/2025-31/08/2025"/>
    <x v="64"/>
    <x v="64"/>
    <x v="15"/>
    <x v="0"/>
    <x v="0"/>
    <x v="188"/>
    <x v="188"/>
    <x v="74"/>
    <x v="74"/>
    <x v="10"/>
    <x v="24"/>
    <x v="0"/>
    <x v="164"/>
    <x v="12"/>
    <x v="63"/>
  </r>
  <r>
    <s v="SUPER"/>
    <s v="HO"/>
    <s v="04/09/2025"/>
    <s v="01/08/2025-31/08/2025"/>
    <x v="77"/>
    <x v="77"/>
    <x v="10"/>
    <x v="0"/>
    <x v="0"/>
    <x v="189"/>
    <x v="189"/>
    <x v="79"/>
    <x v="79"/>
    <x v="7"/>
    <x v="30"/>
    <x v="0"/>
    <x v="165"/>
    <x v="7"/>
    <x v="76"/>
  </r>
  <r>
    <s v="SUPER"/>
    <s v="HO"/>
    <s v="04/09/2025"/>
    <s v="01/08/2025-31/08/2025"/>
    <x v="75"/>
    <x v="75"/>
    <x v="9"/>
    <x v="0"/>
    <x v="3"/>
    <x v="190"/>
    <x v="190"/>
    <x v="1"/>
    <x v="1"/>
    <x v="8"/>
    <x v="4"/>
    <x v="0"/>
    <x v="166"/>
    <x v="11"/>
    <x v="74"/>
  </r>
  <r>
    <s v="SUPER"/>
    <s v="HO"/>
    <s v="04/09/2025"/>
    <s v="01/08/2025-31/08/2025"/>
    <x v="89"/>
    <x v="89"/>
    <x v="21"/>
    <x v="0"/>
    <x v="2"/>
    <x v="191"/>
    <x v="191"/>
    <x v="83"/>
    <x v="83"/>
    <x v="9"/>
    <x v="26"/>
    <x v="0"/>
    <x v="166"/>
    <x v="8"/>
    <x v="88"/>
  </r>
  <r>
    <s v="SUPER"/>
    <s v="HO"/>
    <s v="04/09/2025"/>
    <s v="01/08/2025-31/08/2025"/>
    <x v="68"/>
    <x v="68"/>
    <x v="6"/>
    <x v="0"/>
    <x v="0"/>
    <x v="192"/>
    <x v="192"/>
    <x v="56"/>
    <x v="56"/>
    <x v="17"/>
    <x v="18"/>
    <x v="0"/>
    <x v="167"/>
    <x v="12"/>
    <x v="67"/>
  </r>
  <r>
    <s v="SUPER"/>
    <s v="HO"/>
    <s v="04/09/2025"/>
    <s v="01/08/2025-31/08/2025"/>
    <x v="68"/>
    <x v="68"/>
    <x v="6"/>
    <x v="0"/>
    <x v="0"/>
    <x v="192"/>
    <x v="192"/>
    <x v="56"/>
    <x v="56"/>
    <x v="17"/>
    <x v="18"/>
    <x v="1"/>
    <x v="167"/>
    <x v="12"/>
    <x v="67"/>
  </r>
  <r>
    <s v="SUPER"/>
    <s v="HO"/>
    <s v="04/09/2025"/>
    <s v="01/08/2025-31/08/2025"/>
    <x v="68"/>
    <x v="68"/>
    <x v="6"/>
    <x v="0"/>
    <x v="0"/>
    <x v="92"/>
    <x v="92"/>
    <x v="56"/>
    <x v="56"/>
    <x v="17"/>
    <x v="18"/>
    <x v="2"/>
    <x v="167"/>
    <x v="12"/>
    <x v="67"/>
  </r>
  <r>
    <s v="SUPER"/>
    <s v="HO"/>
    <s v="04/09/2025"/>
    <s v="01/08/2025-31/08/2025"/>
    <x v="68"/>
    <x v="68"/>
    <x v="6"/>
    <x v="0"/>
    <x v="0"/>
    <x v="193"/>
    <x v="193"/>
    <x v="56"/>
    <x v="56"/>
    <x v="17"/>
    <x v="18"/>
    <x v="3"/>
    <x v="167"/>
    <x v="12"/>
    <x v="67"/>
  </r>
  <r>
    <s v="SUPER"/>
    <s v="HO"/>
    <s v="04/09/2025"/>
    <s v="01/08/2025-31/08/2025"/>
    <x v="51"/>
    <x v="51"/>
    <x v="19"/>
    <x v="0"/>
    <x v="1"/>
    <x v="148"/>
    <x v="148"/>
    <x v="80"/>
    <x v="80"/>
    <x v="12"/>
    <x v="13"/>
    <x v="0"/>
    <x v="168"/>
    <x v="16"/>
    <x v="50"/>
  </r>
  <r>
    <s v="SUPER"/>
    <s v="HO"/>
    <s v="04/09/2025"/>
    <s v="01/08/2025-31/08/2025"/>
    <x v="90"/>
    <x v="90"/>
    <x v="10"/>
    <x v="0"/>
    <x v="0"/>
    <x v="194"/>
    <x v="194"/>
    <x v="84"/>
    <x v="84"/>
    <x v="5"/>
    <x v="23"/>
    <x v="0"/>
    <x v="169"/>
    <x v="0"/>
    <x v="89"/>
  </r>
  <r>
    <s v="SUPER"/>
    <s v="HO"/>
    <s v="04/09/2025"/>
    <s v="01/08/2025-31/08/2025"/>
    <x v="90"/>
    <x v="90"/>
    <x v="10"/>
    <x v="0"/>
    <x v="0"/>
    <x v="195"/>
    <x v="195"/>
    <x v="84"/>
    <x v="84"/>
    <x v="5"/>
    <x v="23"/>
    <x v="1"/>
    <x v="169"/>
    <x v="0"/>
    <x v="89"/>
  </r>
  <r>
    <s v="SUPER"/>
    <s v="HO"/>
    <s v="04/09/2025"/>
    <s v="01/08/2025-31/08/2025"/>
    <x v="18"/>
    <x v="18"/>
    <x v="12"/>
    <x v="0"/>
    <x v="3"/>
    <x v="196"/>
    <x v="196"/>
    <x v="16"/>
    <x v="16"/>
    <x v="6"/>
    <x v="25"/>
    <x v="0"/>
    <x v="170"/>
    <x v="0"/>
    <x v="17"/>
  </r>
  <r>
    <s v="SUPER"/>
    <s v="HO"/>
    <s v="04/09/2025"/>
    <s v="01/08/2025-31/08/2025"/>
    <x v="15"/>
    <x v="15"/>
    <x v="11"/>
    <x v="0"/>
    <x v="3"/>
    <x v="197"/>
    <x v="197"/>
    <x v="13"/>
    <x v="13"/>
    <x v="6"/>
    <x v="2"/>
    <x v="0"/>
    <x v="171"/>
    <x v="11"/>
    <x v="14"/>
  </r>
  <r>
    <s v="SUPER"/>
    <s v="HO"/>
    <s v="04/09/2025"/>
    <s v="01/08/2025-31/08/2025"/>
    <x v="15"/>
    <x v="15"/>
    <x v="11"/>
    <x v="0"/>
    <x v="3"/>
    <x v="47"/>
    <x v="47"/>
    <x v="13"/>
    <x v="13"/>
    <x v="6"/>
    <x v="2"/>
    <x v="1"/>
    <x v="171"/>
    <x v="11"/>
    <x v="14"/>
  </r>
  <r>
    <s v="SUPER"/>
    <s v="HO"/>
    <s v="04/09/2025"/>
    <s v="01/08/2025-31/08/2025"/>
    <x v="15"/>
    <x v="15"/>
    <x v="11"/>
    <x v="0"/>
    <x v="3"/>
    <x v="51"/>
    <x v="51"/>
    <x v="13"/>
    <x v="13"/>
    <x v="6"/>
    <x v="2"/>
    <x v="2"/>
    <x v="171"/>
    <x v="11"/>
    <x v="14"/>
  </r>
  <r>
    <s v="SUPER"/>
    <s v="HO"/>
    <s v="04/09/2025"/>
    <s v="01/08/2025-31/08/2025"/>
    <x v="15"/>
    <x v="15"/>
    <x v="11"/>
    <x v="0"/>
    <x v="3"/>
    <x v="137"/>
    <x v="137"/>
    <x v="13"/>
    <x v="13"/>
    <x v="6"/>
    <x v="2"/>
    <x v="3"/>
    <x v="171"/>
    <x v="11"/>
    <x v="14"/>
  </r>
  <r>
    <s v="SUPER"/>
    <s v="HO"/>
    <s v="04/09/2025"/>
    <s v="01/08/2025-31/08/2025"/>
    <x v="19"/>
    <x v="19"/>
    <x v="6"/>
    <x v="0"/>
    <x v="0"/>
    <x v="160"/>
    <x v="160"/>
    <x v="17"/>
    <x v="17"/>
    <x v="4"/>
    <x v="21"/>
    <x v="0"/>
    <x v="172"/>
    <x v="1"/>
    <x v="18"/>
  </r>
  <r>
    <s v="SUPER"/>
    <s v="HO"/>
    <s v="04/09/2025"/>
    <s v="01/08/2025-31/08/2025"/>
    <x v="34"/>
    <x v="34"/>
    <x v="17"/>
    <x v="0"/>
    <x v="3"/>
    <x v="198"/>
    <x v="198"/>
    <x v="42"/>
    <x v="42"/>
    <x v="5"/>
    <x v="23"/>
    <x v="0"/>
    <x v="173"/>
    <x v="0"/>
    <x v="33"/>
  </r>
  <r>
    <s v="SUPER"/>
    <s v="HO"/>
    <s v="04/09/2025"/>
    <s v="01/08/2025-31/08/2025"/>
    <x v="60"/>
    <x v="60"/>
    <x v="21"/>
    <x v="0"/>
    <x v="2"/>
    <x v="22"/>
    <x v="22"/>
    <x v="1"/>
    <x v="1"/>
    <x v="4"/>
    <x v="0"/>
    <x v="0"/>
    <x v="174"/>
    <x v="3"/>
    <x v="59"/>
  </r>
  <r>
    <s v="SUPER"/>
    <s v="HO"/>
    <s v="04/09/2025"/>
    <s v="01/08/2025-31/08/2025"/>
    <x v="53"/>
    <x v="53"/>
    <x v="11"/>
    <x v="0"/>
    <x v="3"/>
    <x v="199"/>
    <x v="199"/>
    <x v="44"/>
    <x v="44"/>
    <x v="18"/>
    <x v="13"/>
    <x v="0"/>
    <x v="174"/>
    <x v="16"/>
    <x v="52"/>
  </r>
  <r>
    <s v="SUPER"/>
    <s v="HO"/>
    <s v="04/09/2025"/>
    <s v="01/08/2025-31/08/2025"/>
    <x v="80"/>
    <x v="80"/>
    <x v="10"/>
    <x v="0"/>
    <x v="0"/>
    <x v="122"/>
    <x v="122"/>
    <x v="85"/>
    <x v="85"/>
    <x v="18"/>
    <x v="13"/>
    <x v="0"/>
    <x v="175"/>
    <x v="16"/>
    <x v="79"/>
  </r>
  <r>
    <s v="SUPER"/>
    <s v="HO"/>
    <s v="04/09/2025"/>
    <s v="01/08/2025-31/08/2025"/>
    <x v="80"/>
    <x v="80"/>
    <x v="10"/>
    <x v="0"/>
    <x v="0"/>
    <x v="122"/>
    <x v="122"/>
    <x v="85"/>
    <x v="85"/>
    <x v="18"/>
    <x v="13"/>
    <x v="1"/>
    <x v="175"/>
    <x v="16"/>
    <x v="79"/>
  </r>
  <r>
    <s v="SUPER"/>
    <s v="HO"/>
    <s v="04/09/2025"/>
    <s v="01/08/2025-31/08/2025"/>
    <x v="80"/>
    <x v="80"/>
    <x v="10"/>
    <x v="0"/>
    <x v="0"/>
    <x v="122"/>
    <x v="122"/>
    <x v="85"/>
    <x v="85"/>
    <x v="18"/>
    <x v="13"/>
    <x v="2"/>
    <x v="175"/>
    <x v="16"/>
    <x v="79"/>
  </r>
  <r>
    <s v="SUPER"/>
    <s v="HO"/>
    <s v="04/09/2025"/>
    <s v="01/08/2025-31/08/2025"/>
    <x v="80"/>
    <x v="80"/>
    <x v="10"/>
    <x v="0"/>
    <x v="0"/>
    <x v="122"/>
    <x v="122"/>
    <x v="85"/>
    <x v="85"/>
    <x v="18"/>
    <x v="13"/>
    <x v="3"/>
    <x v="175"/>
    <x v="16"/>
    <x v="79"/>
  </r>
  <r>
    <s v="SUPER"/>
    <s v="HO"/>
    <s v="04/09/2025"/>
    <s v="01/08/2025-31/08/2025"/>
    <x v="91"/>
    <x v="91"/>
    <x v="23"/>
    <x v="0"/>
    <x v="2"/>
    <x v="200"/>
    <x v="200"/>
    <x v="86"/>
    <x v="86"/>
    <x v="16"/>
    <x v="16"/>
    <x v="0"/>
    <x v="176"/>
    <x v="26"/>
    <x v="90"/>
  </r>
  <r>
    <s v="SUPER"/>
    <s v="HO"/>
    <s v="04/09/2025"/>
    <s v="01/08/2025-31/08/2025"/>
    <x v="91"/>
    <x v="91"/>
    <x v="23"/>
    <x v="0"/>
    <x v="2"/>
    <x v="201"/>
    <x v="201"/>
    <x v="86"/>
    <x v="86"/>
    <x v="16"/>
    <x v="16"/>
    <x v="1"/>
    <x v="176"/>
    <x v="26"/>
    <x v="90"/>
  </r>
  <r>
    <s v="SUPER"/>
    <s v="HO"/>
    <s v="04/09/2025"/>
    <s v="01/08/2025-31/08/2025"/>
    <x v="80"/>
    <x v="80"/>
    <x v="10"/>
    <x v="0"/>
    <x v="0"/>
    <x v="202"/>
    <x v="202"/>
    <x v="85"/>
    <x v="85"/>
    <x v="18"/>
    <x v="13"/>
    <x v="0"/>
    <x v="177"/>
    <x v="16"/>
    <x v="79"/>
  </r>
  <r>
    <s v="SUPER"/>
    <s v="HO"/>
    <s v="04/09/2025"/>
    <s v="01/08/2025-31/08/2025"/>
    <x v="80"/>
    <x v="80"/>
    <x v="10"/>
    <x v="0"/>
    <x v="0"/>
    <x v="202"/>
    <x v="202"/>
    <x v="85"/>
    <x v="85"/>
    <x v="18"/>
    <x v="13"/>
    <x v="1"/>
    <x v="177"/>
    <x v="16"/>
    <x v="79"/>
  </r>
  <r>
    <s v="SUPER"/>
    <s v="HO"/>
    <s v="04/09/2025"/>
    <s v="01/08/2025-31/08/2025"/>
    <x v="80"/>
    <x v="80"/>
    <x v="10"/>
    <x v="0"/>
    <x v="0"/>
    <x v="202"/>
    <x v="202"/>
    <x v="85"/>
    <x v="85"/>
    <x v="18"/>
    <x v="13"/>
    <x v="2"/>
    <x v="177"/>
    <x v="16"/>
    <x v="79"/>
  </r>
  <r>
    <s v="SUPER"/>
    <s v="HO"/>
    <s v="04/09/2025"/>
    <s v="01/08/2025-31/08/2025"/>
    <x v="80"/>
    <x v="80"/>
    <x v="10"/>
    <x v="0"/>
    <x v="0"/>
    <x v="202"/>
    <x v="202"/>
    <x v="85"/>
    <x v="85"/>
    <x v="18"/>
    <x v="13"/>
    <x v="3"/>
    <x v="177"/>
    <x v="16"/>
    <x v="79"/>
  </r>
  <r>
    <s v="SUPER"/>
    <s v="HO"/>
    <s v="04/09/2025"/>
    <s v="01/08/2025-31/08/2025"/>
    <x v="80"/>
    <x v="80"/>
    <x v="10"/>
    <x v="0"/>
    <x v="0"/>
    <x v="203"/>
    <x v="203"/>
    <x v="85"/>
    <x v="85"/>
    <x v="18"/>
    <x v="13"/>
    <x v="0"/>
    <x v="178"/>
    <x v="16"/>
    <x v="79"/>
  </r>
  <r>
    <s v="SUPER"/>
    <s v="HO"/>
    <s v="04/09/2025"/>
    <s v="01/08/2025-31/08/2025"/>
    <x v="80"/>
    <x v="80"/>
    <x v="10"/>
    <x v="0"/>
    <x v="0"/>
    <x v="203"/>
    <x v="203"/>
    <x v="85"/>
    <x v="85"/>
    <x v="18"/>
    <x v="13"/>
    <x v="1"/>
    <x v="178"/>
    <x v="16"/>
    <x v="79"/>
  </r>
  <r>
    <s v="SUPER"/>
    <s v="HO"/>
    <s v="04/09/2025"/>
    <s v="01/08/2025-31/08/2025"/>
    <x v="80"/>
    <x v="80"/>
    <x v="10"/>
    <x v="0"/>
    <x v="0"/>
    <x v="203"/>
    <x v="203"/>
    <x v="85"/>
    <x v="85"/>
    <x v="18"/>
    <x v="13"/>
    <x v="2"/>
    <x v="178"/>
    <x v="16"/>
    <x v="79"/>
  </r>
  <r>
    <s v="SUPER"/>
    <s v="HO"/>
    <s v="04/09/2025"/>
    <s v="01/08/2025-31/08/2025"/>
    <x v="80"/>
    <x v="80"/>
    <x v="10"/>
    <x v="0"/>
    <x v="0"/>
    <x v="203"/>
    <x v="203"/>
    <x v="85"/>
    <x v="85"/>
    <x v="18"/>
    <x v="13"/>
    <x v="3"/>
    <x v="178"/>
    <x v="16"/>
    <x v="79"/>
  </r>
  <r>
    <s v="SUPER"/>
    <s v="HO"/>
    <s v="04/09/2025"/>
    <s v="01/08/2025-31/08/2025"/>
    <x v="10"/>
    <x v="10"/>
    <x v="9"/>
    <x v="0"/>
    <x v="3"/>
    <x v="51"/>
    <x v="51"/>
    <x v="1"/>
    <x v="1"/>
    <x v="6"/>
    <x v="2"/>
    <x v="0"/>
    <x v="179"/>
    <x v="11"/>
    <x v="9"/>
  </r>
  <r>
    <s v="SUPER"/>
    <s v="HO"/>
    <s v="04/09/2025"/>
    <s v="01/08/2025-31/08/2025"/>
    <x v="43"/>
    <x v="43"/>
    <x v="16"/>
    <x v="0"/>
    <x v="1"/>
    <x v="204"/>
    <x v="204"/>
    <x v="36"/>
    <x v="36"/>
    <x v="11"/>
    <x v="15"/>
    <x v="0"/>
    <x v="180"/>
    <x v="20"/>
    <x v="42"/>
  </r>
  <r>
    <s v="SUPER"/>
    <s v="HO"/>
    <s v="04/09/2025"/>
    <s v="01/08/2025-31/08/2025"/>
    <x v="69"/>
    <x v="69"/>
    <x v="14"/>
    <x v="0"/>
    <x v="3"/>
    <x v="12"/>
    <x v="12"/>
    <x v="87"/>
    <x v="87"/>
    <x v="11"/>
    <x v="15"/>
    <x v="0"/>
    <x v="181"/>
    <x v="9"/>
    <x v="68"/>
  </r>
  <r>
    <s v="SUPER"/>
    <s v="HO"/>
    <s v="04/09/2025"/>
    <s v="01/08/2025-31/08/2025"/>
    <x v="92"/>
    <x v="92"/>
    <x v="11"/>
    <x v="0"/>
    <x v="3"/>
    <x v="205"/>
    <x v="205"/>
    <x v="88"/>
    <x v="88"/>
    <x v="19"/>
    <x v="29"/>
    <x v="0"/>
    <x v="182"/>
    <x v="23"/>
    <x v="91"/>
  </r>
  <r>
    <s v="SUPER"/>
    <s v="HO"/>
    <s v="04/09/2025"/>
    <s v="01/08/2025-31/08/2025"/>
    <x v="13"/>
    <x v="13"/>
    <x v="4"/>
    <x v="0"/>
    <x v="2"/>
    <x v="206"/>
    <x v="206"/>
    <x v="1"/>
    <x v="1"/>
    <x v="11"/>
    <x v="21"/>
    <x v="0"/>
    <x v="183"/>
    <x v="10"/>
    <x v="12"/>
  </r>
  <r>
    <s v="SUPER"/>
    <s v="HO"/>
    <s v="04/09/2025"/>
    <s v="01/08/2025-31/08/2025"/>
    <x v="93"/>
    <x v="93"/>
    <x v="24"/>
    <x v="0"/>
    <x v="2"/>
    <x v="50"/>
    <x v="50"/>
    <x v="89"/>
    <x v="89"/>
    <x v="20"/>
    <x v="11"/>
    <x v="0"/>
    <x v="183"/>
    <x v="15"/>
    <x v="92"/>
  </r>
  <r>
    <s v="SUPER"/>
    <s v="HO"/>
    <s v="04/09/2025"/>
    <s v="01/08/2025-31/08/2025"/>
    <x v="94"/>
    <x v="94"/>
    <x v="6"/>
    <x v="0"/>
    <x v="0"/>
    <x v="207"/>
    <x v="207"/>
    <x v="68"/>
    <x v="68"/>
    <x v="21"/>
    <x v="10"/>
    <x v="0"/>
    <x v="184"/>
    <x v="4"/>
    <x v="93"/>
  </r>
  <r>
    <s v="SUPER"/>
    <s v="HO"/>
    <s v="04/09/2025"/>
    <s v="01/08/2025-31/08/2025"/>
    <x v="94"/>
    <x v="94"/>
    <x v="6"/>
    <x v="0"/>
    <x v="0"/>
    <x v="207"/>
    <x v="207"/>
    <x v="68"/>
    <x v="68"/>
    <x v="21"/>
    <x v="10"/>
    <x v="1"/>
    <x v="184"/>
    <x v="4"/>
    <x v="93"/>
  </r>
  <r>
    <s v="SUPER"/>
    <s v="HO"/>
    <s v="04/09/2025"/>
    <s v="01/08/2025-31/08/2025"/>
    <x v="94"/>
    <x v="94"/>
    <x v="6"/>
    <x v="0"/>
    <x v="0"/>
    <x v="208"/>
    <x v="208"/>
    <x v="68"/>
    <x v="68"/>
    <x v="21"/>
    <x v="10"/>
    <x v="2"/>
    <x v="184"/>
    <x v="4"/>
    <x v="93"/>
  </r>
  <r>
    <s v="SUPER"/>
    <s v="HO"/>
    <s v="04/09/2025"/>
    <s v="01/08/2025-31/08/2025"/>
    <x v="94"/>
    <x v="94"/>
    <x v="6"/>
    <x v="0"/>
    <x v="0"/>
    <x v="209"/>
    <x v="209"/>
    <x v="68"/>
    <x v="68"/>
    <x v="21"/>
    <x v="10"/>
    <x v="3"/>
    <x v="184"/>
    <x v="4"/>
    <x v="93"/>
  </r>
  <r>
    <s v="SUPER"/>
    <s v="HO"/>
    <s v="04/09/2025"/>
    <s v="01/08/2025-31/08/2025"/>
    <x v="94"/>
    <x v="94"/>
    <x v="6"/>
    <x v="0"/>
    <x v="0"/>
    <x v="13"/>
    <x v="13"/>
    <x v="68"/>
    <x v="68"/>
    <x v="21"/>
    <x v="10"/>
    <x v="4"/>
    <x v="184"/>
    <x v="4"/>
    <x v="93"/>
  </r>
  <r>
    <s v="SUPER"/>
    <s v="HO"/>
    <s v="04/09/2025"/>
    <s v="01/08/2025-31/08/2025"/>
    <x v="94"/>
    <x v="94"/>
    <x v="6"/>
    <x v="0"/>
    <x v="0"/>
    <x v="13"/>
    <x v="13"/>
    <x v="68"/>
    <x v="68"/>
    <x v="21"/>
    <x v="10"/>
    <x v="5"/>
    <x v="184"/>
    <x v="4"/>
    <x v="93"/>
  </r>
  <r>
    <s v="SUPER"/>
    <s v="HO"/>
    <s v="04/09/2025"/>
    <s v="01/08/2025-31/08/2025"/>
    <x v="84"/>
    <x v="84"/>
    <x v="1"/>
    <x v="0"/>
    <x v="0"/>
    <x v="64"/>
    <x v="64"/>
    <x v="76"/>
    <x v="76"/>
    <x v="11"/>
    <x v="21"/>
    <x v="0"/>
    <x v="185"/>
    <x v="4"/>
    <x v="83"/>
  </r>
  <r>
    <s v="SUPER"/>
    <s v="HO"/>
    <s v="04/09/2025"/>
    <s v="01/08/2025-31/08/2025"/>
    <x v="32"/>
    <x v="32"/>
    <x v="7"/>
    <x v="0"/>
    <x v="1"/>
    <x v="161"/>
    <x v="161"/>
    <x v="28"/>
    <x v="28"/>
    <x v="11"/>
    <x v="21"/>
    <x v="0"/>
    <x v="186"/>
    <x v="1"/>
    <x v="31"/>
  </r>
  <r>
    <s v="SUPER"/>
    <s v="HO"/>
    <s v="04/09/2025"/>
    <s v="01/08/2025-31/08/2025"/>
    <x v="32"/>
    <x v="32"/>
    <x v="7"/>
    <x v="0"/>
    <x v="1"/>
    <x v="2"/>
    <x v="2"/>
    <x v="28"/>
    <x v="28"/>
    <x v="11"/>
    <x v="21"/>
    <x v="1"/>
    <x v="186"/>
    <x v="1"/>
    <x v="31"/>
  </r>
  <r>
    <s v="SUPER"/>
    <s v="HO"/>
    <s v="04/09/2025"/>
    <s v="01/08/2025-31/08/2025"/>
    <x v="95"/>
    <x v="95"/>
    <x v="14"/>
    <x v="0"/>
    <x v="3"/>
    <x v="86"/>
    <x v="86"/>
    <x v="90"/>
    <x v="90"/>
    <x v="4"/>
    <x v="0"/>
    <x v="0"/>
    <x v="187"/>
    <x v="27"/>
    <x v="94"/>
  </r>
  <r>
    <s v="SUPER"/>
    <s v="HO"/>
    <s v="04/09/2025"/>
    <s v="01/08/2025-31/08/2025"/>
    <x v="40"/>
    <x v="40"/>
    <x v="11"/>
    <x v="0"/>
    <x v="3"/>
    <x v="210"/>
    <x v="210"/>
    <x v="1"/>
    <x v="1"/>
    <x v="22"/>
    <x v="8"/>
    <x v="0"/>
    <x v="188"/>
    <x v="28"/>
    <x v="39"/>
  </r>
  <r>
    <s v="SUPER"/>
    <s v="HO"/>
    <s v="04/09/2025"/>
    <s v="01/08/2025-31/08/2025"/>
    <x v="40"/>
    <x v="40"/>
    <x v="11"/>
    <x v="0"/>
    <x v="3"/>
    <x v="153"/>
    <x v="153"/>
    <x v="0"/>
    <x v="0"/>
    <x v="13"/>
    <x v="26"/>
    <x v="0"/>
    <x v="189"/>
    <x v="12"/>
    <x v="39"/>
  </r>
  <r>
    <s v="SUPER"/>
    <s v="HO"/>
    <s v="04/09/2025"/>
    <s v="01/08/2025-31/08/2025"/>
    <x v="45"/>
    <x v="45"/>
    <x v="14"/>
    <x v="0"/>
    <x v="3"/>
    <x v="64"/>
    <x v="64"/>
    <x v="1"/>
    <x v="1"/>
    <x v="6"/>
    <x v="3"/>
    <x v="0"/>
    <x v="190"/>
    <x v="3"/>
    <x v="44"/>
  </r>
  <r>
    <s v="SUPER"/>
    <s v="HO"/>
    <s v="04/09/2025"/>
    <s v="01/08/2025-31/08/2025"/>
    <x v="45"/>
    <x v="45"/>
    <x v="14"/>
    <x v="0"/>
    <x v="3"/>
    <x v="31"/>
    <x v="31"/>
    <x v="1"/>
    <x v="1"/>
    <x v="6"/>
    <x v="3"/>
    <x v="1"/>
    <x v="190"/>
    <x v="10"/>
    <x v="44"/>
  </r>
  <r>
    <s v="SUPER"/>
    <s v="HO"/>
    <s v="04/09/2025"/>
    <s v="01/08/2025-31/08/2025"/>
    <x v="60"/>
    <x v="60"/>
    <x v="21"/>
    <x v="0"/>
    <x v="2"/>
    <x v="211"/>
    <x v="211"/>
    <x v="1"/>
    <x v="1"/>
    <x v="5"/>
    <x v="2"/>
    <x v="0"/>
    <x v="191"/>
    <x v="11"/>
    <x v="59"/>
  </r>
  <r>
    <s v="SUPER"/>
    <s v="HO"/>
    <s v="04/09/2025"/>
    <s v="01/08/2025-31/08/2025"/>
    <x v="60"/>
    <x v="60"/>
    <x v="21"/>
    <x v="0"/>
    <x v="2"/>
    <x v="212"/>
    <x v="212"/>
    <x v="1"/>
    <x v="1"/>
    <x v="5"/>
    <x v="2"/>
    <x v="1"/>
    <x v="191"/>
    <x v="11"/>
    <x v="59"/>
  </r>
  <r>
    <s v="SUPER"/>
    <s v="HO"/>
    <s v="04/09/2025"/>
    <s v="01/08/2025-31/08/2025"/>
    <x v="73"/>
    <x v="73"/>
    <x v="9"/>
    <x v="0"/>
    <x v="3"/>
    <x v="31"/>
    <x v="31"/>
    <x v="64"/>
    <x v="64"/>
    <x v="6"/>
    <x v="3"/>
    <x v="0"/>
    <x v="192"/>
    <x v="10"/>
    <x v="72"/>
  </r>
  <r>
    <s v="SUPER"/>
    <s v="HO"/>
    <s v="04/09/2025"/>
    <s v="01/08/2025-31/08/2025"/>
    <x v="59"/>
    <x v="59"/>
    <x v="16"/>
    <x v="0"/>
    <x v="1"/>
    <x v="213"/>
    <x v="213"/>
    <x v="49"/>
    <x v="49"/>
    <x v="23"/>
    <x v="12"/>
    <x v="0"/>
    <x v="193"/>
    <x v="16"/>
    <x v="58"/>
  </r>
  <r>
    <s v="SUPER"/>
    <s v="HO"/>
    <s v="04/09/2025"/>
    <s v="01/08/2025-31/08/2025"/>
    <x v="18"/>
    <x v="18"/>
    <x v="12"/>
    <x v="0"/>
    <x v="3"/>
    <x v="6"/>
    <x v="6"/>
    <x v="16"/>
    <x v="16"/>
    <x v="11"/>
    <x v="5"/>
    <x v="0"/>
    <x v="194"/>
    <x v="3"/>
    <x v="17"/>
  </r>
  <r>
    <s v="SUPER"/>
    <s v="HO"/>
    <s v="04/09/2025"/>
    <s v="01/08/2025-31/08/2025"/>
    <x v="80"/>
    <x v="80"/>
    <x v="10"/>
    <x v="0"/>
    <x v="0"/>
    <x v="214"/>
    <x v="214"/>
    <x v="43"/>
    <x v="43"/>
    <x v="12"/>
    <x v="17"/>
    <x v="0"/>
    <x v="194"/>
    <x v="20"/>
    <x v="79"/>
  </r>
  <r>
    <s v="SUPER"/>
    <s v="HO"/>
    <s v="04/09/2025"/>
    <s v="01/08/2025-31/08/2025"/>
    <x v="19"/>
    <x v="19"/>
    <x v="6"/>
    <x v="0"/>
    <x v="0"/>
    <x v="122"/>
    <x v="122"/>
    <x v="17"/>
    <x v="17"/>
    <x v="12"/>
    <x v="12"/>
    <x v="0"/>
    <x v="195"/>
    <x v="22"/>
    <x v="18"/>
  </r>
  <r>
    <s v="SUPER"/>
    <s v="HO"/>
    <s v="04/09/2025"/>
    <s v="01/08/2025-31/08/2025"/>
    <x v="19"/>
    <x v="19"/>
    <x v="6"/>
    <x v="0"/>
    <x v="0"/>
    <x v="122"/>
    <x v="122"/>
    <x v="17"/>
    <x v="17"/>
    <x v="12"/>
    <x v="12"/>
    <x v="1"/>
    <x v="195"/>
    <x v="22"/>
    <x v="18"/>
  </r>
  <r>
    <s v="SUPER"/>
    <s v="HO"/>
    <s v="04/09/2025"/>
    <s v="01/08/2025-31/08/2025"/>
    <x v="76"/>
    <x v="76"/>
    <x v="14"/>
    <x v="0"/>
    <x v="3"/>
    <x v="215"/>
    <x v="215"/>
    <x v="1"/>
    <x v="1"/>
    <x v="5"/>
    <x v="2"/>
    <x v="0"/>
    <x v="196"/>
    <x v="11"/>
    <x v="75"/>
  </r>
  <r>
    <s v="SUPER"/>
    <s v="HO"/>
    <s v="04/09/2025"/>
    <s v="01/08/2025-31/08/2025"/>
    <x v="96"/>
    <x v="96"/>
    <x v="14"/>
    <x v="0"/>
    <x v="3"/>
    <x v="161"/>
    <x v="161"/>
    <x v="1"/>
    <x v="1"/>
    <x v="5"/>
    <x v="2"/>
    <x v="0"/>
    <x v="197"/>
    <x v="1"/>
    <x v="95"/>
  </r>
  <r>
    <s v="SUPER"/>
    <s v="HO"/>
    <s v="04/09/2025"/>
    <s v="01/08/2025-31/08/2025"/>
    <x v="97"/>
    <x v="97"/>
    <x v="14"/>
    <x v="0"/>
    <x v="3"/>
    <x v="2"/>
    <x v="2"/>
    <x v="1"/>
    <x v="1"/>
    <x v="11"/>
    <x v="28"/>
    <x v="0"/>
    <x v="198"/>
    <x v="1"/>
    <x v="96"/>
  </r>
  <r>
    <s v="SUPER"/>
    <s v="HO"/>
    <s v="04/09/2025"/>
    <s v="01/08/2025-31/08/2025"/>
    <x v="31"/>
    <x v="31"/>
    <x v="17"/>
    <x v="0"/>
    <x v="3"/>
    <x v="30"/>
    <x v="30"/>
    <x v="1"/>
    <x v="1"/>
    <x v="4"/>
    <x v="1"/>
    <x v="0"/>
    <x v="199"/>
    <x v="10"/>
    <x v="30"/>
  </r>
  <r>
    <s v="SUPER"/>
    <s v="HO"/>
    <s v="04/09/2025"/>
    <s v="01/08/2025-31/08/2025"/>
    <x v="18"/>
    <x v="18"/>
    <x v="12"/>
    <x v="0"/>
    <x v="3"/>
    <x v="2"/>
    <x v="2"/>
    <x v="16"/>
    <x v="16"/>
    <x v="11"/>
    <x v="21"/>
    <x v="0"/>
    <x v="199"/>
    <x v="1"/>
    <x v="17"/>
  </r>
  <r>
    <s v="SUPER"/>
    <s v="HO"/>
    <s v="04/09/2025"/>
    <s v="01/08/2025-31/08/2025"/>
    <x v="39"/>
    <x v="39"/>
    <x v="18"/>
    <x v="0"/>
    <x v="3"/>
    <x v="30"/>
    <x v="30"/>
    <x v="1"/>
    <x v="1"/>
    <x v="11"/>
    <x v="0"/>
    <x v="0"/>
    <x v="200"/>
    <x v="10"/>
    <x v="38"/>
  </r>
  <r>
    <s v="SUPER"/>
    <s v="HO"/>
    <s v="04/09/2025"/>
    <s v="01/08/2025-31/08/2025"/>
    <x v="39"/>
    <x v="39"/>
    <x v="18"/>
    <x v="0"/>
    <x v="3"/>
    <x v="102"/>
    <x v="102"/>
    <x v="1"/>
    <x v="1"/>
    <x v="11"/>
    <x v="0"/>
    <x v="0"/>
    <x v="201"/>
    <x v="3"/>
    <x v="38"/>
  </r>
  <r>
    <s v="SUPER"/>
    <s v="HO"/>
    <s v="04/09/2025"/>
    <s v="01/08/2025-31/08/2025"/>
    <x v="65"/>
    <x v="65"/>
    <x v="22"/>
    <x v="0"/>
    <x v="2"/>
    <x v="174"/>
    <x v="174"/>
    <x v="1"/>
    <x v="1"/>
    <x v="11"/>
    <x v="0"/>
    <x v="0"/>
    <x v="202"/>
    <x v="3"/>
    <x v="64"/>
  </r>
  <r>
    <s v="SUPER"/>
    <s v="HO"/>
    <s v="04/09/2025"/>
    <s v="01/08/2025-31/08/2025"/>
    <x v="20"/>
    <x v="20"/>
    <x v="1"/>
    <x v="0"/>
    <x v="0"/>
    <x v="31"/>
    <x v="31"/>
    <x v="25"/>
    <x v="25"/>
    <x v="5"/>
    <x v="2"/>
    <x v="0"/>
    <x v="203"/>
    <x v="10"/>
    <x v="19"/>
  </r>
  <r>
    <s v="SUPER"/>
    <s v="HO"/>
    <s v="04/09/2025"/>
    <s v="01/08/2025-31/08/2025"/>
    <x v="30"/>
    <x v="30"/>
    <x v="1"/>
    <x v="0"/>
    <x v="0"/>
    <x v="216"/>
    <x v="216"/>
    <x v="26"/>
    <x v="26"/>
    <x v="23"/>
    <x v="16"/>
    <x v="0"/>
    <x v="204"/>
    <x v="26"/>
    <x v="29"/>
  </r>
  <r>
    <s v="SUPER"/>
    <s v="HO"/>
    <s v="04/09/2025"/>
    <s v="01/08/2025-31/08/2025"/>
    <x v="64"/>
    <x v="64"/>
    <x v="15"/>
    <x v="0"/>
    <x v="0"/>
    <x v="217"/>
    <x v="217"/>
    <x v="74"/>
    <x v="74"/>
    <x v="12"/>
    <x v="17"/>
    <x v="0"/>
    <x v="205"/>
    <x v="4"/>
    <x v="63"/>
  </r>
  <r>
    <s v="SUPER"/>
    <s v="HO"/>
    <s v="04/09/2025"/>
    <s v="01/08/2025-31/08/2025"/>
    <x v="64"/>
    <x v="64"/>
    <x v="15"/>
    <x v="0"/>
    <x v="0"/>
    <x v="218"/>
    <x v="218"/>
    <x v="74"/>
    <x v="74"/>
    <x v="12"/>
    <x v="17"/>
    <x v="1"/>
    <x v="205"/>
    <x v="4"/>
    <x v="63"/>
  </r>
  <r>
    <s v="SUPER"/>
    <s v="HO"/>
    <s v="04/09/2025"/>
    <s v="01/08/2025-31/08/2025"/>
    <x v="98"/>
    <x v="98"/>
    <x v="6"/>
    <x v="0"/>
    <x v="0"/>
    <x v="42"/>
    <x v="42"/>
    <x v="1"/>
    <x v="1"/>
    <x v="11"/>
    <x v="21"/>
    <x v="0"/>
    <x v="206"/>
    <x v="27"/>
    <x v="97"/>
  </r>
  <r>
    <s v="SUPER"/>
    <s v="HO"/>
    <s v="04/09/2025"/>
    <s v="01/08/2025-31/08/2025"/>
    <x v="99"/>
    <x v="99"/>
    <x v="8"/>
    <x v="0"/>
    <x v="3"/>
    <x v="219"/>
    <x v="219"/>
    <x v="1"/>
    <x v="1"/>
    <x v="23"/>
    <x v="26"/>
    <x v="0"/>
    <x v="207"/>
    <x v="13"/>
    <x v="98"/>
  </r>
  <r>
    <s v="SUPER"/>
    <s v="HO"/>
    <s v="04/09/2025"/>
    <s v="01/08/2025-31/08/2025"/>
    <x v="45"/>
    <x v="45"/>
    <x v="14"/>
    <x v="0"/>
    <x v="3"/>
    <x v="220"/>
    <x v="220"/>
    <x v="1"/>
    <x v="1"/>
    <x v="11"/>
    <x v="21"/>
    <x v="0"/>
    <x v="208"/>
    <x v="10"/>
    <x v="44"/>
  </r>
  <r>
    <s v="SUPER"/>
    <s v="HO"/>
    <s v="04/09/2025"/>
    <s v="01/08/2025-31/08/2025"/>
    <x v="26"/>
    <x v="26"/>
    <x v="15"/>
    <x v="0"/>
    <x v="0"/>
    <x v="221"/>
    <x v="221"/>
    <x v="51"/>
    <x v="51"/>
    <x v="21"/>
    <x v="11"/>
    <x v="0"/>
    <x v="209"/>
    <x v="18"/>
    <x v="25"/>
  </r>
  <r>
    <s v="SUPER"/>
    <s v="HO"/>
    <s v="04/09/2025"/>
    <s v="01/08/2025-31/08/2025"/>
    <x v="74"/>
    <x v="74"/>
    <x v="2"/>
    <x v="0"/>
    <x v="0"/>
    <x v="70"/>
    <x v="70"/>
    <x v="65"/>
    <x v="65"/>
    <x v="11"/>
    <x v="21"/>
    <x v="0"/>
    <x v="210"/>
    <x v="10"/>
    <x v="73"/>
  </r>
  <r>
    <s v="SUPER"/>
    <s v="HO"/>
    <s v="04/09/2025"/>
    <s v="01/08/2025-31/08/2025"/>
    <x v="94"/>
    <x v="94"/>
    <x v="6"/>
    <x v="0"/>
    <x v="0"/>
    <x v="222"/>
    <x v="222"/>
    <x v="1"/>
    <x v="1"/>
    <x v="21"/>
    <x v="13"/>
    <x v="0"/>
    <x v="211"/>
    <x v="5"/>
    <x v="93"/>
  </r>
  <r>
    <s v="SUPER"/>
    <s v="HO"/>
    <s v="04/09/2025"/>
    <s v="01/08/2025-31/08/2025"/>
    <x v="94"/>
    <x v="94"/>
    <x v="6"/>
    <x v="0"/>
    <x v="0"/>
    <x v="223"/>
    <x v="223"/>
    <x v="1"/>
    <x v="1"/>
    <x v="21"/>
    <x v="13"/>
    <x v="1"/>
    <x v="211"/>
    <x v="5"/>
    <x v="93"/>
  </r>
  <r>
    <s v="SUPER"/>
    <s v="HO"/>
    <s v="04/09/2025"/>
    <s v="01/08/2025-31/08/2025"/>
    <x v="47"/>
    <x v="47"/>
    <x v="14"/>
    <x v="0"/>
    <x v="3"/>
    <x v="122"/>
    <x v="122"/>
    <x v="38"/>
    <x v="38"/>
    <x v="21"/>
    <x v="13"/>
    <x v="0"/>
    <x v="212"/>
    <x v="16"/>
    <x v="46"/>
  </r>
  <r>
    <s v="SUPER"/>
    <s v="HO"/>
    <s v="04/09/2025"/>
    <s v="01/08/2025-31/08/2025"/>
    <x v="47"/>
    <x v="47"/>
    <x v="14"/>
    <x v="0"/>
    <x v="3"/>
    <x v="224"/>
    <x v="224"/>
    <x v="38"/>
    <x v="38"/>
    <x v="21"/>
    <x v="13"/>
    <x v="1"/>
    <x v="212"/>
    <x v="16"/>
    <x v="46"/>
  </r>
  <r>
    <s v="SUPER"/>
    <s v="HO"/>
    <s v="04/09/2025"/>
    <s v="01/08/2025-31/08/2025"/>
    <x v="66"/>
    <x v="66"/>
    <x v="14"/>
    <x v="0"/>
    <x v="3"/>
    <x v="215"/>
    <x v="215"/>
    <x v="91"/>
    <x v="91"/>
    <x v="4"/>
    <x v="1"/>
    <x v="0"/>
    <x v="213"/>
    <x v="4"/>
    <x v="65"/>
  </r>
  <r>
    <s v="SUPER"/>
    <s v="HO"/>
    <s v="04/09/2025"/>
    <s v="01/08/2025-31/08/2025"/>
    <x v="66"/>
    <x v="66"/>
    <x v="14"/>
    <x v="0"/>
    <x v="3"/>
    <x v="121"/>
    <x v="121"/>
    <x v="91"/>
    <x v="91"/>
    <x v="4"/>
    <x v="1"/>
    <x v="1"/>
    <x v="213"/>
    <x v="4"/>
    <x v="65"/>
  </r>
  <r>
    <s v="SUPER"/>
    <s v="HO"/>
    <s v="04/09/2025"/>
    <s v="01/08/2025-31/08/2025"/>
    <x v="100"/>
    <x v="100"/>
    <x v="16"/>
    <x v="0"/>
    <x v="1"/>
    <x v="57"/>
    <x v="57"/>
    <x v="16"/>
    <x v="16"/>
    <x v="24"/>
    <x v="11"/>
    <x v="0"/>
    <x v="214"/>
    <x v="29"/>
    <x v="99"/>
  </r>
  <r>
    <s v="SUPER"/>
    <s v="HO"/>
    <s v="04/09/2025"/>
    <s v="01/08/2025-31/08/2025"/>
    <x v="100"/>
    <x v="100"/>
    <x v="16"/>
    <x v="0"/>
    <x v="1"/>
    <x v="12"/>
    <x v="12"/>
    <x v="16"/>
    <x v="16"/>
    <x v="24"/>
    <x v="11"/>
    <x v="1"/>
    <x v="214"/>
    <x v="29"/>
    <x v="99"/>
  </r>
  <r>
    <s v="SUPER"/>
    <s v="HO"/>
    <s v="04/09/2025"/>
    <s v="01/08/2025-31/08/2025"/>
    <x v="100"/>
    <x v="100"/>
    <x v="16"/>
    <x v="0"/>
    <x v="1"/>
    <x v="33"/>
    <x v="33"/>
    <x v="16"/>
    <x v="16"/>
    <x v="24"/>
    <x v="11"/>
    <x v="2"/>
    <x v="214"/>
    <x v="4"/>
    <x v="99"/>
  </r>
  <r>
    <s v="SUPER"/>
    <s v="HO"/>
    <s v="04/09/2025"/>
    <s v="01/08/2025-31/08/2025"/>
    <x v="100"/>
    <x v="100"/>
    <x v="16"/>
    <x v="0"/>
    <x v="1"/>
    <x v="225"/>
    <x v="225"/>
    <x v="1"/>
    <x v="1"/>
    <x v="24"/>
    <x v="11"/>
    <x v="0"/>
    <x v="215"/>
    <x v="29"/>
    <x v="99"/>
  </r>
  <r>
    <s v="SUPER"/>
    <s v="HO"/>
    <s v="04/09/2025"/>
    <s v="01/08/2025-31/08/2025"/>
    <x v="100"/>
    <x v="100"/>
    <x v="16"/>
    <x v="0"/>
    <x v="1"/>
    <x v="29"/>
    <x v="29"/>
    <x v="1"/>
    <x v="1"/>
    <x v="24"/>
    <x v="11"/>
    <x v="1"/>
    <x v="215"/>
    <x v="29"/>
    <x v="99"/>
  </r>
  <r>
    <s v="SUPER"/>
    <s v="HO"/>
    <s v="04/09/2025"/>
    <s v="01/08/2025-31/08/2025"/>
    <x v="100"/>
    <x v="100"/>
    <x v="16"/>
    <x v="0"/>
    <x v="1"/>
    <x v="29"/>
    <x v="29"/>
    <x v="1"/>
    <x v="1"/>
    <x v="24"/>
    <x v="11"/>
    <x v="2"/>
    <x v="215"/>
    <x v="29"/>
    <x v="99"/>
  </r>
  <r>
    <s v="SUPER"/>
    <s v="HO"/>
    <s v="04/09/2025"/>
    <s v="01/08/2025-31/08/2025"/>
    <x v="100"/>
    <x v="100"/>
    <x v="16"/>
    <x v="0"/>
    <x v="1"/>
    <x v="29"/>
    <x v="29"/>
    <x v="1"/>
    <x v="1"/>
    <x v="24"/>
    <x v="11"/>
    <x v="3"/>
    <x v="215"/>
    <x v="29"/>
    <x v="99"/>
  </r>
  <r>
    <s v="SUPER"/>
    <s v="HO"/>
    <s v="04/09/2025"/>
    <s v="01/08/2025-31/08/2025"/>
    <x v="100"/>
    <x v="100"/>
    <x v="16"/>
    <x v="0"/>
    <x v="1"/>
    <x v="67"/>
    <x v="67"/>
    <x v="1"/>
    <x v="1"/>
    <x v="24"/>
    <x v="11"/>
    <x v="4"/>
    <x v="215"/>
    <x v="29"/>
    <x v="99"/>
  </r>
  <r>
    <s v="SUPER"/>
    <s v="HO"/>
    <s v="04/09/2025"/>
    <s v="01/08/2025-31/08/2025"/>
    <x v="100"/>
    <x v="100"/>
    <x v="16"/>
    <x v="0"/>
    <x v="1"/>
    <x v="67"/>
    <x v="67"/>
    <x v="1"/>
    <x v="1"/>
    <x v="24"/>
    <x v="11"/>
    <x v="5"/>
    <x v="215"/>
    <x v="29"/>
    <x v="99"/>
  </r>
  <r>
    <s v="SUPER"/>
    <s v="HO"/>
    <s v="04/09/2025"/>
    <s v="01/08/2025-31/08/2025"/>
    <x v="100"/>
    <x v="100"/>
    <x v="16"/>
    <x v="0"/>
    <x v="1"/>
    <x v="67"/>
    <x v="67"/>
    <x v="1"/>
    <x v="1"/>
    <x v="24"/>
    <x v="11"/>
    <x v="6"/>
    <x v="215"/>
    <x v="29"/>
    <x v="99"/>
  </r>
  <r>
    <s v="SUPER"/>
    <s v="HO"/>
    <s v="04/09/2025"/>
    <s v="01/08/2025-31/08/2025"/>
    <x v="100"/>
    <x v="100"/>
    <x v="16"/>
    <x v="0"/>
    <x v="1"/>
    <x v="29"/>
    <x v="29"/>
    <x v="1"/>
    <x v="1"/>
    <x v="24"/>
    <x v="11"/>
    <x v="7"/>
    <x v="215"/>
    <x v="29"/>
    <x v="99"/>
  </r>
  <r>
    <s v="SUPER"/>
    <s v="HO"/>
    <s v="04/09/2025"/>
    <s v="01/08/2025-31/08/2025"/>
    <x v="20"/>
    <x v="20"/>
    <x v="1"/>
    <x v="0"/>
    <x v="0"/>
    <x v="226"/>
    <x v="226"/>
    <x v="25"/>
    <x v="25"/>
    <x v="18"/>
    <x v="26"/>
    <x v="0"/>
    <x v="216"/>
    <x v="12"/>
    <x v="19"/>
  </r>
  <r>
    <s v="SUPER"/>
    <s v="HO"/>
    <s v="04/09/2025"/>
    <s v="01/08/2025-31/08/2025"/>
    <x v="20"/>
    <x v="20"/>
    <x v="1"/>
    <x v="0"/>
    <x v="0"/>
    <x v="227"/>
    <x v="227"/>
    <x v="25"/>
    <x v="25"/>
    <x v="18"/>
    <x v="26"/>
    <x v="1"/>
    <x v="216"/>
    <x v="12"/>
    <x v="19"/>
  </r>
  <r>
    <s v="SUPER"/>
    <s v="HO"/>
    <s v="04/09/2025"/>
    <s v="01/08/2025-31/08/2025"/>
    <x v="11"/>
    <x v="11"/>
    <x v="1"/>
    <x v="0"/>
    <x v="0"/>
    <x v="228"/>
    <x v="228"/>
    <x v="9"/>
    <x v="9"/>
    <x v="7"/>
    <x v="2"/>
    <x v="0"/>
    <x v="217"/>
    <x v="11"/>
    <x v="10"/>
  </r>
  <r>
    <s v="SUPER"/>
    <s v="HO"/>
    <s v="04/09/2025"/>
    <s v="01/08/2025-31/08/2025"/>
    <x v="21"/>
    <x v="21"/>
    <x v="13"/>
    <x v="0"/>
    <x v="4"/>
    <x v="229"/>
    <x v="229"/>
    <x v="18"/>
    <x v="18"/>
    <x v="6"/>
    <x v="15"/>
    <x v="0"/>
    <x v="218"/>
    <x v="20"/>
    <x v="20"/>
  </r>
  <r>
    <s v="SUPER"/>
    <s v="HO"/>
    <s v="04/09/2025"/>
    <s v="01/08/2025-31/08/2025"/>
    <x v="21"/>
    <x v="21"/>
    <x v="13"/>
    <x v="0"/>
    <x v="4"/>
    <x v="230"/>
    <x v="230"/>
    <x v="18"/>
    <x v="18"/>
    <x v="6"/>
    <x v="15"/>
    <x v="1"/>
    <x v="218"/>
    <x v="20"/>
    <x v="20"/>
  </r>
  <r>
    <s v="SUPER"/>
    <s v="HO"/>
    <s v="04/09/2025"/>
    <s v="01/08/2025-31/08/2025"/>
    <x v="87"/>
    <x v="87"/>
    <x v="15"/>
    <x v="0"/>
    <x v="0"/>
    <x v="231"/>
    <x v="231"/>
    <x v="92"/>
    <x v="92"/>
    <x v="5"/>
    <x v="3"/>
    <x v="0"/>
    <x v="219"/>
    <x v="11"/>
    <x v="86"/>
  </r>
  <r>
    <s v="SUPER"/>
    <s v="HO"/>
    <s v="04/09/2025"/>
    <s v="01/08/2025-31/08/2025"/>
    <x v="87"/>
    <x v="87"/>
    <x v="15"/>
    <x v="0"/>
    <x v="0"/>
    <x v="212"/>
    <x v="212"/>
    <x v="92"/>
    <x v="92"/>
    <x v="5"/>
    <x v="3"/>
    <x v="1"/>
    <x v="219"/>
    <x v="11"/>
    <x v="86"/>
  </r>
  <r>
    <s v="SUPER"/>
    <s v="HO"/>
    <s v="04/09/2025"/>
    <s v="01/08/2025-31/08/2025"/>
    <x v="87"/>
    <x v="87"/>
    <x v="15"/>
    <x v="0"/>
    <x v="0"/>
    <x v="232"/>
    <x v="232"/>
    <x v="92"/>
    <x v="92"/>
    <x v="5"/>
    <x v="3"/>
    <x v="2"/>
    <x v="219"/>
    <x v="11"/>
    <x v="86"/>
  </r>
  <r>
    <s v="SUPER"/>
    <s v="HO"/>
    <s v="04/09/2025"/>
    <s v="01/08/2025-31/08/2025"/>
    <x v="87"/>
    <x v="87"/>
    <x v="15"/>
    <x v="0"/>
    <x v="0"/>
    <x v="233"/>
    <x v="233"/>
    <x v="92"/>
    <x v="92"/>
    <x v="5"/>
    <x v="3"/>
    <x v="3"/>
    <x v="219"/>
    <x v="11"/>
    <x v="86"/>
  </r>
  <r>
    <s v="SUPER"/>
    <s v="HO"/>
    <s v="04/09/2025"/>
    <s v="01/08/2025-31/08/2025"/>
    <x v="87"/>
    <x v="87"/>
    <x v="15"/>
    <x v="0"/>
    <x v="0"/>
    <x v="59"/>
    <x v="59"/>
    <x v="92"/>
    <x v="92"/>
    <x v="5"/>
    <x v="3"/>
    <x v="4"/>
    <x v="219"/>
    <x v="11"/>
    <x v="86"/>
  </r>
  <r>
    <s v="SUPER"/>
    <s v="HO"/>
    <s v="04/09/2025"/>
    <s v="01/08/2025-31/08/2025"/>
    <x v="87"/>
    <x v="87"/>
    <x v="15"/>
    <x v="0"/>
    <x v="0"/>
    <x v="62"/>
    <x v="62"/>
    <x v="92"/>
    <x v="92"/>
    <x v="5"/>
    <x v="3"/>
    <x v="5"/>
    <x v="219"/>
    <x v="11"/>
    <x v="86"/>
  </r>
  <r>
    <s v="SUPER"/>
    <s v="HO"/>
    <s v="04/09/2025"/>
    <s v="01/08/2025-31/08/2025"/>
    <x v="87"/>
    <x v="87"/>
    <x v="15"/>
    <x v="0"/>
    <x v="0"/>
    <x v="234"/>
    <x v="234"/>
    <x v="92"/>
    <x v="92"/>
    <x v="5"/>
    <x v="3"/>
    <x v="6"/>
    <x v="219"/>
    <x v="11"/>
    <x v="86"/>
  </r>
  <r>
    <s v="SUPER"/>
    <s v="HO"/>
    <s v="04/09/2025"/>
    <s v="01/08/2025-31/08/2025"/>
    <x v="101"/>
    <x v="101"/>
    <x v="17"/>
    <x v="0"/>
    <x v="3"/>
    <x v="235"/>
    <x v="235"/>
    <x v="93"/>
    <x v="93"/>
    <x v="3"/>
    <x v="9"/>
    <x v="0"/>
    <x v="220"/>
    <x v="21"/>
    <x v="100"/>
  </r>
  <r>
    <s v="SUPER"/>
    <s v="HO"/>
    <s v="04/09/2025"/>
    <s v="01/08/2025-31/08/2025"/>
    <x v="101"/>
    <x v="101"/>
    <x v="17"/>
    <x v="0"/>
    <x v="3"/>
    <x v="236"/>
    <x v="236"/>
    <x v="93"/>
    <x v="93"/>
    <x v="3"/>
    <x v="9"/>
    <x v="1"/>
    <x v="220"/>
    <x v="21"/>
    <x v="100"/>
  </r>
  <r>
    <s v="SUPER"/>
    <s v="HO"/>
    <s v="04/09/2025"/>
    <s v="01/08/2025-31/08/2025"/>
    <x v="35"/>
    <x v="35"/>
    <x v="6"/>
    <x v="0"/>
    <x v="0"/>
    <x v="2"/>
    <x v="2"/>
    <x v="29"/>
    <x v="29"/>
    <x v="8"/>
    <x v="21"/>
    <x v="0"/>
    <x v="221"/>
    <x v="1"/>
    <x v="34"/>
  </r>
  <r>
    <s v="SUPER"/>
    <s v="HO"/>
    <s v="04/09/2025"/>
    <s v="01/08/2025-31/08/2025"/>
    <x v="66"/>
    <x v="66"/>
    <x v="14"/>
    <x v="0"/>
    <x v="3"/>
    <x v="165"/>
    <x v="165"/>
    <x v="71"/>
    <x v="71"/>
    <x v="7"/>
    <x v="2"/>
    <x v="0"/>
    <x v="222"/>
    <x v="25"/>
    <x v="65"/>
  </r>
  <r>
    <s v="SUPER"/>
    <s v="HO"/>
    <s v="04/09/2025"/>
    <s v="01/08/2025-31/08/2025"/>
    <x v="66"/>
    <x v="66"/>
    <x v="14"/>
    <x v="0"/>
    <x v="3"/>
    <x v="237"/>
    <x v="237"/>
    <x v="71"/>
    <x v="71"/>
    <x v="7"/>
    <x v="2"/>
    <x v="1"/>
    <x v="222"/>
    <x v="10"/>
    <x v="65"/>
  </r>
  <r>
    <s v="SUPER"/>
    <s v="HO"/>
    <s v="04/09/2025"/>
    <s v="01/08/2025-31/08/2025"/>
    <x v="102"/>
    <x v="102"/>
    <x v="9"/>
    <x v="0"/>
    <x v="3"/>
    <x v="238"/>
    <x v="238"/>
    <x v="52"/>
    <x v="52"/>
    <x v="14"/>
    <x v="17"/>
    <x v="0"/>
    <x v="223"/>
    <x v="20"/>
    <x v="101"/>
  </r>
  <r>
    <s v="SUPER"/>
    <s v="HO"/>
    <s v="04/09/2025"/>
    <s v="01/08/2025-31/08/2025"/>
    <x v="53"/>
    <x v="53"/>
    <x v="11"/>
    <x v="0"/>
    <x v="3"/>
    <x v="239"/>
    <x v="239"/>
    <x v="57"/>
    <x v="57"/>
    <x v="7"/>
    <x v="2"/>
    <x v="0"/>
    <x v="224"/>
    <x v="1"/>
    <x v="52"/>
  </r>
  <r>
    <s v="SUPER"/>
    <s v="HO"/>
    <s v="04/09/2025"/>
    <s v="01/08/2025-31/08/2025"/>
    <x v="66"/>
    <x v="66"/>
    <x v="14"/>
    <x v="0"/>
    <x v="3"/>
    <x v="161"/>
    <x v="161"/>
    <x v="94"/>
    <x v="94"/>
    <x v="8"/>
    <x v="21"/>
    <x v="0"/>
    <x v="225"/>
    <x v="1"/>
    <x v="65"/>
  </r>
  <r>
    <s v="SUPER"/>
    <s v="HO"/>
    <s v="04/09/2025"/>
    <s v="01/08/2025-31/08/2025"/>
    <x v="66"/>
    <x v="66"/>
    <x v="14"/>
    <x v="0"/>
    <x v="3"/>
    <x v="0"/>
    <x v="0"/>
    <x v="94"/>
    <x v="94"/>
    <x v="8"/>
    <x v="21"/>
    <x v="1"/>
    <x v="225"/>
    <x v="10"/>
    <x v="65"/>
  </r>
  <r>
    <s v="SUPER"/>
    <s v="HO"/>
    <s v="04/09/2025"/>
    <s v="01/08/2025-31/08/2025"/>
    <x v="103"/>
    <x v="103"/>
    <x v="9"/>
    <x v="0"/>
    <x v="3"/>
    <x v="29"/>
    <x v="29"/>
    <x v="1"/>
    <x v="1"/>
    <x v="11"/>
    <x v="0"/>
    <x v="0"/>
    <x v="226"/>
    <x v="3"/>
    <x v="102"/>
  </r>
  <r>
    <s v="SUPER"/>
    <s v="HO"/>
    <s v="04/09/2025"/>
    <s v="01/08/2025-31/08/2025"/>
    <x v="60"/>
    <x v="60"/>
    <x v="21"/>
    <x v="0"/>
    <x v="2"/>
    <x v="240"/>
    <x v="240"/>
    <x v="1"/>
    <x v="1"/>
    <x v="8"/>
    <x v="5"/>
    <x v="0"/>
    <x v="227"/>
    <x v="3"/>
    <x v="59"/>
  </r>
  <r>
    <s v="SUPER"/>
    <s v="HO"/>
    <s v="04/09/2025"/>
    <s v="01/08/2025-31/08/2025"/>
    <x v="59"/>
    <x v="59"/>
    <x v="16"/>
    <x v="0"/>
    <x v="1"/>
    <x v="181"/>
    <x v="181"/>
    <x v="49"/>
    <x v="49"/>
    <x v="14"/>
    <x v="12"/>
    <x v="0"/>
    <x v="227"/>
    <x v="16"/>
    <x v="58"/>
  </r>
  <r>
    <s v="SUPER"/>
    <s v="HO"/>
    <s v="04/09/2025"/>
    <s v="01/08/2025-31/08/2025"/>
    <x v="59"/>
    <x v="59"/>
    <x v="16"/>
    <x v="0"/>
    <x v="1"/>
    <x v="181"/>
    <x v="181"/>
    <x v="49"/>
    <x v="49"/>
    <x v="14"/>
    <x v="12"/>
    <x v="1"/>
    <x v="227"/>
    <x v="16"/>
    <x v="58"/>
  </r>
  <r>
    <s v="SUPER"/>
    <s v="HO"/>
    <s v="04/09/2025"/>
    <s v="01/08/2025-31/08/2025"/>
    <x v="59"/>
    <x v="59"/>
    <x v="16"/>
    <x v="0"/>
    <x v="1"/>
    <x v="181"/>
    <x v="181"/>
    <x v="49"/>
    <x v="49"/>
    <x v="14"/>
    <x v="12"/>
    <x v="2"/>
    <x v="227"/>
    <x v="16"/>
    <x v="58"/>
  </r>
  <r>
    <s v="SUPER"/>
    <s v="HO"/>
    <s v="04/09/2025"/>
    <s v="01/08/2025-31/08/2025"/>
    <x v="59"/>
    <x v="59"/>
    <x v="16"/>
    <x v="0"/>
    <x v="1"/>
    <x v="181"/>
    <x v="181"/>
    <x v="49"/>
    <x v="49"/>
    <x v="14"/>
    <x v="12"/>
    <x v="3"/>
    <x v="227"/>
    <x v="4"/>
    <x v="58"/>
  </r>
  <r>
    <s v="SUPER"/>
    <s v="HO"/>
    <s v="04/09/2025"/>
    <s v="01/08/2025-31/08/2025"/>
    <x v="28"/>
    <x v="28"/>
    <x v="11"/>
    <x v="0"/>
    <x v="3"/>
    <x v="33"/>
    <x v="33"/>
    <x v="44"/>
    <x v="44"/>
    <x v="25"/>
    <x v="11"/>
    <x v="0"/>
    <x v="228"/>
    <x v="29"/>
    <x v="27"/>
  </r>
  <r>
    <s v="SUPER"/>
    <s v="HO"/>
    <s v="04/09/2025"/>
    <s v="01/08/2025-31/08/2025"/>
    <x v="28"/>
    <x v="28"/>
    <x v="11"/>
    <x v="0"/>
    <x v="3"/>
    <x v="29"/>
    <x v="29"/>
    <x v="44"/>
    <x v="44"/>
    <x v="25"/>
    <x v="11"/>
    <x v="1"/>
    <x v="228"/>
    <x v="29"/>
    <x v="27"/>
  </r>
  <r>
    <s v="SUPER"/>
    <s v="HO"/>
    <s v="04/09/2025"/>
    <s v="01/08/2025-31/08/2025"/>
    <x v="31"/>
    <x v="31"/>
    <x v="17"/>
    <x v="0"/>
    <x v="3"/>
    <x v="241"/>
    <x v="241"/>
    <x v="42"/>
    <x v="42"/>
    <x v="3"/>
    <x v="29"/>
    <x v="0"/>
    <x v="229"/>
    <x v="23"/>
    <x v="30"/>
  </r>
  <r>
    <s v="SUPER"/>
    <s v="HO"/>
    <s v="04/09/2025"/>
    <s v="01/08/2025-31/08/2025"/>
    <x v="39"/>
    <x v="39"/>
    <x v="18"/>
    <x v="0"/>
    <x v="3"/>
    <x v="242"/>
    <x v="242"/>
    <x v="95"/>
    <x v="95"/>
    <x v="7"/>
    <x v="25"/>
    <x v="0"/>
    <x v="230"/>
    <x v="0"/>
    <x v="38"/>
  </r>
  <r>
    <s v="SUPER"/>
    <s v="HO"/>
    <s v="04/09/2025"/>
    <s v="01/08/2025-31/08/2025"/>
    <x v="40"/>
    <x v="40"/>
    <x v="11"/>
    <x v="0"/>
    <x v="3"/>
    <x v="243"/>
    <x v="243"/>
    <x v="96"/>
    <x v="96"/>
    <x v="26"/>
    <x v="10"/>
    <x v="0"/>
    <x v="230"/>
    <x v="30"/>
    <x v="39"/>
  </r>
  <r>
    <s v="SUPER"/>
    <s v="HO"/>
    <s v="04/09/2025"/>
    <s v="01/08/2025-31/08/2025"/>
    <x v="40"/>
    <x v="40"/>
    <x v="11"/>
    <x v="0"/>
    <x v="3"/>
    <x v="41"/>
    <x v="41"/>
    <x v="96"/>
    <x v="96"/>
    <x v="26"/>
    <x v="10"/>
    <x v="1"/>
    <x v="230"/>
    <x v="30"/>
    <x v="39"/>
  </r>
  <r>
    <s v="SUPER"/>
    <s v="HO"/>
    <s v="04/09/2025"/>
    <s v="01/08/2025-31/08/2025"/>
    <x v="40"/>
    <x v="40"/>
    <x v="11"/>
    <x v="0"/>
    <x v="3"/>
    <x v="224"/>
    <x v="224"/>
    <x v="96"/>
    <x v="96"/>
    <x v="26"/>
    <x v="10"/>
    <x v="2"/>
    <x v="230"/>
    <x v="30"/>
    <x v="39"/>
  </r>
  <r>
    <s v="SUPER"/>
    <s v="HO"/>
    <s v="04/09/2025"/>
    <s v="01/08/2025-31/08/2025"/>
    <x v="17"/>
    <x v="17"/>
    <x v="9"/>
    <x v="0"/>
    <x v="3"/>
    <x v="47"/>
    <x v="47"/>
    <x v="97"/>
    <x v="97"/>
    <x v="7"/>
    <x v="2"/>
    <x v="0"/>
    <x v="231"/>
    <x v="11"/>
    <x v="16"/>
  </r>
  <r>
    <s v="SUPER"/>
    <s v="HO"/>
    <s v="04/09/2025"/>
    <s v="01/08/2025-31/08/2025"/>
    <x v="17"/>
    <x v="17"/>
    <x v="9"/>
    <x v="0"/>
    <x v="3"/>
    <x v="197"/>
    <x v="197"/>
    <x v="97"/>
    <x v="97"/>
    <x v="7"/>
    <x v="2"/>
    <x v="1"/>
    <x v="231"/>
    <x v="11"/>
    <x v="16"/>
  </r>
  <r>
    <s v="SUPER"/>
    <s v="HO"/>
    <s v="04/09/2025"/>
    <s v="01/08/2025-31/08/2025"/>
    <x v="17"/>
    <x v="17"/>
    <x v="9"/>
    <x v="0"/>
    <x v="3"/>
    <x v="51"/>
    <x v="51"/>
    <x v="97"/>
    <x v="97"/>
    <x v="7"/>
    <x v="2"/>
    <x v="2"/>
    <x v="231"/>
    <x v="11"/>
    <x v="16"/>
  </r>
  <r>
    <s v="SUPER"/>
    <s v="HO"/>
    <s v="04/09/2025"/>
    <s v="01/08/2025-31/08/2025"/>
    <x v="17"/>
    <x v="17"/>
    <x v="9"/>
    <x v="0"/>
    <x v="3"/>
    <x v="228"/>
    <x v="228"/>
    <x v="97"/>
    <x v="97"/>
    <x v="7"/>
    <x v="2"/>
    <x v="3"/>
    <x v="231"/>
    <x v="11"/>
    <x v="16"/>
  </r>
  <r>
    <s v="SUPER"/>
    <s v="HO"/>
    <s v="04/09/2025"/>
    <s v="01/08/2025-31/08/2025"/>
    <x v="86"/>
    <x v="86"/>
    <x v="14"/>
    <x v="0"/>
    <x v="3"/>
    <x v="29"/>
    <x v="29"/>
    <x v="1"/>
    <x v="1"/>
    <x v="25"/>
    <x v="11"/>
    <x v="0"/>
    <x v="232"/>
    <x v="29"/>
    <x v="85"/>
  </r>
  <r>
    <s v="SUPER"/>
    <s v="HO"/>
    <s v="04/09/2025"/>
    <s v="01/08/2025-31/08/2025"/>
    <x v="25"/>
    <x v="25"/>
    <x v="14"/>
    <x v="0"/>
    <x v="3"/>
    <x v="35"/>
    <x v="35"/>
    <x v="1"/>
    <x v="1"/>
    <x v="7"/>
    <x v="3"/>
    <x v="0"/>
    <x v="233"/>
    <x v="11"/>
    <x v="24"/>
  </r>
  <r>
    <s v="SUPER"/>
    <s v="HO"/>
    <s v="04/09/2025"/>
    <s v="01/08/2025-31/08/2025"/>
    <x v="25"/>
    <x v="25"/>
    <x v="14"/>
    <x v="0"/>
    <x v="3"/>
    <x v="244"/>
    <x v="244"/>
    <x v="1"/>
    <x v="1"/>
    <x v="7"/>
    <x v="3"/>
    <x v="1"/>
    <x v="233"/>
    <x v="11"/>
    <x v="24"/>
  </r>
  <r>
    <s v="SUPER"/>
    <s v="HO"/>
    <s v="04/09/2025"/>
    <s v="01/08/2025-31/08/2025"/>
    <x v="25"/>
    <x v="25"/>
    <x v="14"/>
    <x v="0"/>
    <x v="3"/>
    <x v="36"/>
    <x v="36"/>
    <x v="1"/>
    <x v="1"/>
    <x v="7"/>
    <x v="3"/>
    <x v="2"/>
    <x v="233"/>
    <x v="11"/>
    <x v="24"/>
  </r>
  <r>
    <s v="SUPER"/>
    <s v="HO"/>
    <s v="04/09/2025"/>
    <s v="01/08/2025-31/08/2025"/>
    <x v="104"/>
    <x v="104"/>
    <x v="9"/>
    <x v="0"/>
    <x v="3"/>
    <x v="40"/>
    <x v="40"/>
    <x v="98"/>
    <x v="98"/>
    <x v="13"/>
    <x v="22"/>
    <x v="0"/>
    <x v="234"/>
    <x v="3"/>
    <x v="103"/>
  </r>
  <r>
    <s v="SUPER"/>
    <s v="HO"/>
    <s v="04/09/2025"/>
    <s v="01/08/2025-31/08/2025"/>
    <x v="43"/>
    <x v="43"/>
    <x v="16"/>
    <x v="0"/>
    <x v="1"/>
    <x v="67"/>
    <x v="67"/>
    <x v="36"/>
    <x v="36"/>
    <x v="25"/>
    <x v="11"/>
    <x v="0"/>
    <x v="235"/>
    <x v="29"/>
    <x v="42"/>
  </r>
  <r>
    <s v="SUPER"/>
    <s v="HO"/>
    <s v="04/09/2025"/>
    <s v="01/08/2025-31/08/2025"/>
    <x v="43"/>
    <x v="43"/>
    <x v="16"/>
    <x v="0"/>
    <x v="1"/>
    <x v="67"/>
    <x v="67"/>
    <x v="36"/>
    <x v="36"/>
    <x v="25"/>
    <x v="11"/>
    <x v="1"/>
    <x v="235"/>
    <x v="29"/>
    <x v="42"/>
  </r>
  <r>
    <s v="SUPER"/>
    <s v="HO"/>
    <s v="04/09/2025"/>
    <s v="01/08/2025-31/08/2025"/>
    <x v="43"/>
    <x v="43"/>
    <x v="16"/>
    <x v="0"/>
    <x v="1"/>
    <x v="67"/>
    <x v="67"/>
    <x v="36"/>
    <x v="36"/>
    <x v="25"/>
    <x v="11"/>
    <x v="2"/>
    <x v="235"/>
    <x v="29"/>
    <x v="42"/>
  </r>
  <r>
    <s v="SUPER"/>
    <s v="HO"/>
    <s v="04/09/2025"/>
    <s v="01/08/2025-31/08/2025"/>
    <x v="65"/>
    <x v="65"/>
    <x v="22"/>
    <x v="0"/>
    <x v="2"/>
    <x v="245"/>
    <x v="245"/>
    <x v="99"/>
    <x v="99"/>
    <x v="6"/>
    <x v="15"/>
    <x v="0"/>
    <x v="236"/>
    <x v="4"/>
    <x v="64"/>
  </r>
  <r>
    <s v="SUPER"/>
    <s v="HO"/>
    <s v="04/09/2025"/>
    <s v="01/08/2025-31/08/2025"/>
    <x v="65"/>
    <x v="65"/>
    <x v="22"/>
    <x v="0"/>
    <x v="2"/>
    <x v="246"/>
    <x v="246"/>
    <x v="99"/>
    <x v="99"/>
    <x v="6"/>
    <x v="15"/>
    <x v="1"/>
    <x v="236"/>
    <x v="4"/>
    <x v="64"/>
  </r>
  <r>
    <s v="SUPER"/>
    <s v="HO"/>
    <s v="04/09/2025"/>
    <s v="01/08/2025-31/08/2025"/>
    <x v="105"/>
    <x v="105"/>
    <x v="5"/>
    <x v="0"/>
    <x v="2"/>
    <x v="39"/>
    <x v="39"/>
    <x v="1"/>
    <x v="1"/>
    <x v="8"/>
    <x v="0"/>
    <x v="0"/>
    <x v="237"/>
    <x v="3"/>
    <x v="104"/>
  </r>
  <r>
    <s v="SUPER"/>
    <s v="HO"/>
    <s v="04/09/2025"/>
    <s v="01/08/2025-31/08/2025"/>
    <x v="15"/>
    <x v="15"/>
    <x v="11"/>
    <x v="0"/>
    <x v="3"/>
    <x v="34"/>
    <x v="34"/>
    <x v="1"/>
    <x v="1"/>
    <x v="7"/>
    <x v="3"/>
    <x v="0"/>
    <x v="238"/>
    <x v="11"/>
    <x v="14"/>
  </r>
  <r>
    <s v="SUPER"/>
    <s v="HO"/>
    <s v="04/09/2025"/>
    <s v="01/08/2025-31/08/2025"/>
    <x v="15"/>
    <x v="15"/>
    <x v="11"/>
    <x v="0"/>
    <x v="3"/>
    <x v="36"/>
    <x v="36"/>
    <x v="1"/>
    <x v="1"/>
    <x v="7"/>
    <x v="3"/>
    <x v="1"/>
    <x v="238"/>
    <x v="11"/>
    <x v="14"/>
  </r>
  <r>
    <s v="SUPER"/>
    <s v="HO"/>
    <s v="04/09/2025"/>
    <s v="01/08/2025-31/08/2025"/>
    <x v="15"/>
    <x v="15"/>
    <x v="11"/>
    <x v="0"/>
    <x v="3"/>
    <x v="63"/>
    <x v="63"/>
    <x v="1"/>
    <x v="1"/>
    <x v="7"/>
    <x v="3"/>
    <x v="2"/>
    <x v="238"/>
    <x v="11"/>
    <x v="14"/>
  </r>
  <r>
    <s v="SUPER"/>
    <s v="HO"/>
    <s v="04/09/2025"/>
    <s v="01/08/2025-31/08/2025"/>
    <x v="103"/>
    <x v="103"/>
    <x v="9"/>
    <x v="0"/>
    <x v="3"/>
    <x v="35"/>
    <x v="35"/>
    <x v="1"/>
    <x v="1"/>
    <x v="7"/>
    <x v="3"/>
    <x v="0"/>
    <x v="239"/>
    <x v="11"/>
    <x v="102"/>
  </r>
  <r>
    <s v="SUPER"/>
    <s v="HO"/>
    <s v="04/09/2025"/>
    <s v="01/08/2025-31/08/2025"/>
    <x v="103"/>
    <x v="103"/>
    <x v="9"/>
    <x v="0"/>
    <x v="3"/>
    <x v="247"/>
    <x v="247"/>
    <x v="1"/>
    <x v="1"/>
    <x v="7"/>
    <x v="3"/>
    <x v="1"/>
    <x v="239"/>
    <x v="4"/>
    <x v="102"/>
  </r>
  <r>
    <s v="SUPER"/>
    <s v="HO"/>
    <s v="04/09/2025"/>
    <s v="01/08/2025-31/08/2025"/>
    <x v="103"/>
    <x v="103"/>
    <x v="9"/>
    <x v="0"/>
    <x v="3"/>
    <x v="248"/>
    <x v="248"/>
    <x v="1"/>
    <x v="1"/>
    <x v="7"/>
    <x v="3"/>
    <x v="2"/>
    <x v="239"/>
    <x v="11"/>
    <x v="102"/>
  </r>
  <r>
    <s v="SUPER"/>
    <s v="HO"/>
    <s v="04/09/2025"/>
    <s v="01/08/2025-31/08/2025"/>
    <x v="103"/>
    <x v="103"/>
    <x v="9"/>
    <x v="0"/>
    <x v="3"/>
    <x v="116"/>
    <x v="116"/>
    <x v="1"/>
    <x v="1"/>
    <x v="7"/>
    <x v="3"/>
    <x v="3"/>
    <x v="239"/>
    <x v="11"/>
    <x v="102"/>
  </r>
  <r>
    <s v="SUPER"/>
    <s v="HO"/>
    <s v="04/09/2025"/>
    <s v="01/08/2025-31/08/2025"/>
    <x v="103"/>
    <x v="103"/>
    <x v="9"/>
    <x v="0"/>
    <x v="3"/>
    <x v="249"/>
    <x v="249"/>
    <x v="1"/>
    <x v="1"/>
    <x v="7"/>
    <x v="3"/>
    <x v="4"/>
    <x v="239"/>
    <x v="11"/>
    <x v="102"/>
  </r>
  <r>
    <s v="SUPER"/>
    <s v="HO"/>
    <s v="04/09/2025"/>
    <s v="01/08/2025-31/08/2025"/>
    <x v="63"/>
    <x v="63"/>
    <x v="8"/>
    <x v="0"/>
    <x v="3"/>
    <x v="250"/>
    <x v="250"/>
    <x v="54"/>
    <x v="54"/>
    <x v="19"/>
    <x v="26"/>
    <x v="0"/>
    <x v="240"/>
    <x v="4"/>
    <x v="62"/>
  </r>
  <r>
    <s v="SUPER"/>
    <s v="HO"/>
    <s v="04/09/2025"/>
    <s v="01/08/2025-31/08/2025"/>
    <x v="63"/>
    <x v="63"/>
    <x v="8"/>
    <x v="0"/>
    <x v="3"/>
    <x v="13"/>
    <x v="13"/>
    <x v="54"/>
    <x v="54"/>
    <x v="19"/>
    <x v="26"/>
    <x v="1"/>
    <x v="240"/>
    <x v="4"/>
    <x v="62"/>
  </r>
  <r>
    <s v="SUPER"/>
    <s v="HO"/>
    <s v="04/09/2025"/>
    <s v="01/08/2025-31/08/2025"/>
    <x v="87"/>
    <x v="87"/>
    <x v="15"/>
    <x v="0"/>
    <x v="0"/>
    <x v="166"/>
    <x v="166"/>
    <x v="1"/>
    <x v="1"/>
    <x v="23"/>
    <x v="24"/>
    <x v="0"/>
    <x v="241"/>
    <x v="12"/>
    <x v="86"/>
  </r>
  <r>
    <s v="SUPER"/>
    <s v="HO"/>
    <s v="04/09/2025"/>
    <s v="01/08/2025-31/08/2025"/>
    <x v="87"/>
    <x v="87"/>
    <x v="15"/>
    <x v="0"/>
    <x v="0"/>
    <x v="166"/>
    <x v="166"/>
    <x v="1"/>
    <x v="1"/>
    <x v="23"/>
    <x v="24"/>
    <x v="1"/>
    <x v="241"/>
    <x v="12"/>
    <x v="86"/>
  </r>
  <r>
    <s v="SUPER"/>
    <s v="HO"/>
    <s v="04/09/2025"/>
    <s v="01/08/2025-31/08/2025"/>
    <x v="102"/>
    <x v="102"/>
    <x v="9"/>
    <x v="0"/>
    <x v="3"/>
    <x v="251"/>
    <x v="251"/>
    <x v="100"/>
    <x v="100"/>
    <x v="7"/>
    <x v="3"/>
    <x v="0"/>
    <x v="242"/>
    <x v="4"/>
    <x v="101"/>
  </r>
  <r>
    <s v="SUPER"/>
    <s v="HO"/>
    <s v="04/09/2025"/>
    <s v="01/08/2025-31/08/2025"/>
    <x v="102"/>
    <x v="102"/>
    <x v="9"/>
    <x v="0"/>
    <x v="3"/>
    <x v="111"/>
    <x v="111"/>
    <x v="100"/>
    <x v="100"/>
    <x v="7"/>
    <x v="3"/>
    <x v="1"/>
    <x v="242"/>
    <x v="4"/>
    <x v="101"/>
  </r>
  <r>
    <s v="SUPER"/>
    <s v="HO"/>
    <s v="04/09/2025"/>
    <s v="01/08/2025-31/08/2025"/>
    <x v="102"/>
    <x v="102"/>
    <x v="9"/>
    <x v="0"/>
    <x v="3"/>
    <x v="252"/>
    <x v="252"/>
    <x v="100"/>
    <x v="100"/>
    <x v="7"/>
    <x v="3"/>
    <x v="2"/>
    <x v="242"/>
    <x v="4"/>
    <x v="101"/>
  </r>
  <r>
    <s v="SUPER"/>
    <s v="HO"/>
    <s v="04/09/2025"/>
    <s v="01/08/2025-31/08/2025"/>
    <x v="102"/>
    <x v="102"/>
    <x v="9"/>
    <x v="0"/>
    <x v="3"/>
    <x v="39"/>
    <x v="39"/>
    <x v="100"/>
    <x v="100"/>
    <x v="7"/>
    <x v="3"/>
    <x v="3"/>
    <x v="242"/>
    <x v="4"/>
    <x v="101"/>
  </r>
  <r>
    <s v="SUPER"/>
    <s v="HO"/>
    <s v="04/09/2025"/>
    <s v="01/08/2025-31/08/2025"/>
    <x v="102"/>
    <x v="102"/>
    <x v="9"/>
    <x v="0"/>
    <x v="3"/>
    <x v="253"/>
    <x v="253"/>
    <x v="100"/>
    <x v="100"/>
    <x v="7"/>
    <x v="3"/>
    <x v="4"/>
    <x v="242"/>
    <x v="4"/>
    <x v="101"/>
  </r>
  <r>
    <s v="SUPER"/>
    <s v="HO"/>
    <s v="04/09/2025"/>
    <s v="01/08/2025-31/08/2025"/>
    <x v="44"/>
    <x v="44"/>
    <x v="11"/>
    <x v="0"/>
    <x v="3"/>
    <x v="254"/>
    <x v="254"/>
    <x v="69"/>
    <x v="69"/>
    <x v="17"/>
    <x v="10"/>
    <x v="0"/>
    <x v="243"/>
    <x v="30"/>
    <x v="43"/>
  </r>
  <r>
    <s v="SUPER"/>
    <s v="HO"/>
    <s v="04/09/2025"/>
    <s v="01/08/2025-31/08/2025"/>
    <x v="44"/>
    <x v="44"/>
    <x v="11"/>
    <x v="0"/>
    <x v="3"/>
    <x v="255"/>
    <x v="255"/>
    <x v="69"/>
    <x v="69"/>
    <x v="17"/>
    <x v="10"/>
    <x v="1"/>
    <x v="243"/>
    <x v="4"/>
    <x v="43"/>
  </r>
  <r>
    <s v="SUPER"/>
    <s v="HO"/>
    <s v="04/09/2025"/>
    <s v="01/08/2025-31/08/2025"/>
    <x v="44"/>
    <x v="44"/>
    <x v="11"/>
    <x v="0"/>
    <x v="3"/>
    <x v="256"/>
    <x v="256"/>
    <x v="69"/>
    <x v="69"/>
    <x v="17"/>
    <x v="10"/>
    <x v="2"/>
    <x v="243"/>
    <x v="21"/>
    <x v="43"/>
  </r>
  <r>
    <s v="SUPER"/>
    <s v="HO"/>
    <s v="04/09/2025"/>
    <s v="01/08/2025-31/08/2025"/>
    <x v="44"/>
    <x v="44"/>
    <x v="11"/>
    <x v="0"/>
    <x v="3"/>
    <x v="256"/>
    <x v="256"/>
    <x v="69"/>
    <x v="69"/>
    <x v="17"/>
    <x v="10"/>
    <x v="3"/>
    <x v="243"/>
    <x v="4"/>
    <x v="43"/>
  </r>
  <r>
    <s v="SUPER"/>
    <s v="HO"/>
    <s v="04/09/2025"/>
    <s v="01/08/2025-31/08/2025"/>
    <x v="11"/>
    <x v="11"/>
    <x v="1"/>
    <x v="0"/>
    <x v="0"/>
    <x v="257"/>
    <x v="257"/>
    <x v="9"/>
    <x v="9"/>
    <x v="8"/>
    <x v="21"/>
    <x v="0"/>
    <x v="244"/>
    <x v="1"/>
    <x v="10"/>
  </r>
  <r>
    <s v="SUPER"/>
    <s v="HO"/>
    <s v="04/09/2025"/>
    <s v="01/08/2025-31/08/2025"/>
    <x v="35"/>
    <x v="35"/>
    <x v="6"/>
    <x v="0"/>
    <x v="0"/>
    <x v="258"/>
    <x v="258"/>
    <x v="29"/>
    <x v="29"/>
    <x v="27"/>
    <x v="29"/>
    <x v="0"/>
    <x v="245"/>
    <x v="23"/>
    <x v="34"/>
  </r>
  <r>
    <s v="SUPER"/>
    <s v="HO"/>
    <s v="04/09/2025"/>
    <s v="01/08/2025-31/08/2025"/>
    <x v="60"/>
    <x v="60"/>
    <x v="21"/>
    <x v="0"/>
    <x v="2"/>
    <x v="240"/>
    <x v="240"/>
    <x v="1"/>
    <x v="1"/>
    <x v="6"/>
    <x v="5"/>
    <x v="0"/>
    <x v="246"/>
    <x v="3"/>
    <x v="59"/>
  </r>
  <r>
    <s v="SUPER"/>
    <s v="HO"/>
    <s v="04/09/2025"/>
    <s v="01/08/2025-31/08/2025"/>
    <x v="47"/>
    <x v="47"/>
    <x v="14"/>
    <x v="0"/>
    <x v="3"/>
    <x v="33"/>
    <x v="33"/>
    <x v="101"/>
    <x v="101"/>
    <x v="19"/>
    <x v="20"/>
    <x v="0"/>
    <x v="247"/>
    <x v="17"/>
    <x v="46"/>
  </r>
  <r>
    <s v="SUPER"/>
    <s v="HO"/>
    <s v="04/09/2025"/>
    <s v="01/08/2025-31/08/2025"/>
    <x v="14"/>
    <x v="14"/>
    <x v="5"/>
    <x v="0"/>
    <x v="2"/>
    <x v="259"/>
    <x v="259"/>
    <x v="12"/>
    <x v="12"/>
    <x v="7"/>
    <x v="4"/>
    <x v="0"/>
    <x v="248"/>
    <x v="11"/>
    <x v="13"/>
  </r>
  <r>
    <s v="SUPER"/>
    <s v="HO"/>
    <s v="04/09/2025"/>
    <s v="01/08/2025-31/08/2025"/>
    <x v="14"/>
    <x v="14"/>
    <x v="5"/>
    <x v="0"/>
    <x v="2"/>
    <x v="260"/>
    <x v="260"/>
    <x v="12"/>
    <x v="12"/>
    <x v="7"/>
    <x v="4"/>
    <x v="1"/>
    <x v="248"/>
    <x v="11"/>
    <x v="13"/>
  </r>
  <r>
    <s v="SUPER"/>
    <s v="HO"/>
    <s v="04/09/2025"/>
    <s v="01/08/2025-31/08/2025"/>
    <x v="14"/>
    <x v="14"/>
    <x v="5"/>
    <x v="0"/>
    <x v="2"/>
    <x v="261"/>
    <x v="261"/>
    <x v="12"/>
    <x v="12"/>
    <x v="7"/>
    <x v="4"/>
    <x v="2"/>
    <x v="248"/>
    <x v="11"/>
    <x v="13"/>
  </r>
  <r>
    <s v="SUPER"/>
    <s v="HO"/>
    <s v="04/09/2025"/>
    <s v="01/08/2025-31/08/2025"/>
    <x v="14"/>
    <x v="14"/>
    <x v="5"/>
    <x v="0"/>
    <x v="2"/>
    <x v="262"/>
    <x v="262"/>
    <x v="12"/>
    <x v="12"/>
    <x v="7"/>
    <x v="4"/>
    <x v="3"/>
    <x v="248"/>
    <x v="11"/>
    <x v="13"/>
  </r>
  <r>
    <s v="SUPER"/>
    <s v="HO"/>
    <s v="04/09/2025"/>
    <s v="01/08/2025-31/08/2025"/>
    <x v="14"/>
    <x v="14"/>
    <x v="5"/>
    <x v="0"/>
    <x v="2"/>
    <x v="263"/>
    <x v="263"/>
    <x v="12"/>
    <x v="12"/>
    <x v="7"/>
    <x v="4"/>
    <x v="4"/>
    <x v="248"/>
    <x v="11"/>
    <x v="13"/>
  </r>
  <r>
    <s v="SUPER"/>
    <s v="HO"/>
    <s v="04/09/2025"/>
    <s v="01/08/2025-31/08/2025"/>
    <x v="14"/>
    <x v="14"/>
    <x v="5"/>
    <x v="0"/>
    <x v="2"/>
    <x v="264"/>
    <x v="264"/>
    <x v="12"/>
    <x v="12"/>
    <x v="7"/>
    <x v="4"/>
    <x v="5"/>
    <x v="248"/>
    <x v="11"/>
    <x v="13"/>
  </r>
  <r>
    <s v="SUPER"/>
    <s v="HO"/>
    <s v="04/09/2025"/>
    <s v="01/08/2025-31/08/2025"/>
    <x v="68"/>
    <x v="68"/>
    <x v="6"/>
    <x v="0"/>
    <x v="0"/>
    <x v="265"/>
    <x v="265"/>
    <x v="84"/>
    <x v="84"/>
    <x v="9"/>
    <x v="25"/>
    <x v="0"/>
    <x v="249"/>
    <x v="0"/>
    <x v="67"/>
  </r>
  <r>
    <s v="SUPER"/>
    <s v="HO"/>
    <s v="04/09/2025"/>
    <s v="01/08/2025-31/08/2025"/>
    <x v="106"/>
    <x v="106"/>
    <x v="14"/>
    <x v="0"/>
    <x v="3"/>
    <x v="266"/>
    <x v="266"/>
    <x v="33"/>
    <x v="33"/>
    <x v="9"/>
    <x v="2"/>
    <x v="0"/>
    <x v="250"/>
    <x v="4"/>
    <x v="105"/>
  </r>
  <r>
    <s v="SUPER"/>
    <s v="HO"/>
    <s v="04/09/2025"/>
    <s v="01/08/2025-31/08/2025"/>
    <x v="106"/>
    <x v="106"/>
    <x v="14"/>
    <x v="0"/>
    <x v="3"/>
    <x v="267"/>
    <x v="267"/>
    <x v="33"/>
    <x v="33"/>
    <x v="9"/>
    <x v="2"/>
    <x v="1"/>
    <x v="250"/>
    <x v="4"/>
    <x v="105"/>
  </r>
  <r>
    <s v="SUPER"/>
    <s v="HO"/>
    <s v="04/09/2025"/>
    <s v="01/08/2025-31/08/2025"/>
    <x v="106"/>
    <x v="106"/>
    <x v="14"/>
    <x v="0"/>
    <x v="3"/>
    <x v="268"/>
    <x v="268"/>
    <x v="33"/>
    <x v="33"/>
    <x v="9"/>
    <x v="2"/>
    <x v="2"/>
    <x v="250"/>
    <x v="4"/>
    <x v="105"/>
  </r>
  <r>
    <s v="SUPER"/>
    <s v="HO"/>
    <s v="04/09/2025"/>
    <s v="01/08/2025-31/08/2025"/>
    <x v="106"/>
    <x v="106"/>
    <x v="14"/>
    <x v="0"/>
    <x v="3"/>
    <x v="38"/>
    <x v="38"/>
    <x v="33"/>
    <x v="33"/>
    <x v="9"/>
    <x v="2"/>
    <x v="3"/>
    <x v="250"/>
    <x v="4"/>
    <x v="105"/>
  </r>
  <r>
    <s v="SUPER"/>
    <s v="HO"/>
    <s v="04/09/2025"/>
    <s v="01/08/2025-31/08/2025"/>
    <x v="48"/>
    <x v="48"/>
    <x v="12"/>
    <x v="0"/>
    <x v="3"/>
    <x v="269"/>
    <x v="269"/>
    <x v="14"/>
    <x v="14"/>
    <x v="9"/>
    <x v="2"/>
    <x v="0"/>
    <x v="251"/>
    <x v="11"/>
    <x v="47"/>
  </r>
  <r>
    <s v="SUPER"/>
    <s v="HO"/>
    <s v="04/09/2025"/>
    <s v="01/08/2025-31/08/2025"/>
    <x v="48"/>
    <x v="48"/>
    <x v="12"/>
    <x v="0"/>
    <x v="3"/>
    <x v="270"/>
    <x v="270"/>
    <x v="14"/>
    <x v="14"/>
    <x v="9"/>
    <x v="2"/>
    <x v="1"/>
    <x v="251"/>
    <x v="11"/>
    <x v="47"/>
  </r>
  <r>
    <s v="SUPER"/>
    <s v="HO"/>
    <s v="04/09/2025"/>
    <s v="01/08/2025-31/08/2025"/>
    <x v="48"/>
    <x v="48"/>
    <x v="12"/>
    <x v="0"/>
    <x v="3"/>
    <x v="271"/>
    <x v="271"/>
    <x v="14"/>
    <x v="14"/>
    <x v="9"/>
    <x v="2"/>
    <x v="2"/>
    <x v="251"/>
    <x v="11"/>
    <x v="47"/>
  </r>
  <r>
    <s v="SUPER"/>
    <s v="HO"/>
    <s v="04/09/2025"/>
    <s v="01/08/2025-31/08/2025"/>
    <x v="94"/>
    <x v="94"/>
    <x v="6"/>
    <x v="0"/>
    <x v="0"/>
    <x v="272"/>
    <x v="272"/>
    <x v="102"/>
    <x v="102"/>
    <x v="3"/>
    <x v="17"/>
    <x v="0"/>
    <x v="252"/>
    <x v="6"/>
    <x v="93"/>
  </r>
  <r>
    <s v="SUPER"/>
    <s v="HO"/>
    <s v="04/09/2025"/>
    <s v="01/08/2025-31/08/2025"/>
    <x v="28"/>
    <x v="28"/>
    <x v="11"/>
    <x v="0"/>
    <x v="3"/>
    <x v="4"/>
    <x v="4"/>
    <x v="3"/>
    <x v="3"/>
    <x v="8"/>
    <x v="0"/>
    <x v="0"/>
    <x v="253"/>
    <x v="3"/>
    <x v="27"/>
  </r>
  <r>
    <s v="SUPER"/>
    <s v="HO"/>
    <s v="04/09/2025"/>
    <s v="01/08/2025-31/08/2025"/>
    <x v="100"/>
    <x v="100"/>
    <x v="16"/>
    <x v="0"/>
    <x v="1"/>
    <x v="273"/>
    <x v="273"/>
    <x v="103"/>
    <x v="103"/>
    <x v="18"/>
    <x v="16"/>
    <x v="0"/>
    <x v="254"/>
    <x v="26"/>
    <x v="99"/>
  </r>
  <r>
    <s v="SUPER"/>
    <s v="HO"/>
    <s v="04/09/2025"/>
    <s v="01/08/2025-31/08/2025"/>
    <x v="100"/>
    <x v="100"/>
    <x v="16"/>
    <x v="0"/>
    <x v="1"/>
    <x v="274"/>
    <x v="274"/>
    <x v="103"/>
    <x v="103"/>
    <x v="18"/>
    <x v="16"/>
    <x v="1"/>
    <x v="254"/>
    <x v="26"/>
    <x v="99"/>
  </r>
  <r>
    <s v="SUPER"/>
    <s v="HO"/>
    <s v="04/09/2025"/>
    <s v="01/08/2025-31/08/2025"/>
    <x v="100"/>
    <x v="100"/>
    <x v="16"/>
    <x v="0"/>
    <x v="1"/>
    <x v="201"/>
    <x v="201"/>
    <x v="103"/>
    <x v="103"/>
    <x v="18"/>
    <x v="16"/>
    <x v="2"/>
    <x v="254"/>
    <x v="26"/>
    <x v="99"/>
  </r>
  <r>
    <s v="SUPER"/>
    <s v="HO"/>
    <s v="04/09/2025"/>
    <s v="01/08/2025-31/08/2025"/>
    <x v="100"/>
    <x v="100"/>
    <x v="16"/>
    <x v="0"/>
    <x v="1"/>
    <x v="275"/>
    <x v="275"/>
    <x v="103"/>
    <x v="103"/>
    <x v="18"/>
    <x v="16"/>
    <x v="3"/>
    <x v="254"/>
    <x v="26"/>
    <x v="99"/>
  </r>
  <r>
    <s v="SUPER"/>
    <s v="HO"/>
    <s v="04/09/2025"/>
    <s v="01/08/2025-31/08/2025"/>
    <x v="100"/>
    <x v="100"/>
    <x v="16"/>
    <x v="0"/>
    <x v="1"/>
    <x v="275"/>
    <x v="275"/>
    <x v="103"/>
    <x v="103"/>
    <x v="18"/>
    <x v="16"/>
    <x v="4"/>
    <x v="254"/>
    <x v="26"/>
    <x v="99"/>
  </r>
  <r>
    <s v="SUPER"/>
    <s v="HO"/>
    <s v="04/09/2025"/>
    <s v="01/08/2025-31/08/2025"/>
    <x v="100"/>
    <x v="100"/>
    <x v="16"/>
    <x v="0"/>
    <x v="1"/>
    <x v="275"/>
    <x v="275"/>
    <x v="103"/>
    <x v="103"/>
    <x v="18"/>
    <x v="16"/>
    <x v="5"/>
    <x v="254"/>
    <x v="26"/>
    <x v="99"/>
  </r>
  <r>
    <s v="SUPER"/>
    <s v="HO"/>
    <s v="04/09/2025"/>
    <s v="01/08/2025-31/08/2025"/>
    <x v="35"/>
    <x v="35"/>
    <x v="6"/>
    <x v="0"/>
    <x v="0"/>
    <x v="2"/>
    <x v="2"/>
    <x v="29"/>
    <x v="29"/>
    <x v="6"/>
    <x v="21"/>
    <x v="0"/>
    <x v="255"/>
    <x v="1"/>
    <x v="34"/>
  </r>
  <r>
    <s v="SUPER"/>
    <s v="HO"/>
    <s v="04/09/2025"/>
    <s v="01/08/2025-31/08/2025"/>
    <x v="22"/>
    <x v="22"/>
    <x v="14"/>
    <x v="0"/>
    <x v="3"/>
    <x v="121"/>
    <x v="121"/>
    <x v="104"/>
    <x v="104"/>
    <x v="9"/>
    <x v="2"/>
    <x v="0"/>
    <x v="256"/>
    <x v="11"/>
    <x v="21"/>
  </r>
  <r>
    <s v="SUPER"/>
    <s v="HO"/>
    <s v="04/09/2025"/>
    <s v="01/08/2025-31/08/2025"/>
    <x v="22"/>
    <x v="22"/>
    <x v="14"/>
    <x v="0"/>
    <x v="3"/>
    <x v="51"/>
    <x v="51"/>
    <x v="1"/>
    <x v="1"/>
    <x v="9"/>
    <x v="2"/>
    <x v="0"/>
    <x v="257"/>
    <x v="11"/>
    <x v="21"/>
  </r>
  <r>
    <s v="SUPER"/>
    <s v="HO"/>
    <s v="04/09/2025"/>
    <s v="01/08/2025-31/08/2025"/>
    <x v="89"/>
    <x v="89"/>
    <x v="21"/>
    <x v="0"/>
    <x v="2"/>
    <x v="161"/>
    <x v="161"/>
    <x v="83"/>
    <x v="83"/>
    <x v="6"/>
    <x v="21"/>
    <x v="0"/>
    <x v="257"/>
    <x v="1"/>
    <x v="88"/>
  </r>
  <r>
    <s v="SUPER"/>
    <s v="HO"/>
    <s v="04/09/2025"/>
    <s v="01/08/2025-31/08/2025"/>
    <x v="89"/>
    <x v="89"/>
    <x v="21"/>
    <x v="0"/>
    <x v="2"/>
    <x v="64"/>
    <x v="64"/>
    <x v="83"/>
    <x v="83"/>
    <x v="6"/>
    <x v="21"/>
    <x v="1"/>
    <x v="257"/>
    <x v="4"/>
    <x v="88"/>
  </r>
  <r>
    <s v="SUPER"/>
    <s v="HO"/>
    <s v="04/09/2025"/>
    <s v="01/08/2025-31/08/2025"/>
    <x v="107"/>
    <x v="107"/>
    <x v="12"/>
    <x v="0"/>
    <x v="3"/>
    <x v="276"/>
    <x v="276"/>
    <x v="105"/>
    <x v="105"/>
    <x v="7"/>
    <x v="4"/>
    <x v="0"/>
    <x v="258"/>
    <x v="3"/>
    <x v="106"/>
  </r>
  <r>
    <s v="SUPER"/>
    <s v="HO"/>
    <s v="04/09/2025"/>
    <s v="01/08/2025-31/08/2025"/>
    <x v="107"/>
    <x v="107"/>
    <x v="12"/>
    <x v="0"/>
    <x v="3"/>
    <x v="277"/>
    <x v="277"/>
    <x v="105"/>
    <x v="105"/>
    <x v="7"/>
    <x v="4"/>
    <x v="1"/>
    <x v="258"/>
    <x v="4"/>
    <x v="106"/>
  </r>
  <r>
    <s v="SUPER"/>
    <s v="HO"/>
    <s v="04/09/2025"/>
    <s v="01/08/2025-31/08/2025"/>
    <x v="85"/>
    <x v="85"/>
    <x v="20"/>
    <x v="0"/>
    <x v="2"/>
    <x v="2"/>
    <x v="2"/>
    <x v="1"/>
    <x v="1"/>
    <x v="6"/>
    <x v="21"/>
    <x v="0"/>
    <x v="259"/>
    <x v="1"/>
    <x v="84"/>
  </r>
  <r>
    <s v="SUPER"/>
    <s v="HO"/>
    <s v="04/09/2025"/>
    <s v="01/08/2025-31/08/2025"/>
    <x v="85"/>
    <x v="85"/>
    <x v="20"/>
    <x v="0"/>
    <x v="2"/>
    <x v="161"/>
    <x v="161"/>
    <x v="1"/>
    <x v="1"/>
    <x v="6"/>
    <x v="21"/>
    <x v="1"/>
    <x v="259"/>
    <x v="1"/>
    <x v="84"/>
  </r>
  <r>
    <s v="SUPER"/>
    <s v="HO"/>
    <s v="04/09/2025"/>
    <s v="01/08/2025-31/08/2025"/>
    <x v="85"/>
    <x v="85"/>
    <x v="20"/>
    <x v="0"/>
    <x v="2"/>
    <x v="8"/>
    <x v="8"/>
    <x v="1"/>
    <x v="1"/>
    <x v="6"/>
    <x v="21"/>
    <x v="2"/>
    <x v="259"/>
    <x v="1"/>
    <x v="84"/>
  </r>
  <r>
    <s v="SUPER"/>
    <s v="HO"/>
    <s v="04/09/2025"/>
    <s v="01/08/2025-31/08/2025"/>
    <x v="70"/>
    <x v="70"/>
    <x v="9"/>
    <x v="0"/>
    <x v="3"/>
    <x v="278"/>
    <x v="278"/>
    <x v="59"/>
    <x v="59"/>
    <x v="7"/>
    <x v="4"/>
    <x v="0"/>
    <x v="260"/>
    <x v="25"/>
    <x v="69"/>
  </r>
  <r>
    <s v="SUPER"/>
    <s v="HO"/>
    <s v="04/09/2025"/>
    <s v="01/08/2025-31/08/2025"/>
    <x v="45"/>
    <x v="45"/>
    <x v="14"/>
    <x v="0"/>
    <x v="3"/>
    <x v="70"/>
    <x v="70"/>
    <x v="1"/>
    <x v="1"/>
    <x v="11"/>
    <x v="1"/>
    <x v="0"/>
    <x v="261"/>
    <x v="10"/>
    <x v="44"/>
  </r>
  <r>
    <s v="SUPER"/>
    <s v="HO"/>
    <s v="04/09/2025"/>
    <s v="01/08/2025-31/08/2025"/>
    <x v="45"/>
    <x v="45"/>
    <x v="14"/>
    <x v="0"/>
    <x v="3"/>
    <x v="279"/>
    <x v="279"/>
    <x v="1"/>
    <x v="1"/>
    <x v="11"/>
    <x v="1"/>
    <x v="1"/>
    <x v="261"/>
    <x v="10"/>
    <x v="44"/>
  </r>
  <r>
    <s v="SUPER"/>
    <s v="HO"/>
    <s v="04/09/2025"/>
    <s v="01/08/2025-31/08/2025"/>
    <x v="45"/>
    <x v="45"/>
    <x v="14"/>
    <x v="0"/>
    <x v="3"/>
    <x v="136"/>
    <x v="136"/>
    <x v="1"/>
    <x v="1"/>
    <x v="11"/>
    <x v="1"/>
    <x v="2"/>
    <x v="261"/>
    <x v="11"/>
    <x v="44"/>
  </r>
  <r>
    <s v="SUPER"/>
    <s v="HO"/>
    <s v="04/09/2025"/>
    <s v="01/08/2025-31/08/2025"/>
    <x v="39"/>
    <x v="39"/>
    <x v="18"/>
    <x v="0"/>
    <x v="3"/>
    <x v="5"/>
    <x v="5"/>
    <x v="1"/>
    <x v="1"/>
    <x v="9"/>
    <x v="2"/>
    <x v="0"/>
    <x v="262"/>
    <x v="3"/>
    <x v="38"/>
  </r>
  <r>
    <s v="SUPER"/>
    <s v="HO"/>
    <s v="04/09/2025"/>
    <s v="01/08/2025-31/08/2025"/>
    <x v="39"/>
    <x v="39"/>
    <x v="18"/>
    <x v="0"/>
    <x v="3"/>
    <x v="280"/>
    <x v="280"/>
    <x v="1"/>
    <x v="1"/>
    <x v="9"/>
    <x v="2"/>
    <x v="0"/>
    <x v="263"/>
    <x v="1"/>
    <x v="38"/>
  </r>
  <r>
    <s v="SUPER"/>
    <s v="HO"/>
    <s v="04/09/2025"/>
    <s v="01/08/2025-31/08/2025"/>
    <x v="60"/>
    <x v="60"/>
    <x v="21"/>
    <x v="0"/>
    <x v="2"/>
    <x v="281"/>
    <x v="281"/>
    <x v="1"/>
    <x v="1"/>
    <x v="6"/>
    <x v="0"/>
    <x v="0"/>
    <x v="264"/>
    <x v="3"/>
    <x v="59"/>
  </r>
  <r>
    <s v="SUPER"/>
    <s v="HO"/>
    <s v="04/09/2025"/>
    <s v="01/08/2025-31/08/2025"/>
    <x v="108"/>
    <x v="108"/>
    <x v="11"/>
    <x v="0"/>
    <x v="3"/>
    <x v="197"/>
    <x v="197"/>
    <x v="106"/>
    <x v="106"/>
    <x v="9"/>
    <x v="2"/>
    <x v="0"/>
    <x v="265"/>
    <x v="4"/>
    <x v="107"/>
  </r>
  <r>
    <s v="SUPER"/>
    <s v="HO"/>
    <s v="04/09/2025"/>
    <s v="01/08/2025-31/08/2025"/>
    <x v="108"/>
    <x v="108"/>
    <x v="11"/>
    <x v="0"/>
    <x v="3"/>
    <x v="137"/>
    <x v="137"/>
    <x v="106"/>
    <x v="106"/>
    <x v="9"/>
    <x v="2"/>
    <x v="1"/>
    <x v="265"/>
    <x v="4"/>
    <x v="107"/>
  </r>
  <r>
    <s v="SUPER"/>
    <s v="HO"/>
    <s v="04/09/2025"/>
    <s v="01/08/2025-31/08/2025"/>
    <x v="101"/>
    <x v="101"/>
    <x v="17"/>
    <x v="0"/>
    <x v="3"/>
    <x v="282"/>
    <x v="282"/>
    <x v="1"/>
    <x v="1"/>
    <x v="28"/>
    <x v="22"/>
    <x v="0"/>
    <x v="266"/>
    <x v="28"/>
    <x v="100"/>
  </r>
  <r>
    <s v="SUPER"/>
    <s v="HO"/>
    <s v="04/09/2025"/>
    <s v="01/08/2025-31/08/2025"/>
    <x v="53"/>
    <x v="53"/>
    <x v="11"/>
    <x v="0"/>
    <x v="3"/>
    <x v="45"/>
    <x v="45"/>
    <x v="44"/>
    <x v="44"/>
    <x v="17"/>
    <x v="11"/>
    <x v="0"/>
    <x v="267"/>
    <x v="4"/>
    <x v="52"/>
  </r>
  <r>
    <s v="SUPER"/>
    <s v="HO"/>
    <s v="04/09/2025"/>
    <s v="01/08/2025-31/08/2025"/>
    <x v="53"/>
    <x v="53"/>
    <x v="11"/>
    <x v="0"/>
    <x v="3"/>
    <x v="45"/>
    <x v="45"/>
    <x v="44"/>
    <x v="44"/>
    <x v="17"/>
    <x v="11"/>
    <x v="1"/>
    <x v="267"/>
    <x v="4"/>
    <x v="52"/>
  </r>
  <r>
    <s v="SUPER"/>
    <s v="HO"/>
    <s v="04/09/2025"/>
    <s v="01/08/2025-31/08/2025"/>
    <x v="101"/>
    <x v="101"/>
    <x v="17"/>
    <x v="0"/>
    <x v="3"/>
    <x v="51"/>
    <x v="51"/>
    <x v="107"/>
    <x v="107"/>
    <x v="9"/>
    <x v="2"/>
    <x v="0"/>
    <x v="268"/>
    <x v="11"/>
    <x v="100"/>
  </r>
  <r>
    <s v="SUPER"/>
    <s v="HO"/>
    <s v="04/09/2025"/>
    <s v="01/08/2025-31/08/2025"/>
    <x v="101"/>
    <x v="101"/>
    <x v="17"/>
    <x v="0"/>
    <x v="3"/>
    <x v="47"/>
    <x v="47"/>
    <x v="107"/>
    <x v="107"/>
    <x v="9"/>
    <x v="2"/>
    <x v="1"/>
    <x v="268"/>
    <x v="11"/>
    <x v="100"/>
  </r>
  <r>
    <s v="SUPER"/>
    <s v="HO"/>
    <s v="04/09/2025"/>
    <s v="01/08/2025-31/08/2025"/>
    <x v="101"/>
    <x v="101"/>
    <x v="17"/>
    <x v="0"/>
    <x v="3"/>
    <x v="136"/>
    <x v="136"/>
    <x v="107"/>
    <x v="107"/>
    <x v="9"/>
    <x v="2"/>
    <x v="2"/>
    <x v="268"/>
    <x v="11"/>
    <x v="100"/>
  </r>
  <r>
    <s v="SUPER"/>
    <s v="HO"/>
    <s v="04/09/2025"/>
    <s v="01/08/2025-31/08/2025"/>
    <x v="101"/>
    <x v="101"/>
    <x v="17"/>
    <x v="0"/>
    <x v="3"/>
    <x v="138"/>
    <x v="138"/>
    <x v="107"/>
    <x v="107"/>
    <x v="9"/>
    <x v="2"/>
    <x v="3"/>
    <x v="268"/>
    <x v="11"/>
    <x v="100"/>
  </r>
  <r>
    <s v="SUPER"/>
    <s v="HO"/>
    <s v="04/09/2025"/>
    <s v="01/08/2025-31/08/2025"/>
    <x v="22"/>
    <x v="22"/>
    <x v="14"/>
    <x v="0"/>
    <x v="3"/>
    <x v="283"/>
    <x v="283"/>
    <x v="1"/>
    <x v="1"/>
    <x v="9"/>
    <x v="2"/>
    <x v="0"/>
    <x v="269"/>
    <x v="10"/>
    <x v="21"/>
  </r>
  <r>
    <s v="SUPER"/>
    <s v="HO"/>
    <s v="04/09/2025"/>
    <s v="01/08/2025-31/08/2025"/>
    <x v="22"/>
    <x v="22"/>
    <x v="14"/>
    <x v="0"/>
    <x v="3"/>
    <x v="284"/>
    <x v="284"/>
    <x v="1"/>
    <x v="1"/>
    <x v="9"/>
    <x v="2"/>
    <x v="1"/>
    <x v="269"/>
    <x v="10"/>
    <x v="21"/>
  </r>
  <r>
    <s v="SUPER"/>
    <s v="HO"/>
    <s v="04/09/2025"/>
    <s v="01/08/2025-31/08/2025"/>
    <x v="20"/>
    <x v="20"/>
    <x v="1"/>
    <x v="0"/>
    <x v="0"/>
    <x v="7"/>
    <x v="7"/>
    <x v="25"/>
    <x v="25"/>
    <x v="9"/>
    <x v="2"/>
    <x v="0"/>
    <x v="270"/>
    <x v="10"/>
    <x v="19"/>
  </r>
  <r>
    <s v="SUPER"/>
    <s v="HO"/>
    <s v="04/09/2025"/>
    <s v="01/08/2025-31/08/2025"/>
    <x v="20"/>
    <x v="20"/>
    <x v="1"/>
    <x v="0"/>
    <x v="0"/>
    <x v="285"/>
    <x v="285"/>
    <x v="25"/>
    <x v="25"/>
    <x v="9"/>
    <x v="2"/>
    <x v="1"/>
    <x v="270"/>
    <x v="10"/>
    <x v="19"/>
  </r>
  <r>
    <s v="SUPER"/>
    <s v="HO"/>
    <s v="04/09/2025"/>
    <s v="01/08/2025-31/08/2025"/>
    <x v="20"/>
    <x v="20"/>
    <x v="1"/>
    <x v="0"/>
    <x v="0"/>
    <x v="212"/>
    <x v="212"/>
    <x v="25"/>
    <x v="25"/>
    <x v="9"/>
    <x v="2"/>
    <x v="2"/>
    <x v="270"/>
    <x v="25"/>
    <x v="19"/>
  </r>
  <r>
    <s v="SUPER"/>
    <s v="HO"/>
    <s v="04/09/2025"/>
    <s v="01/08/2025-31/08/2025"/>
    <x v="69"/>
    <x v="69"/>
    <x v="14"/>
    <x v="0"/>
    <x v="3"/>
    <x v="38"/>
    <x v="38"/>
    <x v="1"/>
    <x v="1"/>
    <x v="7"/>
    <x v="4"/>
    <x v="0"/>
    <x v="271"/>
    <x v="10"/>
    <x v="68"/>
  </r>
  <r>
    <s v="SUPER"/>
    <s v="HO"/>
    <s v="04/09/2025"/>
    <s v="01/08/2025-31/08/2025"/>
    <x v="47"/>
    <x v="47"/>
    <x v="14"/>
    <x v="0"/>
    <x v="3"/>
    <x v="189"/>
    <x v="189"/>
    <x v="108"/>
    <x v="108"/>
    <x v="12"/>
    <x v="24"/>
    <x v="0"/>
    <x v="271"/>
    <x v="4"/>
    <x v="46"/>
  </r>
  <r>
    <s v="SUPER"/>
    <s v="HO"/>
    <s v="04/09/2025"/>
    <s v="01/08/2025-31/08/2025"/>
    <x v="69"/>
    <x v="69"/>
    <x v="14"/>
    <x v="0"/>
    <x v="3"/>
    <x v="160"/>
    <x v="160"/>
    <x v="1"/>
    <x v="1"/>
    <x v="7"/>
    <x v="4"/>
    <x v="1"/>
    <x v="271"/>
    <x v="10"/>
    <x v="68"/>
  </r>
  <r>
    <s v="SUPER"/>
    <s v="HO"/>
    <s v="04/09/2025"/>
    <s v="01/08/2025-31/08/2025"/>
    <x v="47"/>
    <x v="47"/>
    <x v="14"/>
    <x v="0"/>
    <x v="3"/>
    <x v="110"/>
    <x v="110"/>
    <x v="108"/>
    <x v="108"/>
    <x v="12"/>
    <x v="24"/>
    <x v="1"/>
    <x v="271"/>
    <x v="4"/>
    <x v="46"/>
  </r>
  <r>
    <s v="SUPER"/>
    <s v="HO"/>
    <s v="04/09/2025"/>
    <s v="01/08/2025-31/08/2025"/>
    <x v="69"/>
    <x v="69"/>
    <x v="14"/>
    <x v="0"/>
    <x v="3"/>
    <x v="286"/>
    <x v="286"/>
    <x v="1"/>
    <x v="1"/>
    <x v="7"/>
    <x v="4"/>
    <x v="2"/>
    <x v="271"/>
    <x v="3"/>
    <x v="68"/>
  </r>
  <r>
    <s v="SUPER"/>
    <s v="HO"/>
    <s v="04/09/2025"/>
    <s v="01/08/2025-31/08/2025"/>
    <x v="50"/>
    <x v="50"/>
    <x v="8"/>
    <x v="0"/>
    <x v="3"/>
    <x v="49"/>
    <x v="49"/>
    <x v="1"/>
    <x v="1"/>
    <x v="5"/>
    <x v="5"/>
    <x v="0"/>
    <x v="272"/>
    <x v="3"/>
    <x v="49"/>
  </r>
  <r>
    <s v="SUPER"/>
    <s v="HO"/>
    <s v="04/09/2025"/>
    <s v="01/08/2025-31/08/2025"/>
    <x v="3"/>
    <x v="3"/>
    <x v="3"/>
    <x v="0"/>
    <x v="1"/>
    <x v="287"/>
    <x v="287"/>
    <x v="109"/>
    <x v="109"/>
    <x v="29"/>
    <x v="20"/>
    <x v="0"/>
    <x v="273"/>
    <x v="17"/>
    <x v="2"/>
  </r>
  <r>
    <s v="SUPER"/>
    <s v="HO"/>
    <s v="04/09/2025"/>
    <s v="01/08/2025-31/08/2025"/>
    <x v="3"/>
    <x v="3"/>
    <x v="3"/>
    <x v="0"/>
    <x v="1"/>
    <x v="229"/>
    <x v="229"/>
    <x v="109"/>
    <x v="109"/>
    <x v="29"/>
    <x v="20"/>
    <x v="1"/>
    <x v="273"/>
    <x v="17"/>
    <x v="2"/>
  </r>
  <r>
    <s v="SUPER"/>
    <s v="HO"/>
    <s v="04/09/2025"/>
    <s v="01/08/2025-31/08/2025"/>
    <x v="5"/>
    <x v="5"/>
    <x v="4"/>
    <x v="0"/>
    <x v="2"/>
    <x v="288"/>
    <x v="288"/>
    <x v="58"/>
    <x v="58"/>
    <x v="5"/>
    <x v="14"/>
    <x v="0"/>
    <x v="274"/>
    <x v="4"/>
    <x v="4"/>
  </r>
  <r>
    <s v="SUPER"/>
    <s v="HO"/>
    <s v="04/09/2025"/>
    <s v="01/08/2025-31/08/2025"/>
    <x v="5"/>
    <x v="5"/>
    <x v="4"/>
    <x v="0"/>
    <x v="2"/>
    <x v="289"/>
    <x v="289"/>
    <x v="58"/>
    <x v="58"/>
    <x v="5"/>
    <x v="14"/>
    <x v="1"/>
    <x v="274"/>
    <x v="4"/>
    <x v="4"/>
  </r>
  <r>
    <s v="SUPER"/>
    <s v="HO"/>
    <s v="04/09/2025"/>
    <s v="01/08/2025-31/08/2025"/>
    <x v="109"/>
    <x v="109"/>
    <x v="1"/>
    <x v="0"/>
    <x v="0"/>
    <x v="290"/>
    <x v="290"/>
    <x v="1"/>
    <x v="1"/>
    <x v="17"/>
    <x v="13"/>
    <x v="0"/>
    <x v="275"/>
    <x v="22"/>
    <x v="108"/>
  </r>
  <r>
    <s v="SUPER"/>
    <s v="HO"/>
    <s v="04/09/2025"/>
    <s v="01/08/2025-31/08/2025"/>
    <x v="59"/>
    <x v="59"/>
    <x v="16"/>
    <x v="0"/>
    <x v="1"/>
    <x v="181"/>
    <x v="181"/>
    <x v="49"/>
    <x v="49"/>
    <x v="17"/>
    <x v="13"/>
    <x v="0"/>
    <x v="276"/>
    <x v="16"/>
    <x v="58"/>
  </r>
  <r>
    <s v="SUPER"/>
    <s v="HO"/>
    <s v="04/09/2025"/>
    <s v="01/08/2025-31/08/2025"/>
    <x v="78"/>
    <x v="78"/>
    <x v="9"/>
    <x v="0"/>
    <x v="3"/>
    <x v="291"/>
    <x v="291"/>
    <x v="110"/>
    <x v="110"/>
    <x v="29"/>
    <x v="12"/>
    <x v="0"/>
    <x v="277"/>
    <x v="16"/>
    <x v="77"/>
  </r>
  <r>
    <s v="SUPER"/>
    <s v="HO"/>
    <s v="04/09/2025"/>
    <s v="01/08/2025-31/08/2025"/>
    <x v="78"/>
    <x v="78"/>
    <x v="9"/>
    <x v="0"/>
    <x v="3"/>
    <x v="291"/>
    <x v="291"/>
    <x v="110"/>
    <x v="110"/>
    <x v="29"/>
    <x v="12"/>
    <x v="1"/>
    <x v="277"/>
    <x v="16"/>
    <x v="77"/>
  </r>
  <r>
    <s v="SUPER"/>
    <s v="HO"/>
    <s v="04/09/2025"/>
    <s v="01/08/2025-31/08/2025"/>
    <x v="64"/>
    <x v="64"/>
    <x v="15"/>
    <x v="0"/>
    <x v="0"/>
    <x v="292"/>
    <x v="292"/>
    <x v="111"/>
    <x v="111"/>
    <x v="3"/>
    <x v="26"/>
    <x v="0"/>
    <x v="278"/>
    <x v="13"/>
    <x v="63"/>
  </r>
  <r>
    <s v="SUPER"/>
    <s v="HO"/>
    <s v="04/09/2025"/>
    <s v="01/08/2025-31/08/2025"/>
    <x v="64"/>
    <x v="64"/>
    <x v="15"/>
    <x v="0"/>
    <x v="0"/>
    <x v="230"/>
    <x v="230"/>
    <x v="111"/>
    <x v="111"/>
    <x v="3"/>
    <x v="26"/>
    <x v="1"/>
    <x v="278"/>
    <x v="13"/>
    <x v="63"/>
  </r>
  <r>
    <s v="SUPER"/>
    <s v="HO"/>
    <s v="04/09/2025"/>
    <s v="01/08/2025-31/08/2025"/>
    <x v="64"/>
    <x v="64"/>
    <x v="15"/>
    <x v="0"/>
    <x v="0"/>
    <x v="167"/>
    <x v="167"/>
    <x v="111"/>
    <x v="111"/>
    <x v="3"/>
    <x v="26"/>
    <x v="2"/>
    <x v="278"/>
    <x v="13"/>
    <x v="63"/>
  </r>
  <r>
    <s v="SUPER"/>
    <s v="HO"/>
    <s v="04/09/2025"/>
    <s v="01/08/2025-31/08/2025"/>
    <x v="1"/>
    <x v="1"/>
    <x v="1"/>
    <x v="0"/>
    <x v="0"/>
    <x v="29"/>
    <x v="29"/>
    <x v="32"/>
    <x v="32"/>
    <x v="24"/>
    <x v="29"/>
    <x v="0"/>
    <x v="279"/>
    <x v="29"/>
    <x v="1"/>
  </r>
  <r>
    <s v="SUPER"/>
    <s v="HO"/>
    <s v="04/09/2025"/>
    <s v="01/08/2025-31/08/2025"/>
    <x v="110"/>
    <x v="110"/>
    <x v="15"/>
    <x v="0"/>
    <x v="0"/>
    <x v="200"/>
    <x v="200"/>
    <x v="79"/>
    <x v="79"/>
    <x v="19"/>
    <x v="16"/>
    <x v="0"/>
    <x v="280"/>
    <x v="26"/>
    <x v="109"/>
  </r>
  <r>
    <s v="SUPER"/>
    <s v="HO"/>
    <s v="04/09/2025"/>
    <s v="01/08/2025-31/08/2025"/>
    <x v="110"/>
    <x v="110"/>
    <x v="15"/>
    <x v="0"/>
    <x v="0"/>
    <x v="275"/>
    <x v="275"/>
    <x v="79"/>
    <x v="79"/>
    <x v="19"/>
    <x v="16"/>
    <x v="1"/>
    <x v="280"/>
    <x v="26"/>
    <x v="109"/>
  </r>
  <r>
    <s v="SUPER"/>
    <s v="HO"/>
    <s v="04/09/2025"/>
    <s v="01/08/2025-31/08/2025"/>
    <x v="110"/>
    <x v="110"/>
    <x v="15"/>
    <x v="0"/>
    <x v="0"/>
    <x v="293"/>
    <x v="293"/>
    <x v="79"/>
    <x v="79"/>
    <x v="19"/>
    <x v="16"/>
    <x v="2"/>
    <x v="280"/>
    <x v="26"/>
    <x v="109"/>
  </r>
  <r>
    <s v="SUPER"/>
    <s v="HO"/>
    <s v="04/09/2025"/>
    <s v="01/08/2025-31/08/2025"/>
    <x v="10"/>
    <x v="10"/>
    <x v="9"/>
    <x v="0"/>
    <x v="3"/>
    <x v="30"/>
    <x v="30"/>
    <x v="7"/>
    <x v="7"/>
    <x v="9"/>
    <x v="3"/>
    <x v="0"/>
    <x v="281"/>
    <x v="4"/>
    <x v="9"/>
  </r>
  <r>
    <s v="SUPER"/>
    <s v="HO"/>
    <s v="04/09/2025"/>
    <s v="01/08/2025-31/08/2025"/>
    <x v="87"/>
    <x v="87"/>
    <x v="15"/>
    <x v="0"/>
    <x v="0"/>
    <x v="294"/>
    <x v="294"/>
    <x v="1"/>
    <x v="1"/>
    <x v="16"/>
    <x v="30"/>
    <x v="0"/>
    <x v="282"/>
    <x v="7"/>
    <x v="86"/>
  </r>
  <r>
    <s v="SUPER"/>
    <s v="HO"/>
    <s v="04/09/2025"/>
    <s v="01/08/2025-31/08/2025"/>
    <x v="87"/>
    <x v="87"/>
    <x v="15"/>
    <x v="0"/>
    <x v="0"/>
    <x v="294"/>
    <x v="294"/>
    <x v="1"/>
    <x v="1"/>
    <x v="16"/>
    <x v="30"/>
    <x v="1"/>
    <x v="282"/>
    <x v="7"/>
    <x v="86"/>
  </r>
  <r>
    <s v="SUPER"/>
    <s v="HO"/>
    <s v="04/09/2025"/>
    <s v="01/08/2025-31/08/2025"/>
    <x v="10"/>
    <x v="10"/>
    <x v="9"/>
    <x v="0"/>
    <x v="3"/>
    <x v="30"/>
    <x v="30"/>
    <x v="7"/>
    <x v="7"/>
    <x v="6"/>
    <x v="21"/>
    <x v="0"/>
    <x v="283"/>
    <x v="10"/>
    <x v="9"/>
  </r>
  <r>
    <s v="SUPER"/>
    <s v="HO"/>
    <s v="04/09/2025"/>
    <s v="01/08/2025-31/08/2025"/>
    <x v="22"/>
    <x v="22"/>
    <x v="14"/>
    <x v="0"/>
    <x v="3"/>
    <x v="257"/>
    <x v="257"/>
    <x v="1"/>
    <x v="1"/>
    <x v="9"/>
    <x v="3"/>
    <x v="0"/>
    <x v="284"/>
    <x v="1"/>
    <x v="21"/>
  </r>
  <r>
    <s v="SUPER"/>
    <s v="HO"/>
    <s v="04/09/2025"/>
    <s v="01/08/2025-31/08/2025"/>
    <x v="64"/>
    <x v="64"/>
    <x v="15"/>
    <x v="0"/>
    <x v="0"/>
    <x v="295"/>
    <x v="295"/>
    <x v="74"/>
    <x v="74"/>
    <x v="19"/>
    <x v="16"/>
    <x v="0"/>
    <x v="285"/>
    <x v="26"/>
    <x v="63"/>
  </r>
  <r>
    <s v="SUPER"/>
    <s v="HO"/>
    <s v="04/09/2025"/>
    <s v="01/08/2025-31/08/2025"/>
    <x v="64"/>
    <x v="64"/>
    <x v="15"/>
    <x v="0"/>
    <x v="0"/>
    <x v="295"/>
    <x v="295"/>
    <x v="74"/>
    <x v="74"/>
    <x v="19"/>
    <x v="16"/>
    <x v="1"/>
    <x v="285"/>
    <x v="26"/>
    <x v="63"/>
  </r>
  <r>
    <s v="SUPER"/>
    <s v="HO"/>
    <s v="04/09/2025"/>
    <s v="01/08/2025-31/08/2025"/>
    <x v="39"/>
    <x v="39"/>
    <x v="18"/>
    <x v="0"/>
    <x v="3"/>
    <x v="7"/>
    <x v="7"/>
    <x v="1"/>
    <x v="1"/>
    <x v="9"/>
    <x v="3"/>
    <x v="0"/>
    <x v="286"/>
    <x v="10"/>
    <x v="38"/>
  </r>
  <r>
    <s v="SUPER"/>
    <s v="HO"/>
    <s v="04/09/2025"/>
    <s v="01/08/2025-31/08/2025"/>
    <x v="39"/>
    <x v="39"/>
    <x v="18"/>
    <x v="0"/>
    <x v="3"/>
    <x v="296"/>
    <x v="296"/>
    <x v="1"/>
    <x v="1"/>
    <x v="9"/>
    <x v="3"/>
    <x v="1"/>
    <x v="286"/>
    <x v="10"/>
    <x v="38"/>
  </r>
  <r>
    <s v="SUPER"/>
    <s v="HO"/>
    <s v="04/09/2025"/>
    <s v="01/08/2025-31/08/2025"/>
    <x v="72"/>
    <x v="72"/>
    <x v="18"/>
    <x v="0"/>
    <x v="3"/>
    <x v="42"/>
    <x v="42"/>
    <x v="19"/>
    <x v="19"/>
    <x v="11"/>
    <x v="1"/>
    <x v="0"/>
    <x v="287"/>
    <x v="4"/>
    <x v="71"/>
  </r>
  <r>
    <s v="SUPER"/>
    <s v="HO"/>
    <s v="04/09/2025"/>
    <s v="01/08/2025-31/08/2025"/>
    <x v="22"/>
    <x v="22"/>
    <x v="14"/>
    <x v="0"/>
    <x v="3"/>
    <x v="116"/>
    <x v="116"/>
    <x v="46"/>
    <x v="46"/>
    <x v="9"/>
    <x v="3"/>
    <x v="0"/>
    <x v="288"/>
    <x v="4"/>
    <x v="21"/>
  </r>
  <r>
    <s v="SUPER"/>
    <s v="HO"/>
    <s v="04/09/2025"/>
    <s v="01/08/2025-31/08/2025"/>
    <x v="22"/>
    <x v="22"/>
    <x v="14"/>
    <x v="0"/>
    <x v="3"/>
    <x v="35"/>
    <x v="35"/>
    <x v="46"/>
    <x v="46"/>
    <x v="9"/>
    <x v="3"/>
    <x v="1"/>
    <x v="288"/>
    <x v="4"/>
    <x v="21"/>
  </r>
  <r>
    <s v="SUPER"/>
    <s v="HO"/>
    <s v="04/09/2025"/>
    <s v="01/08/2025-31/08/2025"/>
    <x v="22"/>
    <x v="22"/>
    <x v="14"/>
    <x v="0"/>
    <x v="3"/>
    <x v="117"/>
    <x v="117"/>
    <x v="46"/>
    <x v="46"/>
    <x v="9"/>
    <x v="3"/>
    <x v="2"/>
    <x v="288"/>
    <x v="4"/>
    <x v="21"/>
  </r>
  <r>
    <s v="SUPER"/>
    <s v="HO"/>
    <s v="04/09/2025"/>
    <s v="01/08/2025-31/08/2025"/>
    <x v="22"/>
    <x v="22"/>
    <x v="14"/>
    <x v="0"/>
    <x v="3"/>
    <x v="36"/>
    <x v="36"/>
    <x v="112"/>
    <x v="112"/>
    <x v="9"/>
    <x v="3"/>
    <x v="0"/>
    <x v="289"/>
    <x v="11"/>
    <x v="21"/>
  </r>
  <r>
    <s v="SUPER"/>
    <s v="HO"/>
    <s v="04/09/2025"/>
    <s v="01/08/2025-31/08/2025"/>
    <x v="68"/>
    <x v="68"/>
    <x v="6"/>
    <x v="0"/>
    <x v="0"/>
    <x v="35"/>
    <x v="35"/>
    <x v="56"/>
    <x v="56"/>
    <x v="9"/>
    <x v="3"/>
    <x v="0"/>
    <x v="290"/>
    <x v="11"/>
    <x v="67"/>
  </r>
  <r>
    <s v="SUPER"/>
    <s v="HO"/>
    <s v="04/09/2025"/>
    <s v="01/08/2025-31/08/2025"/>
    <x v="68"/>
    <x v="68"/>
    <x v="6"/>
    <x v="0"/>
    <x v="0"/>
    <x v="34"/>
    <x v="34"/>
    <x v="56"/>
    <x v="56"/>
    <x v="9"/>
    <x v="3"/>
    <x v="1"/>
    <x v="290"/>
    <x v="11"/>
    <x v="67"/>
  </r>
  <r>
    <s v="SUPER"/>
    <s v="HO"/>
    <s v="04/09/2025"/>
    <s v="01/08/2025-31/08/2025"/>
    <x v="68"/>
    <x v="68"/>
    <x v="6"/>
    <x v="0"/>
    <x v="0"/>
    <x v="63"/>
    <x v="63"/>
    <x v="56"/>
    <x v="56"/>
    <x v="9"/>
    <x v="3"/>
    <x v="2"/>
    <x v="290"/>
    <x v="11"/>
    <x v="67"/>
  </r>
  <r>
    <s v="SUPER"/>
    <s v="HO"/>
    <s v="04/09/2025"/>
    <s v="01/08/2025-31/08/2025"/>
    <x v="68"/>
    <x v="68"/>
    <x v="6"/>
    <x v="0"/>
    <x v="0"/>
    <x v="244"/>
    <x v="244"/>
    <x v="56"/>
    <x v="56"/>
    <x v="9"/>
    <x v="3"/>
    <x v="3"/>
    <x v="290"/>
    <x v="11"/>
    <x v="67"/>
  </r>
  <r>
    <s v="SUPER"/>
    <s v="HO"/>
    <s v="04/09/2025"/>
    <s v="01/08/2025-31/08/2025"/>
    <x v="47"/>
    <x v="47"/>
    <x v="14"/>
    <x v="0"/>
    <x v="3"/>
    <x v="297"/>
    <x v="297"/>
    <x v="1"/>
    <x v="1"/>
    <x v="3"/>
    <x v="26"/>
    <x v="0"/>
    <x v="291"/>
    <x v="12"/>
    <x v="46"/>
  </r>
  <r>
    <s v="SUPER"/>
    <s v="HO"/>
    <s v="04/09/2025"/>
    <s v="01/08/2025-31/08/2025"/>
    <x v="47"/>
    <x v="47"/>
    <x v="14"/>
    <x v="0"/>
    <x v="3"/>
    <x v="297"/>
    <x v="297"/>
    <x v="1"/>
    <x v="1"/>
    <x v="3"/>
    <x v="26"/>
    <x v="1"/>
    <x v="291"/>
    <x v="12"/>
    <x v="46"/>
  </r>
  <r>
    <s v="SUPER"/>
    <s v="HO"/>
    <s v="04/09/2025"/>
    <s v="01/08/2025-31/08/2025"/>
    <x v="6"/>
    <x v="6"/>
    <x v="5"/>
    <x v="0"/>
    <x v="2"/>
    <x v="298"/>
    <x v="298"/>
    <x v="3"/>
    <x v="3"/>
    <x v="8"/>
    <x v="1"/>
    <x v="0"/>
    <x v="292"/>
    <x v="3"/>
    <x v="5"/>
  </r>
  <r>
    <s v="SUPER"/>
    <s v="HO"/>
    <s v="04/09/2025"/>
    <s v="01/08/2025-31/08/2025"/>
    <x v="6"/>
    <x v="6"/>
    <x v="5"/>
    <x v="0"/>
    <x v="2"/>
    <x v="299"/>
    <x v="299"/>
    <x v="3"/>
    <x v="3"/>
    <x v="8"/>
    <x v="1"/>
    <x v="1"/>
    <x v="292"/>
    <x v="3"/>
    <x v="5"/>
  </r>
  <r>
    <s v="SUPER"/>
    <s v="HO"/>
    <s v="04/09/2025"/>
    <s v="01/08/2025-31/08/2025"/>
    <x v="6"/>
    <x v="6"/>
    <x v="5"/>
    <x v="0"/>
    <x v="2"/>
    <x v="299"/>
    <x v="299"/>
    <x v="3"/>
    <x v="3"/>
    <x v="8"/>
    <x v="1"/>
    <x v="2"/>
    <x v="292"/>
    <x v="3"/>
    <x v="5"/>
  </r>
  <r>
    <s v="SUPER"/>
    <s v="HO"/>
    <s v="04/09/2025"/>
    <s v="01/08/2025-31/08/2025"/>
    <x v="6"/>
    <x v="6"/>
    <x v="5"/>
    <x v="0"/>
    <x v="2"/>
    <x v="300"/>
    <x v="300"/>
    <x v="3"/>
    <x v="3"/>
    <x v="8"/>
    <x v="1"/>
    <x v="0"/>
    <x v="293"/>
    <x v="3"/>
    <x v="5"/>
  </r>
  <r>
    <s v="SUPER"/>
    <s v="HO"/>
    <s v="04/09/2025"/>
    <s v="01/08/2025-31/08/2025"/>
    <x v="6"/>
    <x v="6"/>
    <x v="5"/>
    <x v="0"/>
    <x v="2"/>
    <x v="301"/>
    <x v="301"/>
    <x v="3"/>
    <x v="3"/>
    <x v="8"/>
    <x v="1"/>
    <x v="1"/>
    <x v="293"/>
    <x v="3"/>
    <x v="5"/>
  </r>
  <r>
    <s v="SUPER"/>
    <s v="HO"/>
    <s v="04/09/2025"/>
    <s v="01/08/2025-31/08/2025"/>
    <x v="6"/>
    <x v="6"/>
    <x v="5"/>
    <x v="0"/>
    <x v="2"/>
    <x v="301"/>
    <x v="301"/>
    <x v="3"/>
    <x v="3"/>
    <x v="8"/>
    <x v="1"/>
    <x v="2"/>
    <x v="293"/>
    <x v="3"/>
    <x v="5"/>
  </r>
  <r>
    <s v="SUPER"/>
    <s v="HO"/>
    <s v="04/09/2025"/>
    <s v="01/08/2025-31/08/2025"/>
    <x v="6"/>
    <x v="6"/>
    <x v="5"/>
    <x v="0"/>
    <x v="2"/>
    <x v="298"/>
    <x v="298"/>
    <x v="3"/>
    <x v="3"/>
    <x v="8"/>
    <x v="1"/>
    <x v="0"/>
    <x v="294"/>
    <x v="3"/>
    <x v="5"/>
  </r>
  <r>
    <s v="SUPER"/>
    <s v="HO"/>
    <s v="04/09/2025"/>
    <s v="01/08/2025-31/08/2025"/>
    <x v="6"/>
    <x v="6"/>
    <x v="5"/>
    <x v="0"/>
    <x v="2"/>
    <x v="299"/>
    <x v="299"/>
    <x v="3"/>
    <x v="3"/>
    <x v="8"/>
    <x v="1"/>
    <x v="1"/>
    <x v="294"/>
    <x v="3"/>
    <x v="5"/>
  </r>
  <r>
    <s v="SUPER"/>
    <s v="HO"/>
    <s v="04/09/2025"/>
    <s v="01/08/2025-31/08/2025"/>
    <x v="6"/>
    <x v="6"/>
    <x v="5"/>
    <x v="0"/>
    <x v="2"/>
    <x v="299"/>
    <x v="299"/>
    <x v="3"/>
    <x v="3"/>
    <x v="8"/>
    <x v="1"/>
    <x v="2"/>
    <x v="294"/>
    <x v="3"/>
    <x v="5"/>
  </r>
  <r>
    <s v="SUPER"/>
    <s v="HO"/>
    <s v="04/09/2025"/>
    <s v="01/08/2025-31/08/2025"/>
    <x v="59"/>
    <x v="59"/>
    <x v="16"/>
    <x v="0"/>
    <x v="1"/>
    <x v="51"/>
    <x v="51"/>
    <x v="49"/>
    <x v="49"/>
    <x v="10"/>
    <x v="2"/>
    <x v="0"/>
    <x v="295"/>
    <x v="4"/>
    <x v="58"/>
  </r>
  <r>
    <s v="SUPER"/>
    <s v="HO"/>
    <s v="04/09/2025"/>
    <s v="01/08/2025-31/08/2025"/>
    <x v="59"/>
    <x v="59"/>
    <x v="16"/>
    <x v="0"/>
    <x v="1"/>
    <x v="125"/>
    <x v="125"/>
    <x v="49"/>
    <x v="49"/>
    <x v="10"/>
    <x v="2"/>
    <x v="1"/>
    <x v="295"/>
    <x v="4"/>
    <x v="58"/>
  </r>
  <r>
    <s v="SUPER"/>
    <s v="HO"/>
    <s v="04/09/2025"/>
    <s v="01/08/2025-31/08/2025"/>
    <x v="76"/>
    <x v="76"/>
    <x v="14"/>
    <x v="0"/>
    <x v="3"/>
    <x v="211"/>
    <x v="211"/>
    <x v="1"/>
    <x v="1"/>
    <x v="7"/>
    <x v="5"/>
    <x v="0"/>
    <x v="296"/>
    <x v="3"/>
    <x v="75"/>
  </r>
  <r>
    <s v="SUPER"/>
    <s v="HO"/>
    <s v="04/09/2025"/>
    <s v="01/08/2025-31/08/2025"/>
    <x v="73"/>
    <x v="73"/>
    <x v="9"/>
    <x v="0"/>
    <x v="3"/>
    <x v="121"/>
    <x v="121"/>
    <x v="64"/>
    <x v="64"/>
    <x v="10"/>
    <x v="2"/>
    <x v="0"/>
    <x v="297"/>
    <x v="11"/>
    <x v="72"/>
  </r>
  <r>
    <s v="SUPER"/>
    <s v="HO"/>
    <s v="04/09/2025"/>
    <s v="01/08/2025-31/08/2025"/>
    <x v="50"/>
    <x v="50"/>
    <x v="8"/>
    <x v="0"/>
    <x v="3"/>
    <x v="302"/>
    <x v="302"/>
    <x v="48"/>
    <x v="48"/>
    <x v="28"/>
    <x v="16"/>
    <x v="0"/>
    <x v="298"/>
    <x v="9"/>
    <x v="49"/>
  </r>
  <r>
    <s v="SUPER"/>
    <s v="HO"/>
    <s v="04/09/2025"/>
    <s v="01/08/2025-31/08/2025"/>
    <x v="50"/>
    <x v="50"/>
    <x v="8"/>
    <x v="0"/>
    <x v="3"/>
    <x v="80"/>
    <x v="80"/>
    <x v="48"/>
    <x v="48"/>
    <x v="28"/>
    <x v="16"/>
    <x v="1"/>
    <x v="298"/>
    <x v="9"/>
    <x v="49"/>
  </r>
  <r>
    <s v="SUPER"/>
    <s v="HO"/>
    <s v="04/09/2025"/>
    <s v="01/08/2025-31/08/2025"/>
    <x v="50"/>
    <x v="50"/>
    <x v="8"/>
    <x v="0"/>
    <x v="3"/>
    <x v="303"/>
    <x v="303"/>
    <x v="48"/>
    <x v="48"/>
    <x v="28"/>
    <x v="16"/>
    <x v="2"/>
    <x v="298"/>
    <x v="9"/>
    <x v="49"/>
  </r>
  <r>
    <s v="SUPER"/>
    <s v="HO"/>
    <s v="04/09/2025"/>
    <s v="01/08/2025-31/08/2025"/>
    <x v="17"/>
    <x v="17"/>
    <x v="9"/>
    <x v="0"/>
    <x v="3"/>
    <x v="234"/>
    <x v="234"/>
    <x v="57"/>
    <x v="57"/>
    <x v="8"/>
    <x v="1"/>
    <x v="0"/>
    <x v="299"/>
    <x v="11"/>
    <x v="16"/>
  </r>
  <r>
    <s v="SUPER"/>
    <s v="HO"/>
    <s v="04/09/2025"/>
    <s v="01/08/2025-31/08/2025"/>
    <x v="17"/>
    <x v="17"/>
    <x v="9"/>
    <x v="0"/>
    <x v="3"/>
    <x v="233"/>
    <x v="233"/>
    <x v="57"/>
    <x v="57"/>
    <x v="8"/>
    <x v="1"/>
    <x v="1"/>
    <x v="299"/>
    <x v="11"/>
    <x v="16"/>
  </r>
  <r>
    <s v="SUPER"/>
    <s v="HO"/>
    <s v="04/09/2025"/>
    <s v="01/08/2025-31/08/2025"/>
    <x v="17"/>
    <x v="17"/>
    <x v="9"/>
    <x v="0"/>
    <x v="3"/>
    <x v="59"/>
    <x v="59"/>
    <x v="57"/>
    <x v="57"/>
    <x v="8"/>
    <x v="1"/>
    <x v="2"/>
    <x v="299"/>
    <x v="11"/>
    <x v="16"/>
  </r>
  <r>
    <s v="SUPER"/>
    <s v="HO"/>
    <s v="04/09/2025"/>
    <s v="01/08/2025-31/08/2025"/>
    <x v="111"/>
    <x v="111"/>
    <x v="13"/>
    <x v="0"/>
    <x v="4"/>
    <x v="304"/>
    <x v="304"/>
    <x v="113"/>
    <x v="113"/>
    <x v="30"/>
    <x v="20"/>
    <x v="0"/>
    <x v="300"/>
    <x v="8"/>
    <x v="110"/>
  </r>
  <r>
    <s v="SUPER"/>
    <s v="HO"/>
    <s v="04/09/2025"/>
    <s v="01/08/2025-31/08/2025"/>
    <x v="96"/>
    <x v="96"/>
    <x v="14"/>
    <x v="0"/>
    <x v="3"/>
    <x v="113"/>
    <x v="113"/>
    <x v="1"/>
    <x v="1"/>
    <x v="5"/>
    <x v="28"/>
    <x v="0"/>
    <x v="301"/>
    <x v="1"/>
    <x v="95"/>
  </r>
  <r>
    <s v="SUPER"/>
    <s v="HO"/>
    <s v="04/09/2025"/>
    <s v="01/08/2025-31/08/2025"/>
    <x v="96"/>
    <x v="96"/>
    <x v="14"/>
    <x v="0"/>
    <x v="3"/>
    <x v="64"/>
    <x v="64"/>
    <x v="1"/>
    <x v="1"/>
    <x v="5"/>
    <x v="28"/>
    <x v="1"/>
    <x v="301"/>
    <x v="1"/>
    <x v="95"/>
  </r>
  <r>
    <s v="SUPER"/>
    <s v="HO"/>
    <s v="04/09/2025"/>
    <s v="01/08/2025-31/08/2025"/>
    <x v="96"/>
    <x v="96"/>
    <x v="14"/>
    <x v="0"/>
    <x v="3"/>
    <x v="64"/>
    <x v="64"/>
    <x v="1"/>
    <x v="1"/>
    <x v="5"/>
    <x v="28"/>
    <x v="2"/>
    <x v="301"/>
    <x v="1"/>
    <x v="95"/>
  </r>
  <r>
    <s v="SUPER"/>
    <s v="HO"/>
    <s v="04/09/2025"/>
    <s v="01/08/2025-31/08/2025"/>
    <x v="60"/>
    <x v="60"/>
    <x v="21"/>
    <x v="0"/>
    <x v="2"/>
    <x v="22"/>
    <x v="22"/>
    <x v="1"/>
    <x v="1"/>
    <x v="7"/>
    <x v="5"/>
    <x v="0"/>
    <x v="302"/>
    <x v="3"/>
    <x v="59"/>
  </r>
  <r>
    <s v="SUPER"/>
    <s v="HO"/>
    <s v="04/09/2025"/>
    <s v="01/08/2025-31/08/2025"/>
    <x v="94"/>
    <x v="94"/>
    <x v="6"/>
    <x v="0"/>
    <x v="0"/>
    <x v="53"/>
    <x v="53"/>
    <x v="68"/>
    <x v="68"/>
    <x v="24"/>
    <x v="17"/>
    <x v="0"/>
    <x v="303"/>
    <x v="26"/>
    <x v="93"/>
  </r>
  <r>
    <s v="SUPER"/>
    <s v="HO"/>
    <s v="04/09/2025"/>
    <s v="01/08/2025-31/08/2025"/>
    <x v="94"/>
    <x v="94"/>
    <x v="6"/>
    <x v="0"/>
    <x v="0"/>
    <x v="53"/>
    <x v="53"/>
    <x v="68"/>
    <x v="68"/>
    <x v="24"/>
    <x v="17"/>
    <x v="1"/>
    <x v="303"/>
    <x v="26"/>
    <x v="93"/>
  </r>
  <r>
    <s v="SUPER"/>
    <s v="HO"/>
    <s v="04/09/2025"/>
    <s v="01/08/2025-31/08/2025"/>
    <x v="94"/>
    <x v="94"/>
    <x v="6"/>
    <x v="0"/>
    <x v="0"/>
    <x v="53"/>
    <x v="53"/>
    <x v="68"/>
    <x v="68"/>
    <x v="24"/>
    <x v="17"/>
    <x v="2"/>
    <x v="303"/>
    <x v="26"/>
    <x v="93"/>
  </r>
  <r>
    <s v="SUPER"/>
    <s v="HO"/>
    <s v="04/09/2025"/>
    <s v="01/08/2025-31/08/2025"/>
    <x v="94"/>
    <x v="94"/>
    <x v="6"/>
    <x v="0"/>
    <x v="0"/>
    <x v="53"/>
    <x v="53"/>
    <x v="68"/>
    <x v="68"/>
    <x v="24"/>
    <x v="17"/>
    <x v="3"/>
    <x v="303"/>
    <x v="26"/>
    <x v="93"/>
  </r>
  <r>
    <s v="SUPER"/>
    <s v="HO"/>
    <s v="04/09/2025"/>
    <s v="01/08/2025-31/08/2025"/>
    <x v="94"/>
    <x v="94"/>
    <x v="6"/>
    <x v="0"/>
    <x v="0"/>
    <x v="53"/>
    <x v="53"/>
    <x v="68"/>
    <x v="68"/>
    <x v="24"/>
    <x v="17"/>
    <x v="4"/>
    <x v="303"/>
    <x v="26"/>
    <x v="93"/>
  </r>
  <r>
    <s v="SUPER"/>
    <s v="HO"/>
    <s v="04/09/2025"/>
    <s v="01/08/2025-31/08/2025"/>
    <x v="1"/>
    <x v="1"/>
    <x v="1"/>
    <x v="0"/>
    <x v="0"/>
    <x v="153"/>
    <x v="153"/>
    <x v="114"/>
    <x v="114"/>
    <x v="24"/>
    <x v="17"/>
    <x v="0"/>
    <x v="304"/>
    <x v="26"/>
    <x v="1"/>
  </r>
  <r>
    <s v="SUPER"/>
    <s v="HO"/>
    <s v="04/09/2025"/>
    <s v="01/08/2025-31/08/2025"/>
    <x v="1"/>
    <x v="1"/>
    <x v="1"/>
    <x v="0"/>
    <x v="0"/>
    <x v="305"/>
    <x v="305"/>
    <x v="114"/>
    <x v="114"/>
    <x v="24"/>
    <x v="17"/>
    <x v="1"/>
    <x v="304"/>
    <x v="26"/>
    <x v="1"/>
  </r>
  <r>
    <s v="SUPER"/>
    <s v="HO"/>
    <s v="04/09/2025"/>
    <s v="01/08/2025-31/08/2025"/>
    <x v="1"/>
    <x v="1"/>
    <x v="1"/>
    <x v="0"/>
    <x v="0"/>
    <x v="306"/>
    <x v="306"/>
    <x v="114"/>
    <x v="114"/>
    <x v="24"/>
    <x v="17"/>
    <x v="2"/>
    <x v="304"/>
    <x v="26"/>
    <x v="1"/>
  </r>
  <r>
    <s v="SUPER"/>
    <s v="HO"/>
    <s v="04/09/2025"/>
    <s v="01/08/2025-31/08/2025"/>
    <x v="1"/>
    <x v="1"/>
    <x v="1"/>
    <x v="0"/>
    <x v="0"/>
    <x v="306"/>
    <x v="306"/>
    <x v="114"/>
    <x v="114"/>
    <x v="24"/>
    <x v="17"/>
    <x v="3"/>
    <x v="304"/>
    <x v="26"/>
    <x v="1"/>
  </r>
  <r>
    <s v="SUPER"/>
    <s v="HO"/>
    <s v="04/09/2025"/>
    <s v="01/08/2025-31/08/2025"/>
    <x v="1"/>
    <x v="1"/>
    <x v="1"/>
    <x v="0"/>
    <x v="0"/>
    <x v="305"/>
    <x v="305"/>
    <x v="114"/>
    <x v="114"/>
    <x v="24"/>
    <x v="17"/>
    <x v="4"/>
    <x v="304"/>
    <x v="26"/>
    <x v="1"/>
  </r>
  <r>
    <s v="SUPER"/>
    <s v="HO"/>
    <s v="04/09/2025"/>
    <s v="01/08/2025-31/08/2025"/>
    <x v="1"/>
    <x v="1"/>
    <x v="1"/>
    <x v="0"/>
    <x v="0"/>
    <x v="307"/>
    <x v="307"/>
    <x v="114"/>
    <x v="114"/>
    <x v="24"/>
    <x v="17"/>
    <x v="5"/>
    <x v="304"/>
    <x v="26"/>
    <x v="1"/>
  </r>
  <r>
    <s v="SUPER"/>
    <s v="HO"/>
    <s v="04/09/2025"/>
    <s v="01/08/2025-31/08/2025"/>
    <x v="1"/>
    <x v="1"/>
    <x v="1"/>
    <x v="0"/>
    <x v="0"/>
    <x v="307"/>
    <x v="307"/>
    <x v="114"/>
    <x v="114"/>
    <x v="24"/>
    <x v="17"/>
    <x v="6"/>
    <x v="304"/>
    <x v="26"/>
    <x v="1"/>
  </r>
  <r>
    <s v="SUPER"/>
    <s v="HO"/>
    <s v="04/09/2025"/>
    <s v="01/08/2025-31/08/2025"/>
    <x v="1"/>
    <x v="1"/>
    <x v="1"/>
    <x v="0"/>
    <x v="0"/>
    <x v="308"/>
    <x v="308"/>
    <x v="114"/>
    <x v="114"/>
    <x v="24"/>
    <x v="17"/>
    <x v="7"/>
    <x v="304"/>
    <x v="26"/>
    <x v="1"/>
  </r>
  <r>
    <s v="SUPER"/>
    <s v="HO"/>
    <s v="04/09/2025"/>
    <s v="01/08/2025-31/08/2025"/>
    <x v="1"/>
    <x v="1"/>
    <x v="1"/>
    <x v="0"/>
    <x v="0"/>
    <x v="308"/>
    <x v="308"/>
    <x v="114"/>
    <x v="114"/>
    <x v="24"/>
    <x v="17"/>
    <x v="8"/>
    <x v="304"/>
    <x v="26"/>
    <x v="1"/>
  </r>
  <r>
    <s v="SUPER"/>
    <s v="HO"/>
    <s v="04/09/2025"/>
    <s v="01/08/2025-31/08/2025"/>
    <x v="1"/>
    <x v="1"/>
    <x v="1"/>
    <x v="0"/>
    <x v="0"/>
    <x v="309"/>
    <x v="309"/>
    <x v="114"/>
    <x v="114"/>
    <x v="24"/>
    <x v="17"/>
    <x v="9"/>
    <x v="304"/>
    <x v="26"/>
    <x v="1"/>
  </r>
  <r>
    <s v="SUPER"/>
    <s v="HO"/>
    <s v="04/09/2025"/>
    <s v="01/08/2025-31/08/2025"/>
    <x v="89"/>
    <x v="89"/>
    <x v="21"/>
    <x v="0"/>
    <x v="2"/>
    <x v="161"/>
    <x v="161"/>
    <x v="83"/>
    <x v="83"/>
    <x v="5"/>
    <x v="21"/>
    <x v="0"/>
    <x v="305"/>
    <x v="4"/>
    <x v="88"/>
  </r>
  <r>
    <s v="SUPER"/>
    <s v="HO"/>
    <s v="04/09/2025"/>
    <s v="01/08/2025-31/08/2025"/>
    <x v="1"/>
    <x v="1"/>
    <x v="1"/>
    <x v="0"/>
    <x v="0"/>
    <x v="23"/>
    <x v="23"/>
    <x v="114"/>
    <x v="114"/>
    <x v="24"/>
    <x v="17"/>
    <x v="0"/>
    <x v="305"/>
    <x v="4"/>
    <x v="1"/>
  </r>
  <r>
    <s v="SUPER"/>
    <s v="HO"/>
    <s v="04/09/2025"/>
    <s v="01/08/2025-31/08/2025"/>
    <x v="1"/>
    <x v="1"/>
    <x v="1"/>
    <x v="0"/>
    <x v="0"/>
    <x v="23"/>
    <x v="23"/>
    <x v="114"/>
    <x v="114"/>
    <x v="24"/>
    <x v="17"/>
    <x v="1"/>
    <x v="305"/>
    <x v="4"/>
    <x v="1"/>
  </r>
  <r>
    <s v="SUPER"/>
    <s v="HO"/>
    <s v="04/09/2025"/>
    <s v="01/08/2025-31/08/2025"/>
    <x v="1"/>
    <x v="1"/>
    <x v="1"/>
    <x v="0"/>
    <x v="0"/>
    <x v="23"/>
    <x v="23"/>
    <x v="114"/>
    <x v="114"/>
    <x v="24"/>
    <x v="17"/>
    <x v="2"/>
    <x v="305"/>
    <x v="4"/>
    <x v="1"/>
  </r>
  <r>
    <s v="SUPER"/>
    <s v="HO"/>
    <s v="04/09/2025"/>
    <s v="01/08/2025-31/08/2025"/>
    <x v="1"/>
    <x v="1"/>
    <x v="1"/>
    <x v="0"/>
    <x v="0"/>
    <x v="23"/>
    <x v="23"/>
    <x v="114"/>
    <x v="114"/>
    <x v="24"/>
    <x v="17"/>
    <x v="3"/>
    <x v="305"/>
    <x v="4"/>
    <x v="1"/>
  </r>
  <r>
    <s v="SUPER"/>
    <s v="HO"/>
    <s v="04/09/2025"/>
    <s v="01/08/2025-31/08/2025"/>
    <x v="8"/>
    <x v="8"/>
    <x v="7"/>
    <x v="0"/>
    <x v="1"/>
    <x v="8"/>
    <x v="8"/>
    <x v="1"/>
    <x v="1"/>
    <x v="5"/>
    <x v="21"/>
    <x v="0"/>
    <x v="306"/>
    <x v="1"/>
    <x v="7"/>
  </r>
  <r>
    <s v="SUPER"/>
    <s v="HO"/>
    <s v="04/09/2025"/>
    <s v="01/08/2025-31/08/2025"/>
    <x v="60"/>
    <x v="60"/>
    <x v="21"/>
    <x v="0"/>
    <x v="2"/>
    <x v="111"/>
    <x v="111"/>
    <x v="1"/>
    <x v="1"/>
    <x v="10"/>
    <x v="3"/>
    <x v="0"/>
    <x v="307"/>
    <x v="11"/>
    <x v="59"/>
  </r>
  <r>
    <s v="SUPER"/>
    <s v="HO"/>
    <s v="04/09/2025"/>
    <s v="01/08/2025-31/08/2025"/>
    <x v="60"/>
    <x v="60"/>
    <x v="21"/>
    <x v="0"/>
    <x v="2"/>
    <x v="243"/>
    <x v="243"/>
    <x v="1"/>
    <x v="1"/>
    <x v="10"/>
    <x v="3"/>
    <x v="1"/>
    <x v="307"/>
    <x v="11"/>
    <x v="59"/>
  </r>
  <r>
    <s v="SUPER"/>
    <s v="HO"/>
    <s v="04/09/2025"/>
    <s v="01/08/2025-31/08/2025"/>
    <x v="60"/>
    <x v="60"/>
    <x v="21"/>
    <x v="0"/>
    <x v="2"/>
    <x v="8"/>
    <x v="8"/>
    <x v="1"/>
    <x v="1"/>
    <x v="10"/>
    <x v="3"/>
    <x v="2"/>
    <x v="307"/>
    <x v="11"/>
    <x v="59"/>
  </r>
  <r>
    <s v="SUPER"/>
    <s v="HO"/>
    <s v="04/09/2025"/>
    <s v="01/08/2025-31/08/2025"/>
    <x v="60"/>
    <x v="60"/>
    <x v="21"/>
    <x v="0"/>
    <x v="2"/>
    <x v="100"/>
    <x v="100"/>
    <x v="1"/>
    <x v="1"/>
    <x v="10"/>
    <x v="3"/>
    <x v="3"/>
    <x v="307"/>
    <x v="11"/>
    <x v="59"/>
  </r>
  <r>
    <s v="SUPER"/>
    <s v="HO"/>
    <s v="04/09/2025"/>
    <s v="01/08/2025-31/08/2025"/>
    <x v="60"/>
    <x v="60"/>
    <x v="21"/>
    <x v="0"/>
    <x v="2"/>
    <x v="101"/>
    <x v="101"/>
    <x v="1"/>
    <x v="1"/>
    <x v="10"/>
    <x v="3"/>
    <x v="4"/>
    <x v="307"/>
    <x v="11"/>
    <x v="59"/>
  </r>
  <r>
    <s v="SUPER"/>
    <s v="HO"/>
    <s v="04/09/2025"/>
    <s v="01/08/2025-31/08/2025"/>
    <x v="35"/>
    <x v="35"/>
    <x v="6"/>
    <x v="0"/>
    <x v="0"/>
    <x v="2"/>
    <x v="2"/>
    <x v="115"/>
    <x v="115"/>
    <x v="5"/>
    <x v="21"/>
    <x v="0"/>
    <x v="308"/>
    <x v="4"/>
    <x v="34"/>
  </r>
  <r>
    <s v="SUPER"/>
    <s v="HO"/>
    <s v="04/09/2025"/>
    <s v="01/08/2025-31/08/2025"/>
    <x v="35"/>
    <x v="35"/>
    <x v="6"/>
    <x v="0"/>
    <x v="0"/>
    <x v="31"/>
    <x v="31"/>
    <x v="115"/>
    <x v="115"/>
    <x v="5"/>
    <x v="21"/>
    <x v="1"/>
    <x v="308"/>
    <x v="4"/>
    <x v="34"/>
  </r>
  <r>
    <s v="SUPER"/>
    <s v="HO"/>
    <s v="04/09/2025"/>
    <s v="01/08/2025-31/08/2025"/>
    <x v="112"/>
    <x v="112"/>
    <x v="1"/>
    <x v="0"/>
    <x v="0"/>
    <x v="161"/>
    <x v="161"/>
    <x v="99"/>
    <x v="99"/>
    <x v="5"/>
    <x v="21"/>
    <x v="0"/>
    <x v="309"/>
    <x v="1"/>
    <x v="111"/>
  </r>
  <r>
    <s v="SUPER"/>
    <s v="HO"/>
    <s v="04/09/2025"/>
    <s v="01/08/2025-31/08/2025"/>
    <x v="112"/>
    <x v="112"/>
    <x v="1"/>
    <x v="0"/>
    <x v="0"/>
    <x v="2"/>
    <x v="2"/>
    <x v="99"/>
    <x v="99"/>
    <x v="5"/>
    <x v="21"/>
    <x v="1"/>
    <x v="309"/>
    <x v="1"/>
    <x v="111"/>
  </r>
  <r>
    <s v="SUPER"/>
    <s v="HO"/>
    <s v="04/09/2025"/>
    <s v="01/08/2025-31/08/2025"/>
    <x v="112"/>
    <x v="112"/>
    <x v="1"/>
    <x v="0"/>
    <x v="0"/>
    <x v="70"/>
    <x v="70"/>
    <x v="99"/>
    <x v="99"/>
    <x v="5"/>
    <x v="21"/>
    <x v="2"/>
    <x v="309"/>
    <x v="1"/>
    <x v="111"/>
  </r>
  <r>
    <s v="SUPER"/>
    <s v="HO"/>
    <s v="04/09/2025"/>
    <s v="01/08/2025-31/08/2025"/>
    <x v="112"/>
    <x v="112"/>
    <x v="1"/>
    <x v="0"/>
    <x v="0"/>
    <x v="29"/>
    <x v="29"/>
    <x v="99"/>
    <x v="99"/>
    <x v="5"/>
    <x v="21"/>
    <x v="3"/>
    <x v="309"/>
    <x v="1"/>
    <x v="111"/>
  </r>
  <r>
    <s v="SUPER"/>
    <s v="HO"/>
    <s v="04/09/2025"/>
    <s v="01/08/2025-31/08/2025"/>
    <x v="112"/>
    <x v="112"/>
    <x v="1"/>
    <x v="0"/>
    <x v="0"/>
    <x v="2"/>
    <x v="2"/>
    <x v="99"/>
    <x v="99"/>
    <x v="5"/>
    <x v="21"/>
    <x v="4"/>
    <x v="309"/>
    <x v="1"/>
    <x v="111"/>
  </r>
  <r>
    <s v="SUPER"/>
    <s v="HO"/>
    <s v="04/09/2025"/>
    <s v="01/08/2025-31/08/2025"/>
    <x v="112"/>
    <x v="112"/>
    <x v="1"/>
    <x v="0"/>
    <x v="0"/>
    <x v="161"/>
    <x v="161"/>
    <x v="99"/>
    <x v="99"/>
    <x v="5"/>
    <x v="21"/>
    <x v="5"/>
    <x v="309"/>
    <x v="1"/>
    <x v="111"/>
  </r>
  <r>
    <s v="SUPER"/>
    <s v="HO"/>
    <s v="04/09/2025"/>
    <s v="01/08/2025-31/08/2025"/>
    <x v="19"/>
    <x v="19"/>
    <x v="6"/>
    <x v="0"/>
    <x v="0"/>
    <x v="30"/>
    <x v="30"/>
    <x v="17"/>
    <x v="17"/>
    <x v="8"/>
    <x v="1"/>
    <x v="0"/>
    <x v="310"/>
    <x v="4"/>
    <x v="18"/>
  </r>
  <r>
    <s v="SUPER"/>
    <s v="HO"/>
    <s v="04/09/2025"/>
    <s v="01/08/2025-31/08/2025"/>
    <x v="39"/>
    <x v="39"/>
    <x v="18"/>
    <x v="0"/>
    <x v="3"/>
    <x v="5"/>
    <x v="5"/>
    <x v="1"/>
    <x v="1"/>
    <x v="9"/>
    <x v="4"/>
    <x v="0"/>
    <x v="311"/>
    <x v="3"/>
    <x v="38"/>
  </r>
  <r>
    <s v="SUPER"/>
    <s v="HO"/>
    <s v="04/09/2025"/>
    <s v="01/08/2025-31/08/2025"/>
    <x v="39"/>
    <x v="39"/>
    <x v="18"/>
    <x v="0"/>
    <x v="3"/>
    <x v="100"/>
    <x v="100"/>
    <x v="1"/>
    <x v="1"/>
    <x v="9"/>
    <x v="4"/>
    <x v="1"/>
    <x v="311"/>
    <x v="3"/>
    <x v="38"/>
  </r>
  <r>
    <s v="SUPER"/>
    <s v="HO"/>
    <s v="04/09/2025"/>
    <s v="01/08/2025-31/08/2025"/>
    <x v="101"/>
    <x v="101"/>
    <x v="17"/>
    <x v="0"/>
    <x v="3"/>
    <x v="310"/>
    <x v="310"/>
    <x v="107"/>
    <x v="107"/>
    <x v="9"/>
    <x v="4"/>
    <x v="0"/>
    <x v="312"/>
    <x v="3"/>
    <x v="100"/>
  </r>
  <r>
    <s v="SUPER"/>
    <s v="HO"/>
    <s v="04/09/2025"/>
    <s v="01/08/2025-31/08/2025"/>
    <x v="113"/>
    <x v="113"/>
    <x v="13"/>
    <x v="0"/>
    <x v="4"/>
    <x v="237"/>
    <x v="237"/>
    <x v="1"/>
    <x v="1"/>
    <x v="15"/>
    <x v="2"/>
    <x v="0"/>
    <x v="313"/>
    <x v="11"/>
    <x v="112"/>
  </r>
  <r>
    <s v="SUPER"/>
    <s v="HO"/>
    <s v="04/09/2025"/>
    <s v="01/08/2025-31/08/2025"/>
    <x v="114"/>
    <x v="114"/>
    <x v="13"/>
    <x v="0"/>
    <x v="4"/>
    <x v="6"/>
    <x v="6"/>
    <x v="116"/>
    <x v="116"/>
    <x v="6"/>
    <x v="0"/>
    <x v="0"/>
    <x v="314"/>
    <x v="3"/>
    <x v="113"/>
  </r>
  <r>
    <s v="SUPER"/>
    <s v="HO"/>
    <s v="04/09/2025"/>
    <s v="01/08/2025-31/08/2025"/>
    <x v="66"/>
    <x v="66"/>
    <x v="14"/>
    <x v="0"/>
    <x v="3"/>
    <x v="311"/>
    <x v="311"/>
    <x v="35"/>
    <x v="35"/>
    <x v="10"/>
    <x v="3"/>
    <x v="0"/>
    <x v="315"/>
    <x v="4"/>
    <x v="65"/>
  </r>
  <r>
    <s v="SUPER"/>
    <s v="HO"/>
    <s v="04/09/2025"/>
    <s v="01/08/2025-31/08/2025"/>
    <x v="66"/>
    <x v="66"/>
    <x v="14"/>
    <x v="0"/>
    <x v="3"/>
    <x v="34"/>
    <x v="34"/>
    <x v="35"/>
    <x v="35"/>
    <x v="10"/>
    <x v="3"/>
    <x v="1"/>
    <x v="315"/>
    <x v="4"/>
    <x v="65"/>
  </r>
  <r>
    <s v="SUPER"/>
    <s v="HO"/>
    <s v="04/09/2025"/>
    <s v="01/08/2025-31/08/2025"/>
    <x v="66"/>
    <x v="66"/>
    <x v="14"/>
    <x v="0"/>
    <x v="3"/>
    <x v="312"/>
    <x v="312"/>
    <x v="35"/>
    <x v="35"/>
    <x v="10"/>
    <x v="3"/>
    <x v="2"/>
    <x v="315"/>
    <x v="4"/>
    <x v="65"/>
  </r>
  <r>
    <s v="SUPER"/>
    <s v="HO"/>
    <s v="04/09/2025"/>
    <s v="01/08/2025-31/08/2025"/>
    <x v="115"/>
    <x v="115"/>
    <x v="19"/>
    <x v="0"/>
    <x v="1"/>
    <x v="48"/>
    <x v="48"/>
    <x v="117"/>
    <x v="117"/>
    <x v="15"/>
    <x v="2"/>
    <x v="0"/>
    <x v="316"/>
    <x v="11"/>
    <x v="114"/>
  </r>
  <r>
    <s v="SUPER"/>
    <s v="HO"/>
    <s v="04/09/2025"/>
    <s v="01/08/2025-31/08/2025"/>
    <x v="115"/>
    <x v="115"/>
    <x v="19"/>
    <x v="0"/>
    <x v="1"/>
    <x v="228"/>
    <x v="228"/>
    <x v="117"/>
    <x v="117"/>
    <x v="15"/>
    <x v="2"/>
    <x v="1"/>
    <x v="316"/>
    <x v="11"/>
    <x v="114"/>
  </r>
  <r>
    <s v="SUPER"/>
    <s v="HO"/>
    <s v="04/09/2025"/>
    <s v="01/08/2025-31/08/2025"/>
    <x v="31"/>
    <x v="31"/>
    <x v="17"/>
    <x v="0"/>
    <x v="3"/>
    <x v="313"/>
    <x v="313"/>
    <x v="1"/>
    <x v="1"/>
    <x v="15"/>
    <x v="2"/>
    <x v="0"/>
    <x v="317"/>
    <x v="11"/>
    <x v="30"/>
  </r>
  <r>
    <s v="SUPER"/>
    <s v="HO"/>
    <s v="04/09/2025"/>
    <s v="01/08/2025-31/08/2025"/>
    <x v="31"/>
    <x v="31"/>
    <x v="17"/>
    <x v="0"/>
    <x v="3"/>
    <x v="48"/>
    <x v="48"/>
    <x v="1"/>
    <x v="1"/>
    <x v="15"/>
    <x v="2"/>
    <x v="1"/>
    <x v="317"/>
    <x v="11"/>
    <x v="30"/>
  </r>
  <r>
    <s v="SUPER"/>
    <s v="HO"/>
    <s v="04/09/2025"/>
    <s v="01/08/2025-31/08/2025"/>
    <x v="16"/>
    <x v="16"/>
    <x v="12"/>
    <x v="0"/>
    <x v="3"/>
    <x v="86"/>
    <x v="86"/>
    <x v="1"/>
    <x v="1"/>
    <x v="5"/>
    <x v="21"/>
    <x v="0"/>
    <x v="318"/>
    <x v="10"/>
    <x v="15"/>
  </r>
  <r>
    <s v="SUPER"/>
    <s v="HO"/>
    <s v="04/09/2025"/>
    <s v="01/08/2025-31/08/2025"/>
    <x v="16"/>
    <x v="16"/>
    <x v="12"/>
    <x v="0"/>
    <x v="3"/>
    <x v="296"/>
    <x v="296"/>
    <x v="1"/>
    <x v="1"/>
    <x v="5"/>
    <x v="21"/>
    <x v="1"/>
    <x v="318"/>
    <x v="10"/>
    <x v="15"/>
  </r>
  <r>
    <s v="SUPER"/>
    <s v="HO"/>
    <s v="04/09/2025"/>
    <s v="01/08/2025-31/08/2025"/>
    <x v="116"/>
    <x v="116"/>
    <x v="25"/>
    <x v="0"/>
    <x v="2"/>
    <x v="314"/>
    <x v="314"/>
    <x v="118"/>
    <x v="118"/>
    <x v="15"/>
    <x v="2"/>
    <x v="0"/>
    <x v="319"/>
    <x v="10"/>
    <x v="115"/>
  </r>
  <r>
    <s v="SUPER"/>
    <s v="HO"/>
    <s v="04/09/2025"/>
    <s v="01/08/2025-31/08/2025"/>
    <x v="22"/>
    <x v="22"/>
    <x v="14"/>
    <x v="0"/>
    <x v="3"/>
    <x v="2"/>
    <x v="2"/>
    <x v="1"/>
    <x v="1"/>
    <x v="10"/>
    <x v="3"/>
    <x v="0"/>
    <x v="320"/>
    <x v="1"/>
    <x v="21"/>
  </r>
  <r>
    <s v="SUPER"/>
    <s v="HO"/>
    <s v="04/09/2025"/>
    <s v="01/08/2025-31/08/2025"/>
    <x v="50"/>
    <x v="50"/>
    <x v="8"/>
    <x v="0"/>
    <x v="3"/>
    <x v="315"/>
    <x v="315"/>
    <x v="41"/>
    <x v="41"/>
    <x v="5"/>
    <x v="21"/>
    <x v="0"/>
    <x v="321"/>
    <x v="4"/>
    <x v="49"/>
  </r>
  <r>
    <s v="SUPER"/>
    <s v="HO"/>
    <s v="04/09/2025"/>
    <s v="01/08/2025-31/08/2025"/>
    <x v="50"/>
    <x v="50"/>
    <x v="8"/>
    <x v="0"/>
    <x v="3"/>
    <x v="233"/>
    <x v="233"/>
    <x v="41"/>
    <x v="41"/>
    <x v="5"/>
    <x v="21"/>
    <x v="1"/>
    <x v="321"/>
    <x v="4"/>
    <x v="49"/>
  </r>
  <r>
    <s v="SUPER"/>
    <s v="HO"/>
    <s v="04/09/2025"/>
    <s v="01/08/2025-31/08/2025"/>
    <x v="50"/>
    <x v="50"/>
    <x v="8"/>
    <x v="0"/>
    <x v="3"/>
    <x v="234"/>
    <x v="234"/>
    <x v="41"/>
    <x v="41"/>
    <x v="5"/>
    <x v="21"/>
    <x v="2"/>
    <x v="321"/>
    <x v="4"/>
    <x v="49"/>
  </r>
  <r>
    <s v="SUPER"/>
    <s v="HO"/>
    <s v="04/09/2025"/>
    <s v="01/08/2025-31/08/2025"/>
    <x v="117"/>
    <x v="117"/>
    <x v="9"/>
    <x v="0"/>
    <x v="3"/>
    <x v="284"/>
    <x v="284"/>
    <x v="1"/>
    <x v="1"/>
    <x v="15"/>
    <x v="2"/>
    <x v="0"/>
    <x v="322"/>
    <x v="10"/>
    <x v="116"/>
  </r>
  <r>
    <s v="SUPER"/>
    <s v="HO"/>
    <s v="04/09/2025"/>
    <s v="01/08/2025-31/08/2025"/>
    <x v="53"/>
    <x v="53"/>
    <x v="11"/>
    <x v="0"/>
    <x v="3"/>
    <x v="41"/>
    <x v="41"/>
    <x v="1"/>
    <x v="1"/>
    <x v="5"/>
    <x v="0"/>
    <x v="0"/>
    <x v="323"/>
    <x v="25"/>
    <x v="52"/>
  </r>
  <r>
    <s v="SUPER"/>
    <s v="HO"/>
    <s v="04/09/2025"/>
    <s v="01/08/2025-31/08/2025"/>
    <x v="60"/>
    <x v="60"/>
    <x v="21"/>
    <x v="0"/>
    <x v="2"/>
    <x v="22"/>
    <x v="22"/>
    <x v="1"/>
    <x v="1"/>
    <x v="5"/>
    <x v="0"/>
    <x v="0"/>
    <x v="324"/>
    <x v="3"/>
    <x v="59"/>
  </r>
  <r>
    <s v="SUPER"/>
    <s v="HO"/>
    <s v="04/09/2025"/>
    <s v="01/08/2025-31/08/2025"/>
    <x v="117"/>
    <x v="117"/>
    <x v="9"/>
    <x v="0"/>
    <x v="3"/>
    <x v="31"/>
    <x v="31"/>
    <x v="1"/>
    <x v="1"/>
    <x v="15"/>
    <x v="2"/>
    <x v="0"/>
    <x v="324"/>
    <x v="10"/>
    <x v="116"/>
  </r>
  <r>
    <s v="SUPER"/>
    <s v="HO"/>
    <s v="04/09/2025"/>
    <s v="01/08/2025-31/08/2025"/>
    <x v="118"/>
    <x v="118"/>
    <x v="2"/>
    <x v="0"/>
    <x v="0"/>
    <x v="316"/>
    <x v="316"/>
    <x v="14"/>
    <x v="14"/>
    <x v="30"/>
    <x v="16"/>
    <x v="0"/>
    <x v="325"/>
    <x v="9"/>
    <x v="117"/>
  </r>
  <r>
    <s v="SUPER"/>
    <s v="HO"/>
    <s v="04/09/2025"/>
    <s v="01/08/2025-31/08/2025"/>
    <x v="119"/>
    <x v="119"/>
    <x v="9"/>
    <x v="0"/>
    <x v="3"/>
    <x v="125"/>
    <x v="125"/>
    <x v="30"/>
    <x v="30"/>
    <x v="15"/>
    <x v="2"/>
    <x v="0"/>
    <x v="326"/>
    <x v="10"/>
    <x v="118"/>
  </r>
  <r>
    <s v="SUPER"/>
    <s v="HO"/>
    <s v="04/09/2025"/>
    <s v="01/08/2025-31/08/2025"/>
    <x v="11"/>
    <x v="11"/>
    <x v="1"/>
    <x v="0"/>
    <x v="0"/>
    <x v="315"/>
    <x v="315"/>
    <x v="9"/>
    <x v="9"/>
    <x v="8"/>
    <x v="1"/>
    <x v="0"/>
    <x v="327"/>
    <x v="10"/>
    <x v="10"/>
  </r>
  <r>
    <s v="SUPER"/>
    <s v="HO"/>
    <s v="04/09/2025"/>
    <s v="01/08/2025-31/08/2025"/>
    <x v="11"/>
    <x v="11"/>
    <x v="1"/>
    <x v="0"/>
    <x v="0"/>
    <x v="315"/>
    <x v="315"/>
    <x v="9"/>
    <x v="9"/>
    <x v="8"/>
    <x v="1"/>
    <x v="1"/>
    <x v="327"/>
    <x v="10"/>
    <x v="10"/>
  </r>
  <r>
    <s v="SUPER"/>
    <s v="HO"/>
    <s v="04/09/2025"/>
    <s v="01/08/2025-31/08/2025"/>
    <x v="101"/>
    <x v="101"/>
    <x v="17"/>
    <x v="0"/>
    <x v="3"/>
    <x v="113"/>
    <x v="113"/>
    <x v="107"/>
    <x v="107"/>
    <x v="5"/>
    <x v="21"/>
    <x v="0"/>
    <x v="328"/>
    <x v="1"/>
    <x v="100"/>
  </r>
  <r>
    <s v="SUPER"/>
    <s v="HO"/>
    <s v="04/09/2025"/>
    <s v="01/08/2025-31/08/2025"/>
    <x v="35"/>
    <x v="35"/>
    <x v="6"/>
    <x v="0"/>
    <x v="0"/>
    <x v="317"/>
    <x v="317"/>
    <x v="33"/>
    <x v="33"/>
    <x v="3"/>
    <x v="12"/>
    <x v="0"/>
    <x v="329"/>
    <x v="16"/>
    <x v="34"/>
  </r>
  <r>
    <s v="SUPER"/>
    <s v="HO"/>
    <s v="04/09/2025"/>
    <s v="01/08/2025-31/08/2025"/>
    <x v="86"/>
    <x v="86"/>
    <x v="14"/>
    <x v="0"/>
    <x v="3"/>
    <x v="31"/>
    <x v="31"/>
    <x v="1"/>
    <x v="1"/>
    <x v="5"/>
    <x v="21"/>
    <x v="0"/>
    <x v="330"/>
    <x v="10"/>
    <x v="85"/>
  </r>
  <r>
    <s v="SUPER"/>
    <s v="HO"/>
    <s v="04/09/2025"/>
    <s v="01/08/2025-31/08/2025"/>
    <x v="63"/>
    <x v="63"/>
    <x v="8"/>
    <x v="0"/>
    <x v="3"/>
    <x v="44"/>
    <x v="44"/>
    <x v="54"/>
    <x v="54"/>
    <x v="25"/>
    <x v="17"/>
    <x v="0"/>
    <x v="330"/>
    <x v="26"/>
    <x v="62"/>
  </r>
  <r>
    <s v="SUPER"/>
    <s v="HO"/>
    <s v="04/09/2025"/>
    <s v="01/08/2025-31/08/2025"/>
    <x v="63"/>
    <x v="63"/>
    <x v="8"/>
    <x v="0"/>
    <x v="3"/>
    <x v="17"/>
    <x v="17"/>
    <x v="54"/>
    <x v="54"/>
    <x v="25"/>
    <x v="17"/>
    <x v="1"/>
    <x v="330"/>
    <x v="26"/>
    <x v="62"/>
  </r>
  <r>
    <s v="SUPER"/>
    <s v="HO"/>
    <s v="04/09/2025"/>
    <s v="01/08/2025-31/08/2025"/>
    <x v="63"/>
    <x v="63"/>
    <x v="8"/>
    <x v="0"/>
    <x v="3"/>
    <x v="309"/>
    <x v="309"/>
    <x v="54"/>
    <x v="54"/>
    <x v="25"/>
    <x v="17"/>
    <x v="0"/>
    <x v="331"/>
    <x v="26"/>
    <x v="62"/>
  </r>
  <r>
    <s v="SUPER"/>
    <s v="HO"/>
    <s v="04/09/2025"/>
    <s v="01/08/2025-31/08/2025"/>
    <x v="63"/>
    <x v="63"/>
    <x v="8"/>
    <x v="0"/>
    <x v="3"/>
    <x v="309"/>
    <x v="309"/>
    <x v="54"/>
    <x v="54"/>
    <x v="25"/>
    <x v="17"/>
    <x v="1"/>
    <x v="331"/>
    <x v="26"/>
    <x v="62"/>
  </r>
  <r>
    <s v="SUPER"/>
    <s v="HO"/>
    <s v="04/09/2025"/>
    <s v="01/08/2025-31/08/2025"/>
    <x v="63"/>
    <x v="63"/>
    <x v="8"/>
    <x v="0"/>
    <x v="3"/>
    <x v="309"/>
    <x v="309"/>
    <x v="54"/>
    <x v="54"/>
    <x v="25"/>
    <x v="17"/>
    <x v="2"/>
    <x v="331"/>
    <x v="26"/>
    <x v="62"/>
  </r>
  <r>
    <s v="SUPER"/>
    <s v="HO"/>
    <s v="04/09/2025"/>
    <s v="01/08/2025-31/08/2025"/>
    <x v="63"/>
    <x v="63"/>
    <x v="8"/>
    <x v="0"/>
    <x v="3"/>
    <x v="309"/>
    <x v="309"/>
    <x v="54"/>
    <x v="54"/>
    <x v="25"/>
    <x v="17"/>
    <x v="3"/>
    <x v="331"/>
    <x v="26"/>
    <x v="62"/>
  </r>
  <r>
    <s v="SUPER"/>
    <s v="HO"/>
    <s v="04/09/2025"/>
    <s v="01/08/2025-31/08/2025"/>
    <x v="20"/>
    <x v="20"/>
    <x v="1"/>
    <x v="0"/>
    <x v="0"/>
    <x v="31"/>
    <x v="31"/>
    <x v="25"/>
    <x v="25"/>
    <x v="5"/>
    <x v="21"/>
    <x v="0"/>
    <x v="332"/>
    <x v="10"/>
    <x v="19"/>
  </r>
  <r>
    <s v="SUPER"/>
    <s v="HO"/>
    <s v="04/09/2025"/>
    <s v="01/08/2025-31/08/2025"/>
    <x v="88"/>
    <x v="88"/>
    <x v="9"/>
    <x v="0"/>
    <x v="3"/>
    <x v="318"/>
    <x v="318"/>
    <x v="33"/>
    <x v="33"/>
    <x v="25"/>
    <x v="17"/>
    <x v="0"/>
    <x v="333"/>
    <x v="4"/>
    <x v="87"/>
  </r>
  <r>
    <s v="SUPER"/>
    <s v="HO"/>
    <s v="04/09/2025"/>
    <s v="01/08/2025-31/08/2025"/>
    <x v="88"/>
    <x v="88"/>
    <x v="9"/>
    <x v="0"/>
    <x v="3"/>
    <x v="318"/>
    <x v="318"/>
    <x v="33"/>
    <x v="33"/>
    <x v="25"/>
    <x v="17"/>
    <x v="1"/>
    <x v="333"/>
    <x v="4"/>
    <x v="87"/>
  </r>
  <r>
    <s v="SUPER"/>
    <s v="HO"/>
    <s v="04/09/2025"/>
    <s v="01/08/2025-31/08/2025"/>
    <x v="88"/>
    <x v="88"/>
    <x v="9"/>
    <x v="0"/>
    <x v="3"/>
    <x v="319"/>
    <x v="319"/>
    <x v="33"/>
    <x v="33"/>
    <x v="25"/>
    <x v="17"/>
    <x v="2"/>
    <x v="333"/>
    <x v="4"/>
    <x v="87"/>
  </r>
  <r>
    <s v="SUPER"/>
    <s v="HO"/>
    <s v="04/09/2025"/>
    <s v="01/08/2025-31/08/2025"/>
    <x v="31"/>
    <x v="31"/>
    <x v="17"/>
    <x v="0"/>
    <x v="3"/>
    <x v="320"/>
    <x v="320"/>
    <x v="42"/>
    <x v="42"/>
    <x v="30"/>
    <x v="16"/>
    <x v="0"/>
    <x v="334"/>
    <x v="4"/>
    <x v="30"/>
  </r>
  <r>
    <s v="SUPER"/>
    <s v="HO"/>
    <s v="04/09/2025"/>
    <s v="01/08/2025-31/08/2025"/>
    <x v="88"/>
    <x v="88"/>
    <x v="9"/>
    <x v="0"/>
    <x v="3"/>
    <x v="318"/>
    <x v="318"/>
    <x v="119"/>
    <x v="119"/>
    <x v="25"/>
    <x v="17"/>
    <x v="0"/>
    <x v="335"/>
    <x v="12"/>
    <x v="87"/>
  </r>
  <r>
    <s v="SUPER"/>
    <s v="HO"/>
    <s v="04/09/2025"/>
    <s v="01/08/2025-31/08/2025"/>
    <x v="88"/>
    <x v="88"/>
    <x v="9"/>
    <x v="0"/>
    <x v="3"/>
    <x v="318"/>
    <x v="318"/>
    <x v="119"/>
    <x v="119"/>
    <x v="25"/>
    <x v="17"/>
    <x v="1"/>
    <x v="335"/>
    <x v="12"/>
    <x v="87"/>
  </r>
  <r>
    <s v="SUPER"/>
    <s v="HO"/>
    <s v="04/09/2025"/>
    <s v="01/08/2025-31/08/2025"/>
    <x v="88"/>
    <x v="88"/>
    <x v="9"/>
    <x v="0"/>
    <x v="3"/>
    <x v="318"/>
    <x v="318"/>
    <x v="119"/>
    <x v="119"/>
    <x v="25"/>
    <x v="17"/>
    <x v="2"/>
    <x v="335"/>
    <x v="12"/>
    <x v="87"/>
  </r>
  <r>
    <s v="SUPER"/>
    <s v="HO"/>
    <s v="04/09/2025"/>
    <s v="01/08/2025-31/08/2025"/>
    <x v="88"/>
    <x v="88"/>
    <x v="9"/>
    <x v="0"/>
    <x v="3"/>
    <x v="318"/>
    <x v="318"/>
    <x v="119"/>
    <x v="119"/>
    <x v="25"/>
    <x v="17"/>
    <x v="3"/>
    <x v="335"/>
    <x v="12"/>
    <x v="87"/>
  </r>
  <r>
    <s v="SUPER"/>
    <s v="HO"/>
    <s v="04/09/2025"/>
    <s v="01/08/2025-31/08/2025"/>
    <x v="88"/>
    <x v="88"/>
    <x v="9"/>
    <x v="0"/>
    <x v="3"/>
    <x v="76"/>
    <x v="76"/>
    <x v="119"/>
    <x v="119"/>
    <x v="25"/>
    <x v="17"/>
    <x v="4"/>
    <x v="335"/>
    <x v="12"/>
    <x v="87"/>
  </r>
  <r>
    <s v="SUPER"/>
    <s v="HO"/>
    <s v="04/09/2025"/>
    <s v="01/08/2025-31/08/2025"/>
    <x v="88"/>
    <x v="88"/>
    <x v="9"/>
    <x v="0"/>
    <x v="3"/>
    <x v="76"/>
    <x v="76"/>
    <x v="119"/>
    <x v="119"/>
    <x v="25"/>
    <x v="17"/>
    <x v="5"/>
    <x v="335"/>
    <x v="12"/>
    <x v="87"/>
  </r>
  <r>
    <s v="SUPER"/>
    <s v="HO"/>
    <s v="04/09/2025"/>
    <s v="01/08/2025-31/08/2025"/>
    <x v="31"/>
    <x v="31"/>
    <x v="17"/>
    <x v="0"/>
    <x v="3"/>
    <x v="30"/>
    <x v="30"/>
    <x v="1"/>
    <x v="1"/>
    <x v="8"/>
    <x v="1"/>
    <x v="0"/>
    <x v="336"/>
    <x v="10"/>
    <x v="30"/>
  </r>
  <r>
    <s v="SUPER"/>
    <s v="HO"/>
    <s v="04/09/2025"/>
    <s v="01/08/2025-31/08/2025"/>
    <x v="64"/>
    <x v="64"/>
    <x v="15"/>
    <x v="0"/>
    <x v="0"/>
    <x v="32"/>
    <x v="32"/>
    <x v="74"/>
    <x v="74"/>
    <x v="3"/>
    <x v="20"/>
    <x v="0"/>
    <x v="337"/>
    <x v="17"/>
    <x v="63"/>
  </r>
  <r>
    <s v="SUPER"/>
    <s v="HO"/>
    <s v="04/09/2025"/>
    <s v="01/08/2025-31/08/2025"/>
    <x v="85"/>
    <x v="85"/>
    <x v="20"/>
    <x v="0"/>
    <x v="2"/>
    <x v="161"/>
    <x v="161"/>
    <x v="1"/>
    <x v="1"/>
    <x v="15"/>
    <x v="3"/>
    <x v="0"/>
    <x v="338"/>
    <x v="1"/>
    <x v="84"/>
  </r>
  <r>
    <s v="SUPER"/>
    <s v="HO"/>
    <s v="04/09/2025"/>
    <s v="01/08/2025-31/08/2025"/>
    <x v="100"/>
    <x v="100"/>
    <x v="16"/>
    <x v="0"/>
    <x v="1"/>
    <x v="41"/>
    <x v="41"/>
    <x v="103"/>
    <x v="103"/>
    <x v="25"/>
    <x v="17"/>
    <x v="0"/>
    <x v="338"/>
    <x v="26"/>
    <x v="99"/>
  </r>
  <r>
    <s v="SUPER"/>
    <s v="HO"/>
    <s v="04/09/2025"/>
    <s v="01/08/2025-31/08/2025"/>
    <x v="100"/>
    <x v="100"/>
    <x v="16"/>
    <x v="0"/>
    <x v="1"/>
    <x v="29"/>
    <x v="29"/>
    <x v="103"/>
    <x v="103"/>
    <x v="25"/>
    <x v="17"/>
    <x v="1"/>
    <x v="338"/>
    <x v="26"/>
    <x v="99"/>
  </r>
  <r>
    <s v="SUPER"/>
    <s v="HO"/>
    <s v="04/09/2025"/>
    <s v="01/08/2025-31/08/2025"/>
    <x v="100"/>
    <x v="100"/>
    <x v="16"/>
    <x v="0"/>
    <x v="1"/>
    <x v="321"/>
    <x v="321"/>
    <x v="103"/>
    <x v="103"/>
    <x v="25"/>
    <x v="17"/>
    <x v="2"/>
    <x v="338"/>
    <x v="26"/>
    <x v="99"/>
  </r>
  <r>
    <s v="SUPER"/>
    <s v="HO"/>
    <s v="04/09/2025"/>
    <s v="01/08/2025-31/08/2025"/>
    <x v="100"/>
    <x v="100"/>
    <x v="16"/>
    <x v="0"/>
    <x v="1"/>
    <x v="319"/>
    <x v="319"/>
    <x v="103"/>
    <x v="103"/>
    <x v="25"/>
    <x v="17"/>
    <x v="3"/>
    <x v="338"/>
    <x v="16"/>
    <x v="99"/>
  </r>
  <r>
    <s v="SUPER"/>
    <s v="HO"/>
    <s v="04/09/2025"/>
    <s v="01/08/2025-31/08/2025"/>
    <x v="100"/>
    <x v="100"/>
    <x v="16"/>
    <x v="0"/>
    <x v="1"/>
    <x v="225"/>
    <x v="225"/>
    <x v="103"/>
    <x v="103"/>
    <x v="25"/>
    <x v="17"/>
    <x v="4"/>
    <x v="338"/>
    <x v="16"/>
    <x v="99"/>
  </r>
  <r>
    <s v="SUPER"/>
    <s v="HO"/>
    <s v="04/09/2025"/>
    <s v="01/08/2025-31/08/2025"/>
    <x v="100"/>
    <x v="100"/>
    <x v="16"/>
    <x v="0"/>
    <x v="1"/>
    <x v="29"/>
    <x v="29"/>
    <x v="103"/>
    <x v="103"/>
    <x v="25"/>
    <x v="17"/>
    <x v="5"/>
    <x v="338"/>
    <x v="16"/>
    <x v="99"/>
  </r>
  <r>
    <s v="SUPER"/>
    <s v="HO"/>
    <s v="04/09/2025"/>
    <s v="01/08/2025-31/08/2025"/>
    <x v="100"/>
    <x v="100"/>
    <x v="16"/>
    <x v="0"/>
    <x v="1"/>
    <x v="322"/>
    <x v="322"/>
    <x v="103"/>
    <x v="103"/>
    <x v="25"/>
    <x v="17"/>
    <x v="6"/>
    <x v="338"/>
    <x v="1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0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1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2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3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4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5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6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7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8"/>
    <x v="339"/>
    <x v="26"/>
    <x v="99"/>
  </r>
  <r>
    <s v="SUPER"/>
    <s v="HO"/>
    <s v="04/09/2025"/>
    <s v="01/08/2025-31/08/2025"/>
    <x v="100"/>
    <x v="100"/>
    <x v="16"/>
    <x v="0"/>
    <x v="1"/>
    <x v="309"/>
    <x v="309"/>
    <x v="120"/>
    <x v="120"/>
    <x v="25"/>
    <x v="17"/>
    <x v="9"/>
    <x v="339"/>
    <x v="26"/>
    <x v="99"/>
  </r>
  <r>
    <s v="SUPER"/>
    <s v="HO"/>
    <s v="04/09/2025"/>
    <s v="01/08/2025-31/08/2025"/>
    <x v="100"/>
    <x v="100"/>
    <x v="16"/>
    <x v="0"/>
    <x v="1"/>
    <x v="26"/>
    <x v="26"/>
    <x v="103"/>
    <x v="103"/>
    <x v="25"/>
    <x v="17"/>
    <x v="0"/>
    <x v="340"/>
    <x v="4"/>
    <x v="99"/>
  </r>
  <r>
    <s v="SUPER"/>
    <s v="HO"/>
    <s v="04/09/2025"/>
    <s v="01/08/2025-31/08/2025"/>
    <x v="100"/>
    <x v="100"/>
    <x v="16"/>
    <x v="0"/>
    <x v="1"/>
    <x v="26"/>
    <x v="26"/>
    <x v="103"/>
    <x v="103"/>
    <x v="25"/>
    <x v="17"/>
    <x v="1"/>
    <x v="340"/>
    <x v="4"/>
    <x v="99"/>
  </r>
  <r>
    <s v="SUPER"/>
    <s v="HO"/>
    <s v="04/09/2025"/>
    <s v="01/08/2025-31/08/2025"/>
    <x v="100"/>
    <x v="100"/>
    <x v="16"/>
    <x v="0"/>
    <x v="1"/>
    <x v="12"/>
    <x v="12"/>
    <x v="103"/>
    <x v="103"/>
    <x v="25"/>
    <x v="17"/>
    <x v="2"/>
    <x v="340"/>
    <x v="4"/>
    <x v="99"/>
  </r>
  <r>
    <s v="SUPER"/>
    <s v="HO"/>
    <s v="04/09/2025"/>
    <s v="01/08/2025-31/08/2025"/>
    <x v="100"/>
    <x v="100"/>
    <x v="16"/>
    <x v="0"/>
    <x v="1"/>
    <x v="171"/>
    <x v="171"/>
    <x v="103"/>
    <x v="103"/>
    <x v="25"/>
    <x v="17"/>
    <x v="3"/>
    <x v="340"/>
    <x v="4"/>
    <x v="99"/>
  </r>
  <r>
    <s v="SUPER"/>
    <s v="HO"/>
    <s v="04/09/2025"/>
    <s v="01/08/2025-31/08/2025"/>
    <x v="66"/>
    <x v="66"/>
    <x v="14"/>
    <x v="0"/>
    <x v="3"/>
    <x v="23"/>
    <x v="23"/>
    <x v="121"/>
    <x v="121"/>
    <x v="25"/>
    <x v="17"/>
    <x v="0"/>
    <x v="341"/>
    <x v="6"/>
    <x v="65"/>
  </r>
  <r>
    <s v="SUPER"/>
    <s v="HO"/>
    <s v="04/09/2025"/>
    <s v="01/08/2025-31/08/2025"/>
    <x v="26"/>
    <x v="26"/>
    <x v="15"/>
    <x v="0"/>
    <x v="0"/>
    <x v="164"/>
    <x v="164"/>
    <x v="51"/>
    <x v="51"/>
    <x v="5"/>
    <x v="21"/>
    <x v="0"/>
    <x v="342"/>
    <x v="3"/>
    <x v="25"/>
  </r>
  <r>
    <s v="SUPER"/>
    <s v="HO"/>
    <s v="04/09/2025"/>
    <s v="01/08/2025-31/08/2025"/>
    <x v="26"/>
    <x v="26"/>
    <x v="15"/>
    <x v="0"/>
    <x v="0"/>
    <x v="42"/>
    <x v="42"/>
    <x v="51"/>
    <x v="51"/>
    <x v="5"/>
    <x v="21"/>
    <x v="1"/>
    <x v="342"/>
    <x v="3"/>
    <x v="25"/>
  </r>
  <r>
    <s v="SUPER"/>
    <s v="HO"/>
    <s v="04/09/2025"/>
    <s v="01/08/2025-31/08/2025"/>
    <x v="26"/>
    <x v="26"/>
    <x v="15"/>
    <x v="0"/>
    <x v="0"/>
    <x v="171"/>
    <x v="171"/>
    <x v="51"/>
    <x v="51"/>
    <x v="5"/>
    <x v="21"/>
    <x v="2"/>
    <x v="342"/>
    <x v="3"/>
    <x v="25"/>
  </r>
  <r>
    <s v="SUPER"/>
    <s v="HO"/>
    <s v="04/09/2025"/>
    <s v="01/08/2025-31/08/2025"/>
    <x v="103"/>
    <x v="103"/>
    <x v="9"/>
    <x v="0"/>
    <x v="3"/>
    <x v="315"/>
    <x v="315"/>
    <x v="1"/>
    <x v="1"/>
    <x v="8"/>
    <x v="1"/>
    <x v="0"/>
    <x v="343"/>
    <x v="10"/>
    <x v="102"/>
  </r>
  <r>
    <s v="SUPER"/>
    <s v="HO"/>
    <s v="04/09/2025"/>
    <s v="01/08/2025-31/08/2025"/>
    <x v="120"/>
    <x v="120"/>
    <x v="26"/>
    <x v="0"/>
    <x v="3"/>
    <x v="252"/>
    <x v="252"/>
    <x v="19"/>
    <x v="19"/>
    <x v="15"/>
    <x v="3"/>
    <x v="0"/>
    <x v="344"/>
    <x v="11"/>
    <x v="119"/>
  </r>
  <r>
    <s v="SUPER"/>
    <s v="HO"/>
    <s v="04/09/2025"/>
    <s v="01/08/2025-31/08/2025"/>
    <x v="77"/>
    <x v="77"/>
    <x v="10"/>
    <x v="0"/>
    <x v="0"/>
    <x v="323"/>
    <x v="323"/>
    <x v="79"/>
    <x v="79"/>
    <x v="10"/>
    <x v="4"/>
    <x v="0"/>
    <x v="345"/>
    <x v="4"/>
    <x v="76"/>
  </r>
  <r>
    <s v="SUPER"/>
    <s v="HO"/>
    <s v="04/09/2025"/>
    <s v="01/08/2025-31/08/2025"/>
    <x v="65"/>
    <x v="65"/>
    <x v="22"/>
    <x v="0"/>
    <x v="2"/>
    <x v="212"/>
    <x v="212"/>
    <x v="1"/>
    <x v="1"/>
    <x v="13"/>
    <x v="2"/>
    <x v="0"/>
    <x v="346"/>
    <x v="11"/>
    <x v="64"/>
  </r>
  <r>
    <s v="SUPER"/>
    <s v="HO"/>
    <s v="04/09/2025"/>
    <s v="01/08/2025-31/08/2025"/>
    <x v="94"/>
    <x v="94"/>
    <x v="6"/>
    <x v="0"/>
    <x v="0"/>
    <x v="324"/>
    <x v="324"/>
    <x v="69"/>
    <x v="69"/>
    <x v="25"/>
    <x v="17"/>
    <x v="0"/>
    <x v="346"/>
    <x v="6"/>
    <x v="93"/>
  </r>
  <r>
    <s v="SUPER"/>
    <s v="HO"/>
    <s v="04/09/2025"/>
    <s v="01/08/2025-31/08/2025"/>
    <x v="65"/>
    <x v="65"/>
    <x v="22"/>
    <x v="0"/>
    <x v="2"/>
    <x v="211"/>
    <x v="211"/>
    <x v="1"/>
    <x v="1"/>
    <x v="13"/>
    <x v="2"/>
    <x v="1"/>
    <x v="346"/>
    <x v="11"/>
    <x v="64"/>
  </r>
  <r>
    <s v="SUPER"/>
    <s v="HO"/>
    <s v="04/09/2025"/>
    <s v="01/08/2025-31/08/2025"/>
    <x v="116"/>
    <x v="116"/>
    <x v="25"/>
    <x v="0"/>
    <x v="2"/>
    <x v="325"/>
    <x v="325"/>
    <x v="118"/>
    <x v="118"/>
    <x v="15"/>
    <x v="3"/>
    <x v="0"/>
    <x v="347"/>
    <x v="25"/>
    <x v="115"/>
  </r>
  <r>
    <s v="SUPER"/>
    <s v="HO"/>
    <s v="04/09/2025"/>
    <s v="01/08/2025-31/08/2025"/>
    <x v="121"/>
    <x v="121"/>
    <x v="9"/>
    <x v="0"/>
    <x v="3"/>
    <x v="310"/>
    <x v="310"/>
    <x v="122"/>
    <x v="122"/>
    <x v="10"/>
    <x v="4"/>
    <x v="0"/>
    <x v="348"/>
    <x v="4"/>
    <x v="120"/>
  </r>
  <r>
    <s v="SUPER"/>
    <s v="HO"/>
    <s v="04/09/2025"/>
    <s v="01/08/2025-31/08/2025"/>
    <x v="120"/>
    <x v="120"/>
    <x v="26"/>
    <x v="0"/>
    <x v="3"/>
    <x v="326"/>
    <x v="326"/>
    <x v="19"/>
    <x v="19"/>
    <x v="8"/>
    <x v="1"/>
    <x v="0"/>
    <x v="349"/>
    <x v="10"/>
    <x v="119"/>
  </r>
  <r>
    <s v="SUPER"/>
    <s v="HO"/>
    <s v="04/09/2025"/>
    <s v="01/08/2025-31/08/2025"/>
    <x v="65"/>
    <x v="65"/>
    <x v="22"/>
    <x v="0"/>
    <x v="2"/>
    <x v="174"/>
    <x v="174"/>
    <x v="1"/>
    <x v="1"/>
    <x v="5"/>
    <x v="0"/>
    <x v="0"/>
    <x v="350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5"/>
    <x v="0"/>
    <x v="1"/>
    <x v="350"/>
    <x v="3"/>
    <x v="64"/>
  </r>
  <r>
    <s v="SUPER"/>
    <s v="HO"/>
    <s v="04/09/2025"/>
    <s v="01/08/2025-31/08/2025"/>
    <x v="43"/>
    <x v="43"/>
    <x v="16"/>
    <x v="0"/>
    <x v="1"/>
    <x v="7"/>
    <x v="7"/>
    <x v="36"/>
    <x v="36"/>
    <x v="5"/>
    <x v="21"/>
    <x v="0"/>
    <x v="351"/>
    <x v="10"/>
    <x v="42"/>
  </r>
  <r>
    <s v="SUPER"/>
    <s v="HO"/>
    <s v="04/09/2025"/>
    <s v="01/08/2025-31/08/2025"/>
    <x v="43"/>
    <x v="43"/>
    <x v="16"/>
    <x v="0"/>
    <x v="1"/>
    <x v="41"/>
    <x v="41"/>
    <x v="36"/>
    <x v="36"/>
    <x v="25"/>
    <x v="17"/>
    <x v="0"/>
    <x v="352"/>
    <x v="26"/>
    <x v="42"/>
  </r>
  <r>
    <s v="SUPER"/>
    <s v="HO"/>
    <s v="04/09/2025"/>
    <s v="01/08/2025-31/08/2025"/>
    <x v="24"/>
    <x v="24"/>
    <x v="12"/>
    <x v="0"/>
    <x v="3"/>
    <x v="54"/>
    <x v="54"/>
    <x v="20"/>
    <x v="20"/>
    <x v="7"/>
    <x v="14"/>
    <x v="0"/>
    <x v="353"/>
    <x v="4"/>
    <x v="23"/>
  </r>
  <r>
    <s v="SUPER"/>
    <s v="HO"/>
    <s v="04/09/2025"/>
    <s v="01/08/2025-31/08/2025"/>
    <x v="20"/>
    <x v="20"/>
    <x v="1"/>
    <x v="0"/>
    <x v="0"/>
    <x v="31"/>
    <x v="31"/>
    <x v="25"/>
    <x v="25"/>
    <x v="13"/>
    <x v="2"/>
    <x v="0"/>
    <x v="354"/>
    <x v="10"/>
    <x v="19"/>
  </r>
  <r>
    <s v="SUPER"/>
    <s v="HO"/>
    <s v="04/09/2025"/>
    <s v="01/08/2025-31/08/2025"/>
    <x v="76"/>
    <x v="76"/>
    <x v="14"/>
    <x v="0"/>
    <x v="3"/>
    <x v="327"/>
    <x v="327"/>
    <x v="75"/>
    <x v="75"/>
    <x v="25"/>
    <x v="17"/>
    <x v="0"/>
    <x v="355"/>
    <x v="20"/>
    <x v="75"/>
  </r>
  <r>
    <s v="SUPER"/>
    <s v="HO"/>
    <s v="04/09/2025"/>
    <s v="01/08/2025-31/08/2025"/>
    <x v="76"/>
    <x v="76"/>
    <x v="14"/>
    <x v="0"/>
    <x v="3"/>
    <x v="328"/>
    <x v="328"/>
    <x v="75"/>
    <x v="75"/>
    <x v="25"/>
    <x v="17"/>
    <x v="1"/>
    <x v="355"/>
    <x v="20"/>
    <x v="75"/>
  </r>
  <r>
    <s v="SUPER"/>
    <s v="HO"/>
    <s v="04/09/2025"/>
    <s v="01/08/2025-31/08/2025"/>
    <x v="76"/>
    <x v="76"/>
    <x v="14"/>
    <x v="0"/>
    <x v="3"/>
    <x v="327"/>
    <x v="327"/>
    <x v="75"/>
    <x v="75"/>
    <x v="25"/>
    <x v="17"/>
    <x v="2"/>
    <x v="355"/>
    <x v="20"/>
    <x v="75"/>
  </r>
  <r>
    <s v="SUPER"/>
    <s v="HO"/>
    <s v="04/09/2025"/>
    <s v="01/08/2025-31/08/2025"/>
    <x v="76"/>
    <x v="76"/>
    <x v="14"/>
    <x v="0"/>
    <x v="3"/>
    <x v="328"/>
    <x v="328"/>
    <x v="75"/>
    <x v="75"/>
    <x v="25"/>
    <x v="17"/>
    <x v="3"/>
    <x v="355"/>
    <x v="20"/>
    <x v="75"/>
  </r>
  <r>
    <s v="SUPER"/>
    <s v="HO"/>
    <s v="04/09/2025"/>
    <s v="01/08/2025-31/08/2025"/>
    <x v="76"/>
    <x v="76"/>
    <x v="14"/>
    <x v="0"/>
    <x v="3"/>
    <x v="328"/>
    <x v="328"/>
    <x v="75"/>
    <x v="75"/>
    <x v="25"/>
    <x v="17"/>
    <x v="4"/>
    <x v="355"/>
    <x v="20"/>
    <x v="75"/>
  </r>
  <r>
    <s v="SUPER"/>
    <s v="HO"/>
    <s v="04/09/2025"/>
    <s v="01/08/2025-31/08/2025"/>
    <x v="85"/>
    <x v="85"/>
    <x v="20"/>
    <x v="0"/>
    <x v="2"/>
    <x v="161"/>
    <x v="161"/>
    <x v="1"/>
    <x v="1"/>
    <x v="5"/>
    <x v="21"/>
    <x v="0"/>
    <x v="356"/>
    <x v="1"/>
    <x v="84"/>
  </r>
  <r>
    <s v="SUPER"/>
    <s v="HO"/>
    <s v="04/09/2025"/>
    <s v="01/08/2025-31/08/2025"/>
    <x v="98"/>
    <x v="98"/>
    <x v="6"/>
    <x v="0"/>
    <x v="0"/>
    <x v="329"/>
    <x v="329"/>
    <x v="123"/>
    <x v="123"/>
    <x v="5"/>
    <x v="21"/>
    <x v="0"/>
    <x v="357"/>
    <x v="4"/>
    <x v="97"/>
  </r>
  <r>
    <s v="SUPER"/>
    <s v="HO"/>
    <s v="04/09/2025"/>
    <s v="01/08/2025-31/08/2025"/>
    <x v="122"/>
    <x v="122"/>
    <x v="9"/>
    <x v="0"/>
    <x v="3"/>
    <x v="182"/>
    <x v="182"/>
    <x v="124"/>
    <x v="124"/>
    <x v="27"/>
    <x v="12"/>
    <x v="0"/>
    <x v="358"/>
    <x v="4"/>
    <x v="121"/>
  </r>
  <r>
    <s v="SUPER"/>
    <s v="HO"/>
    <s v="04/09/2025"/>
    <s v="01/08/2025-31/08/2025"/>
    <x v="122"/>
    <x v="122"/>
    <x v="9"/>
    <x v="0"/>
    <x v="3"/>
    <x v="44"/>
    <x v="44"/>
    <x v="124"/>
    <x v="124"/>
    <x v="27"/>
    <x v="12"/>
    <x v="1"/>
    <x v="358"/>
    <x v="4"/>
    <x v="121"/>
  </r>
  <r>
    <s v="SUPER"/>
    <s v="HO"/>
    <s v="04/09/2025"/>
    <s v="01/08/2025-31/08/2025"/>
    <x v="97"/>
    <x v="97"/>
    <x v="14"/>
    <x v="0"/>
    <x v="3"/>
    <x v="53"/>
    <x v="53"/>
    <x v="1"/>
    <x v="1"/>
    <x v="6"/>
    <x v="19"/>
    <x v="0"/>
    <x v="359"/>
    <x v="3"/>
    <x v="96"/>
  </r>
  <r>
    <s v="SUPER"/>
    <s v="HO"/>
    <s v="04/09/2025"/>
    <s v="01/08/2025-31/08/2025"/>
    <x v="6"/>
    <x v="6"/>
    <x v="5"/>
    <x v="0"/>
    <x v="2"/>
    <x v="330"/>
    <x v="330"/>
    <x v="3"/>
    <x v="3"/>
    <x v="10"/>
    <x v="4"/>
    <x v="0"/>
    <x v="360"/>
    <x v="3"/>
    <x v="5"/>
  </r>
  <r>
    <s v="SUPER"/>
    <s v="HO"/>
    <s v="04/09/2025"/>
    <s v="01/08/2025-31/08/2025"/>
    <x v="123"/>
    <x v="123"/>
    <x v="10"/>
    <x v="0"/>
    <x v="0"/>
    <x v="331"/>
    <x v="331"/>
    <x v="125"/>
    <x v="125"/>
    <x v="21"/>
    <x v="26"/>
    <x v="0"/>
    <x v="361"/>
    <x v="4"/>
    <x v="122"/>
  </r>
  <r>
    <s v="SUPER"/>
    <s v="HO"/>
    <s v="04/09/2025"/>
    <s v="01/08/2025-31/08/2025"/>
    <x v="11"/>
    <x v="11"/>
    <x v="1"/>
    <x v="0"/>
    <x v="0"/>
    <x v="49"/>
    <x v="49"/>
    <x v="9"/>
    <x v="9"/>
    <x v="7"/>
    <x v="21"/>
    <x v="0"/>
    <x v="362"/>
    <x v="1"/>
    <x v="10"/>
  </r>
  <r>
    <s v="SUPER"/>
    <s v="HO"/>
    <s v="04/09/2025"/>
    <s v="01/08/2025-31/08/2025"/>
    <x v="116"/>
    <x v="116"/>
    <x v="25"/>
    <x v="0"/>
    <x v="2"/>
    <x v="2"/>
    <x v="2"/>
    <x v="118"/>
    <x v="118"/>
    <x v="7"/>
    <x v="21"/>
    <x v="0"/>
    <x v="363"/>
    <x v="1"/>
    <x v="115"/>
  </r>
  <r>
    <s v="SUPER"/>
    <s v="HO"/>
    <s v="04/09/2025"/>
    <s v="01/08/2025-31/08/2025"/>
    <x v="40"/>
    <x v="40"/>
    <x v="11"/>
    <x v="0"/>
    <x v="3"/>
    <x v="2"/>
    <x v="2"/>
    <x v="1"/>
    <x v="1"/>
    <x v="7"/>
    <x v="21"/>
    <x v="0"/>
    <x v="364"/>
    <x v="1"/>
    <x v="39"/>
  </r>
  <r>
    <s v="SUPER"/>
    <s v="HO"/>
    <s v="04/09/2025"/>
    <s v="01/08/2025-31/08/2025"/>
    <x v="40"/>
    <x v="40"/>
    <x v="11"/>
    <x v="0"/>
    <x v="3"/>
    <x v="38"/>
    <x v="38"/>
    <x v="1"/>
    <x v="1"/>
    <x v="7"/>
    <x v="21"/>
    <x v="1"/>
    <x v="364"/>
    <x v="1"/>
    <x v="39"/>
  </r>
  <r>
    <s v="SUPER"/>
    <s v="HO"/>
    <s v="04/09/2025"/>
    <s v="01/08/2025-31/08/2025"/>
    <x v="3"/>
    <x v="3"/>
    <x v="3"/>
    <x v="0"/>
    <x v="1"/>
    <x v="332"/>
    <x v="332"/>
    <x v="109"/>
    <x v="109"/>
    <x v="29"/>
    <x v="24"/>
    <x v="0"/>
    <x v="365"/>
    <x v="13"/>
    <x v="2"/>
  </r>
  <r>
    <s v="SUPER"/>
    <s v="HO"/>
    <s v="04/09/2025"/>
    <s v="01/08/2025-31/08/2025"/>
    <x v="124"/>
    <x v="124"/>
    <x v="23"/>
    <x v="0"/>
    <x v="2"/>
    <x v="228"/>
    <x v="228"/>
    <x v="126"/>
    <x v="126"/>
    <x v="13"/>
    <x v="2"/>
    <x v="0"/>
    <x v="366"/>
    <x v="11"/>
    <x v="123"/>
  </r>
  <r>
    <s v="SUPER"/>
    <s v="HO"/>
    <s v="04/09/2025"/>
    <s v="01/08/2025-31/08/2025"/>
    <x v="124"/>
    <x v="124"/>
    <x v="23"/>
    <x v="0"/>
    <x v="2"/>
    <x v="137"/>
    <x v="137"/>
    <x v="126"/>
    <x v="126"/>
    <x v="13"/>
    <x v="2"/>
    <x v="1"/>
    <x v="366"/>
    <x v="11"/>
    <x v="123"/>
  </r>
  <r>
    <s v="SUPER"/>
    <s v="HO"/>
    <s v="04/09/2025"/>
    <s v="01/08/2025-31/08/2025"/>
    <x v="37"/>
    <x v="37"/>
    <x v="12"/>
    <x v="0"/>
    <x v="3"/>
    <x v="52"/>
    <x v="52"/>
    <x v="31"/>
    <x v="31"/>
    <x v="5"/>
    <x v="0"/>
    <x v="0"/>
    <x v="367"/>
    <x v="3"/>
    <x v="36"/>
  </r>
  <r>
    <s v="SUPER"/>
    <s v="HO"/>
    <s v="04/09/2025"/>
    <s v="01/08/2025-31/08/2025"/>
    <x v="31"/>
    <x v="31"/>
    <x v="17"/>
    <x v="0"/>
    <x v="3"/>
    <x v="35"/>
    <x v="35"/>
    <x v="1"/>
    <x v="1"/>
    <x v="13"/>
    <x v="3"/>
    <x v="0"/>
    <x v="368"/>
    <x v="11"/>
    <x v="30"/>
  </r>
  <r>
    <s v="SUPER"/>
    <s v="HO"/>
    <s v="04/09/2025"/>
    <s v="01/08/2025-31/08/2025"/>
    <x v="31"/>
    <x v="31"/>
    <x v="17"/>
    <x v="0"/>
    <x v="3"/>
    <x v="249"/>
    <x v="249"/>
    <x v="1"/>
    <x v="1"/>
    <x v="13"/>
    <x v="3"/>
    <x v="1"/>
    <x v="368"/>
    <x v="11"/>
    <x v="30"/>
  </r>
  <r>
    <s v="SUPER"/>
    <s v="HO"/>
    <s v="04/09/2025"/>
    <s v="01/08/2025-31/08/2025"/>
    <x v="31"/>
    <x v="31"/>
    <x v="17"/>
    <x v="0"/>
    <x v="3"/>
    <x v="333"/>
    <x v="333"/>
    <x v="1"/>
    <x v="1"/>
    <x v="13"/>
    <x v="3"/>
    <x v="2"/>
    <x v="368"/>
    <x v="11"/>
    <x v="30"/>
  </r>
  <r>
    <s v="SUPER"/>
    <s v="HO"/>
    <s v="04/09/2025"/>
    <s v="01/08/2025-31/08/2025"/>
    <x v="31"/>
    <x v="31"/>
    <x v="17"/>
    <x v="0"/>
    <x v="3"/>
    <x v="334"/>
    <x v="334"/>
    <x v="1"/>
    <x v="1"/>
    <x v="13"/>
    <x v="3"/>
    <x v="3"/>
    <x v="368"/>
    <x v="11"/>
    <x v="30"/>
  </r>
  <r>
    <s v="SUPER"/>
    <s v="HO"/>
    <s v="04/09/2025"/>
    <s v="01/08/2025-31/08/2025"/>
    <x v="89"/>
    <x v="89"/>
    <x v="21"/>
    <x v="0"/>
    <x v="2"/>
    <x v="314"/>
    <x v="314"/>
    <x v="83"/>
    <x v="83"/>
    <x v="15"/>
    <x v="4"/>
    <x v="0"/>
    <x v="369"/>
    <x v="10"/>
    <x v="88"/>
  </r>
  <r>
    <s v="SUPER"/>
    <s v="HO"/>
    <s v="04/09/2025"/>
    <s v="01/08/2025-31/08/2025"/>
    <x v="3"/>
    <x v="3"/>
    <x v="3"/>
    <x v="0"/>
    <x v="1"/>
    <x v="335"/>
    <x v="335"/>
    <x v="8"/>
    <x v="8"/>
    <x v="29"/>
    <x v="24"/>
    <x v="0"/>
    <x v="369"/>
    <x v="13"/>
    <x v="2"/>
  </r>
  <r>
    <s v="SUPER"/>
    <s v="HO"/>
    <s v="04/09/2025"/>
    <s v="01/08/2025-31/08/2025"/>
    <x v="24"/>
    <x v="24"/>
    <x v="12"/>
    <x v="0"/>
    <x v="3"/>
    <x v="165"/>
    <x v="165"/>
    <x v="20"/>
    <x v="20"/>
    <x v="6"/>
    <x v="1"/>
    <x v="0"/>
    <x v="370"/>
    <x v="4"/>
    <x v="23"/>
  </r>
  <r>
    <s v="SUPER"/>
    <s v="HO"/>
    <s v="04/09/2025"/>
    <s v="01/08/2025-31/08/2025"/>
    <x v="24"/>
    <x v="24"/>
    <x v="12"/>
    <x v="0"/>
    <x v="3"/>
    <x v="102"/>
    <x v="102"/>
    <x v="20"/>
    <x v="20"/>
    <x v="6"/>
    <x v="1"/>
    <x v="1"/>
    <x v="370"/>
    <x v="4"/>
    <x v="23"/>
  </r>
  <r>
    <s v="SUPER"/>
    <s v="HO"/>
    <s v="04/09/2025"/>
    <s v="01/08/2025-31/08/2025"/>
    <x v="24"/>
    <x v="24"/>
    <x v="12"/>
    <x v="0"/>
    <x v="3"/>
    <x v="280"/>
    <x v="280"/>
    <x v="20"/>
    <x v="20"/>
    <x v="6"/>
    <x v="1"/>
    <x v="2"/>
    <x v="370"/>
    <x v="4"/>
    <x v="23"/>
  </r>
  <r>
    <s v="SUPER"/>
    <s v="HO"/>
    <s v="04/09/2025"/>
    <s v="01/08/2025-31/08/2025"/>
    <x v="42"/>
    <x v="42"/>
    <x v="14"/>
    <x v="0"/>
    <x v="3"/>
    <x v="336"/>
    <x v="336"/>
    <x v="57"/>
    <x v="57"/>
    <x v="24"/>
    <x v="26"/>
    <x v="0"/>
    <x v="371"/>
    <x v="8"/>
    <x v="41"/>
  </r>
  <r>
    <s v="SUPER"/>
    <s v="HO"/>
    <s v="04/09/2025"/>
    <s v="01/08/2025-31/08/2025"/>
    <x v="97"/>
    <x v="97"/>
    <x v="14"/>
    <x v="0"/>
    <x v="3"/>
    <x v="337"/>
    <x v="337"/>
    <x v="127"/>
    <x v="127"/>
    <x v="15"/>
    <x v="4"/>
    <x v="0"/>
    <x v="372"/>
    <x v="3"/>
    <x v="96"/>
  </r>
  <r>
    <s v="SUPER"/>
    <s v="HO"/>
    <s v="04/09/2025"/>
    <s v="01/08/2025-31/08/2025"/>
    <x v="97"/>
    <x v="97"/>
    <x v="14"/>
    <x v="0"/>
    <x v="3"/>
    <x v="338"/>
    <x v="338"/>
    <x v="127"/>
    <x v="127"/>
    <x v="15"/>
    <x v="4"/>
    <x v="1"/>
    <x v="372"/>
    <x v="3"/>
    <x v="96"/>
  </r>
  <r>
    <s v="SUPER"/>
    <s v="HO"/>
    <s v="04/09/2025"/>
    <s v="01/08/2025-31/08/2025"/>
    <x v="65"/>
    <x v="65"/>
    <x v="22"/>
    <x v="0"/>
    <x v="2"/>
    <x v="211"/>
    <x v="211"/>
    <x v="1"/>
    <x v="1"/>
    <x v="6"/>
    <x v="1"/>
    <x v="0"/>
    <x v="373"/>
    <x v="11"/>
    <x v="64"/>
  </r>
  <r>
    <s v="SUPER"/>
    <s v="HO"/>
    <s v="04/09/2025"/>
    <s v="01/08/2025-31/08/2025"/>
    <x v="125"/>
    <x v="125"/>
    <x v="12"/>
    <x v="0"/>
    <x v="3"/>
    <x v="339"/>
    <x v="339"/>
    <x v="128"/>
    <x v="128"/>
    <x v="29"/>
    <x v="24"/>
    <x v="0"/>
    <x v="374"/>
    <x v="8"/>
    <x v="124"/>
  </r>
  <r>
    <s v="SUPER"/>
    <s v="HO"/>
    <s v="04/09/2025"/>
    <s v="01/08/2025-31/08/2025"/>
    <x v="123"/>
    <x v="123"/>
    <x v="10"/>
    <x v="0"/>
    <x v="0"/>
    <x v="340"/>
    <x v="340"/>
    <x v="125"/>
    <x v="125"/>
    <x v="24"/>
    <x v="26"/>
    <x v="0"/>
    <x v="374"/>
    <x v="13"/>
    <x v="122"/>
  </r>
  <r>
    <s v="SUPER"/>
    <s v="HO"/>
    <s v="04/09/2025"/>
    <s v="01/08/2025-31/08/2025"/>
    <x v="52"/>
    <x v="52"/>
    <x v="15"/>
    <x v="0"/>
    <x v="0"/>
    <x v="318"/>
    <x v="318"/>
    <x v="1"/>
    <x v="1"/>
    <x v="15"/>
    <x v="4"/>
    <x v="0"/>
    <x v="375"/>
    <x v="3"/>
    <x v="51"/>
  </r>
  <r>
    <s v="SUPER"/>
    <s v="HO"/>
    <s v="04/09/2025"/>
    <s v="01/08/2025-31/08/2025"/>
    <x v="53"/>
    <x v="53"/>
    <x v="11"/>
    <x v="0"/>
    <x v="3"/>
    <x v="341"/>
    <x v="341"/>
    <x v="37"/>
    <x v="37"/>
    <x v="7"/>
    <x v="21"/>
    <x v="0"/>
    <x v="376"/>
    <x v="10"/>
    <x v="52"/>
  </r>
  <r>
    <s v="SUPER"/>
    <s v="HO"/>
    <s v="04/09/2025"/>
    <s v="01/08/2025-31/08/2025"/>
    <x v="24"/>
    <x v="24"/>
    <x v="12"/>
    <x v="0"/>
    <x v="3"/>
    <x v="30"/>
    <x v="30"/>
    <x v="20"/>
    <x v="20"/>
    <x v="16"/>
    <x v="2"/>
    <x v="0"/>
    <x v="377"/>
    <x v="4"/>
    <x v="23"/>
  </r>
  <r>
    <s v="SUPER"/>
    <s v="HO"/>
    <s v="04/09/2025"/>
    <s v="01/08/2025-31/08/2025"/>
    <x v="47"/>
    <x v="47"/>
    <x v="14"/>
    <x v="0"/>
    <x v="3"/>
    <x v="114"/>
    <x v="114"/>
    <x v="38"/>
    <x v="38"/>
    <x v="16"/>
    <x v="2"/>
    <x v="0"/>
    <x v="378"/>
    <x v="11"/>
    <x v="46"/>
  </r>
  <r>
    <s v="SUPER"/>
    <s v="HO"/>
    <s v="04/09/2025"/>
    <s v="01/08/2025-31/08/2025"/>
    <x v="41"/>
    <x v="41"/>
    <x v="4"/>
    <x v="0"/>
    <x v="2"/>
    <x v="342"/>
    <x v="342"/>
    <x v="34"/>
    <x v="34"/>
    <x v="13"/>
    <x v="3"/>
    <x v="0"/>
    <x v="379"/>
    <x v="4"/>
    <x v="40"/>
  </r>
  <r>
    <s v="SUPER"/>
    <s v="HO"/>
    <s v="04/09/2025"/>
    <s v="01/08/2025-31/08/2025"/>
    <x v="41"/>
    <x v="41"/>
    <x v="4"/>
    <x v="0"/>
    <x v="2"/>
    <x v="34"/>
    <x v="34"/>
    <x v="34"/>
    <x v="34"/>
    <x v="13"/>
    <x v="3"/>
    <x v="1"/>
    <x v="379"/>
    <x v="4"/>
    <x v="40"/>
  </r>
  <r>
    <s v="SUPER"/>
    <s v="HO"/>
    <s v="04/09/2025"/>
    <s v="01/08/2025-31/08/2025"/>
    <x v="41"/>
    <x v="41"/>
    <x v="4"/>
    <x v="0"/>
    <x v="2"/>
    <x v="63"/>
    <x v="63"/>
    <x v="34"/>
    <x v="34"/>
    <x v="13"/>
    <x v="3"/>
    <x v="2"/>
    <x v="379"/>
    <x v="4"/>
    <x v="40"/>
  </r>
  <r>
    <s v="SUPER"/>
    <s v="HO"/>
    <s v="04/09/2025"/>
    <s v="01/08/2025-31/08/2025"/>
    <x v="56"/>
    <x v="56"/>
    <x v="20"/>
    <x v="0"/>
    <x v="2"/>
    <x v="343"/>
    <x v="343"/>
    <x v="47"/>
    <x v="47"/>
    <x v="24"/>
    <x v="26"/>
    <x v="0"/>
    <x v="380"/>
    <x v="13"/>
    <x v="55"/>
  </r>
  <r>
    <s v="SUPER"/>
    <s v="HO"/>
    <s v="04/09/2025"/>
    <s v="01/08/2025-31/08/2025"/>
    <x v="56"/>
    <x v="56"/>
    <x v="20"/>
    <x v="0"/>
    <x v="2"/>
    <x v="43"/>
    <x v="43"/>
    <x v="47"/>
    <x v="47"/>
    <x v="24"/>
    <x v="26"/>
    <x v="1"/>
    <x v="380"/>
    <x v="13"/>
    <x v="55"/>
  </r>
  <r>
    <s v="SUPER"/>
    <s v="HO"/>
    <s v="04/09/2025"/>
    <s v="01/08/2025-31/08/2025"/>
    <x v="20"/>
    <x v="20"/>
    <x v="1"/>
    <x v="0"/>
    <x v="0"/>
    <x v="38"/>
    <x v="38"/>
    <x v="25"/>
    <x v="25"/>
    <x v="7"/>
    <x v="21"/>
    <x v="0"/>
    <x v="381"/>
    <x v="4"/>
    <x v="19"/>
  </r>
  <r>
    <s v="SUPER"/>
    <s v="HO"/>
    <s v="04/09/2025"/>
    <s v="01/08/2025-31/08/2025"/>
    <x v="11"/>
    <x v="11"/>
    <x v="1"/>
    <x v="0"/>
    <x v="0"/>
    <x v="35"/>
    <x v="35"/>
    <x v="9"/>
    <x v="9"/>
    <x v="13"/>
    <x v="3"/>
    <x v="0"/>
    <x v="382"/>
    <x v="11"/>
    <x v="10"/>
  </r>
  <r>
    <s v="SUPER"/>
    <s v="HO"/>
    <s v="04/09/2025"/>
    <s v="01/08/2025-31/08/2025"/>
    <x v="11"/>
    <x v="11"/>
    <x v="1"/>
    <x v="0"/>
    <x v="0"/>
    <x v="34"/>
    <x v="34"/>
    <x v="9"/>
    <x v="9"/>
    <x v="13"/>
    <x v="3"/>
    <x v="1"/>
    <x v="382"/>
    <x v="11"/>
    <x v="10"/>
  </r>
  <r>
    <s v="SUPER"/>
    <s v="HO"/>
    <s v="04/09/2025"/>
    <s v="01/08/2025-31/08/2025"/>
    <x v="11"/>
    <x v="11"/>
    <x v="1"/>
    <x v="0"/>
    <x v="0"/>
    <x v="247"/>
    <x v="247"/>
    <x v="9"/>
    <x v="9"/>
    <x v="13"/>
    <x v="3"/>
    <x v="2"/>
    <x v="382"/>
    <x v="11"/>
    <x v="10"/>
  </r>
  <r>
    <s v="SUPER"/>
    <s v="HO"/>
    <s v="04/09/2025"/>
    <s v="01/08/2025-31/08/2025"/>
    <x v="60"/>
    <x v="60"/>
    <x v="21"/>
    <x v="0"/>
    <x v="2"/>
    <x v="22"/>
    <x v="22"/>
    <x v="1"/>
    <x v="1"/>
    <x v="7"/>
    <x v="0"/>
    <x v="0"/>
    <x v="383"/>
    <x v="3"/>
    <x v="59"/>
  </r>
  <r>
    <s v="SUPER"/>
    <s v="HO"/>
    <s v="04/09/2025"/>
    <s v="01/08/2025-31/08/2025"/>
    <x v="46"/>
    <x v="46"/>
    <x v="9"/>
    <x v="0"/>
    <x v="3"/>
    <x v="142"/>
    <x v="142"/>
    <x v="71"/>
    <x v="71"/>
    <x v="13"/>
    <x v="4"/>
    <x v="0"/>
    <x v="384"/>
    <x v="3"/>
    <x v="45"/>
  </r>
  <r>
    <s v="SUPER"/>
    <s v="HO"/>
    <s v="04/09/2025"/>
    <s v="01/08/2025-31/08/2025"/>
    <x v="33"/>
    <x v="33"/>
    <x v="17"/>
    <x v="0"/>
    <x v="3"/>
    <x v="344"/>
    <x v="344"/>
    <x v="3"/>
    <x v="3"/>
    <x v="29"/>
    <x v="23"/>
    <x v="0"/>
    <x v="384"/>
    <x v="31"/>
    <x v="32"/>
  </r>
  <r>
    <s v="SUPER"/>
    <s v="HO"/>
    <s v="04/09/2025"/>
    <s v="01/08/2025-31/08/2025"/>
    <x v="46"/>
    <x v="46"/>
    <x v="9"/>
    <x v="0"/>
    <x v="3"/>
    <x v="345"/>
    <x v="345"/>
    <x v="71"/>
    <x v="71"/>
    <x v="13"/>
    <x v="4"/>
    <x v="1"/>
    <x v="384"/>
    <x v="3"/>
    <x v="45"/>
  </r>
  <r>
    <s v="SUPER"/>
    <s v="HO"/>
    <s v="04/09/2025"/>
    <s v="01/08/2025-31/08/2025"/>
    <x v="61"/>
    <x v="61"/>
    <x v="11"/>
    <x v="0"/>
    <x v="3"/>
    <x v="128"/>
    <x v="128"/>
    <x v="1"/>
    <x v="1"/>
    <x v="25"/>
    <x v="26"/>
    <x v="0"/>
    <x v="385"/>
    <x v="8"/>
    <x v="60"/>
  </r>
  <r>
    <s v="SUPER"/>
    <s v="HO"/>
    <s v="04/09/2025"/>
    <s v="01/08/2025-31/08/2025"/>
    <x v="120"/>
    <x v="120"/>
    <x v="26"/>
    <x v="0"/>
    <x v="3"/>
    <x v="239"/>
    <x v="239"/>
    <x v="19"/>
    <x v="19"/>
    <x v="6"/>
    <x v="1"/>
    <x v="0"/>
    <x v="386"/>
    <x v="10"/>
    <x v="119"/>
  </r>
  <r>
    <s v="SUPER"/>
    <s v="HO"/>
    <s v="04/09/2025"/>
    <s v="01/08/2025-31/08/2025"/>
    <x v="120"/>
    <x v="120"/>
    <x v="26"/>
    <x v="0"/>
    <x v="3"/>
    <x v="346"/>
    <x v="346"/>
    <x v="19"/>
    <x v="19"/>
    <x v="6"/>
    <x v="1"/>
    <x v="1"/>
    <x v="386"/>
    <x v="10"/>
    <x v="119"/>
  </r>
  <r>
    <s v="SUPER"/>
    <s v="HO"/>
    <s v="04/09/2025"/>
    <s v="01/08/2025-31/08/2025"/>
    <x v="88"/>
    <x v="88"/>
    <x v="9"/>
    <x v="0"/>
    <x v="3"/>
    <x v="297"/>
    <x v="297"/>
    <x v="33"/>
    <x v="33"/>
    <x v="25"/>
    <x v="26"/>
    <x v="0"/>
    <x v="387"/>
    <x v="4"/>
    <x v="87"/>
  </r>
  <r>
    <s v="SUPER"/>
    <s v="HO"/>
    <s v="04/09/2025"/>
    <s v="01/08/2025-31/08/2025"/>
    <x v="37"/>
    <x v="37"/>
    <x v="12"/>
    <x v="0"/>
    <x v="3"/>
    <x v="347"/>
    <x v="347"/>
    <x v="1"/>
    <x v="1"/>
    <x v="23"/>
    <x v="2"/>
    <x v="0"/>
    <x v="388"/>
    <x v="11"/>
    <x v="36"/>
  </r>
  <r>
    <s v="SUPER"/>
    <s v="HO"/>
    <s v="04/09/2025"/>
    <s v="01/08/2025-31/08/2025"/>
    <x v="101"/>
    <x v="101"/>
    <x v="17"/>
    <x v="0"/>
    <x v="3"/>
    <x v="113"/>
    <x v="113"/>
    <x v="1"/>
    <x v="1"/>
    <x v="7"/>
    <x v="21"/>
    <x v="0"/>
    <x v="389"/>
    <x v="1"/>
    <x v="100"/>
  </r>
  <r>
    <s v="SUPER"/>
    <s v="HO"/>
    <s v="04/09/2025"/>
    <s v="01/08/2025-31/08/2025"/>
    <x v="44"/>
    <x v="44"/>
    <x v="11"/>
    <x v="0"/>
    <x v="3"/>
    <x v="160"/>
    <x v="160"/>
    <x v="1"/>
    <x v="1"/>
    <x v="7"/>
    <x v="21"/>
    <x v="0"/>
    <x v="390"/>
    <x v="10"/>
    <x v="43"/>
  </r>
  <r>
    <s v="SUPER"/>
    <s v="HO"/>
    <s v="04/09/2025"/>
    <s v="01/08/2025-31/08/2025"/>
    <x v="126"/>
    <x v="126"/>
    <x v="14"/>
    <x v="0"/>
    <x v="3"/>
    <x v="40"/>
    <x v="40"/>
    <x v="1"/>
    <x v="1"/>
    <x v="9"/>
    <x v="5"/>
    <x v="0"/>
    <x v="391"/>
    <x v="3"/>
    <x v="125"/>
  </r>
  <r>
    <s v="SUPER"/>
    <s v="HO"/>
    <s v="04/09/2025"/>
    <s v="01/08/2025-31/08/2025"/>
    <x v="126"/>
    <x v="126"/>
    <x v="14"/>
    <x v="0"/>
    <x v="3"/>
    <x v="113"/>
    <x v="113"/>
    <x v="1"/>
    <x v="1"/>
    <x v="9"/>
    <x v="5"/>
    <x v="1"/>
    <x v="391"/>
    <x v="3"/>
    <x v="125"/>
  </r>
  <r>
    <s v="SUPER"/>
    <s v="HO"/>
    <s v="04/09/2025"/>
    <s v="01/08/2025-31/08/2025"/>
    <x v="87"/>
    <x v="87"/>
    <x v="15"/>
    <x v="0"/>
    <x v="0"/>
    <x v="348"/>
    <x v="348"/>
    <x v="40"/>
    <x v="40"/>
    <x v="16"/>
    <x v="25"/>
    <x v="0"/>
    <x v="392"/>
    <x v="0"/>
    <x v="86"/>
  </r>
  <r>
    <s v="SUPER"/>
    <s v="HO"/>
    <s v="04/09/2025"/>
    <s v="01/08/2025-31/08/2025"/>
    <x v="118"/>
    <x v="118"/>
    <x v="2"/>
    <x v="0"/>
    <x v="0"/>
    <x v="168"/>
    <x v="168"/>
    <x v="14"/>
    <x v="14"/>
    <x v="25"/>
    <x v="26"/>
    <x v="0"/>
    <x v="393"/>
    <x v="12"/>
    <x v="117"/>
  </r>
  <r>
    <s v="SUPER"/>
    <s v="HO"/>
    <s v="04/09/2025"/>
    <s v="01/08/2025-31/08/2025"/>
    <x v="118"/>
    <x v="118"/>
    <x v="2"/>
    <x v="0"/>
    <x v="0"/>
    <x v="168"/>
    <x v="168"/>
    <x v="14"/>
    <x v="14"/>
    <x v="25"/>
    <x v="26"/>
    <x v="1"/>
    <x v="393"/>
    <x v="12"/>
    <x v="117"/>
  </r>
  <r>
    <s v="SUPER"/>
    <s v="HO"/>
    <s v="04/09/2025"/>
    <s v="01/08/2025-31/08/2025"/>
    <x v="118"/>
    <x v="118"/>
    <x v="2"/>
    <x v="0"/>
    <x v="0"/>
    <x v="41"/>
    <x v="41"/>
    <x v="14"/>
    <x v="14"/>
    <x v="25"/>
    <x v="26"/>
    <x v="2"/>
    <x v="393"/>
    <x v="12"/>
    <x v="117"/>
  </r>
  <r>
    <s v="SUPER"/>
    <s v="HO"/>
    <s v="04/09/2025"/>
    <s v="01/08/2025-31/08/2025"/>
    <x v="26"/>
    <x v="26"/>
    <x v="15"/>
    <x v="0"/>
    <x v="0"/>
    <x v="349"/>
    <x v="349"/>
    <x v="51"/>
    <x v="51"/>
    <x v="13"/>
    <x v="4"/>
    <x v="0"/>
    <x v="394"/>
    <x v="4"/>
    <x v="25"/>
  </r>
  <r>
    <s v="SUPER"/>
    <s v="HO"/>
    <s v="04/09/2025"/>
    <s v="01/08/2025-31/08/2025"/>
    <x v="95"/>
    <x v="95"/>
    <x v="14"/>
    <x v="0"/>
    <x v="3"/>
    <x v="350"/>
    <x v="350"/>
    <x v="90"/>
    <x v="90"/>
    <x v="9"/>
    <x v="15"/>
    <x v="0"/>
    <x v="395"/>
    <x v="32"/>
    <x v="94"/>
  </r>
  <r>
    <s v="SUPER"/>
    <s v="HO"/>
    <s v="04/09/2025"/>
    <s v="01/08/2025-31/08/2025"/>
    <x v="64"/>
    <x v="64"/>
    <x v="15"/>
    <x v="0"/>
    <x v="0"/>
    <x v="351"/>
    <x v="351"/>
    <x v="1"/>
    <x v="1"/>
    <x v="28"/>
    <x v="24"/>
    <x v="0"/>
    <x v="396"/>
    <x v="12"/>
    <x v="63"/>
  </r>
  <r>
    <s v="SUPER"/>
    <s v="HO"/>
    <s v="04/09/2025"/>
    <s v="01/08/2025-31/08/2025"/>
    <x v="76"/>
    <x v="76"/>
    <x v="14"/>
    <x v="0"/>
    <x v="3"/>
    <x v="352"/>
    <x v="352"/>
    <x v="1"/>
    <x v="1"/>
    <x v="21"/>
    <x v="20"/>
    <x v="0"/>
    <x v="397"/>
    <x v="8"/>
    <x v="75"/>
  </r>
  <r>
    <s v="SUPER"/>
    <s v="HO"/>
    <s v="04/09/2025"/>
    <s v="01/08/2025-31/08/2025"/>
    <x v="108"/>
    <x v="108"/>
    <x v="11"/>
    <x v="0"/>
    <x v="3"/>
    <x v="353"/>
    <x v="353"/>
    <x v="106"/>
    <x v="106"/>
    <x v="23"/>
    <x v="2"/>
    <x v="0"/>
    <x v="398"/>
    <x v="11"/>
    <x v="107"/>
  </r>
  <r>
    <s v="SUPER"/>
    <s v="HO"/>
    <s v="04/09/2025"/>
    <s v="01/08/2025-31/08/2025"/>
    <x v="127"/>
    <x v="127"/>
    <x v="15"/>
    <x v="0"/>
    <x v="0"/>
    <x v="128"/>
    <x v="128"/>
    <x v="92"/>
    <x v="92"/>
    <x v="25"/>
    <x v="26"/>
    <x v="0"/>
    <x v="399"/>
    <x v="8"/>
    <x v="126"/>
  </r>
  <r>
    <s v="SUPER"/>
    <s v="HO"/>
    <s v="04/09/2025"/>
    <s v="01/08/2025-31/08/2025"/>
    <x v="31"/>
    <x v="31"/>
    <x v="17"/>
    <x v="0"/>
    <x v="3"/>
    <x v="31"/>
    <x v="31"/>
    <x v="1"/>
    <x v="1"/>
    <x v="23"/>
    <x v="2"/>
    <x v="0"/>
    <x v="400"/>
    <x v="10"/>
    <x v="30"/>
  </r>
  <r>
    <s v="SUPER"/>
    <s v="HO"/>
    <s v="04/09/2025"/>
    <s v="01/08/2025-31/08/2025"/>
    <x v="75"/>
    <x v="75"/>
    <x v="9"/>
    <x v="0"/>
    <x v="3"/>
    <x v="85"/>
    <x v="85"/>
    <x v="129"/>
    <x v="129"/>
    <x v="23"/>
    <x v="2"/>
    <x v="0"/>
    <x v="401"/>
    <x v="11"/>
    <x v="74"/>
  </r>
  <r>
    <s v="SUPER"/>
    <s v="HO"/>
    <s v="04/09/2025"/>
    <s v="01/08/2025-31/08/2025"/>
    <x v="75"/>
    <x v="75"/>
    <x v="9"/>
    <x v="0"/>
    <x v="3"/>
    <x v="47"/>
    <x v="47"/>
    <x v="129"/>
    <x v="129"/>
    <x v="23"/>
    <x v="2"/>
    <x v="1"/>
    <x v="401"/>
    <x v="11"/>
    <x v="74"/>
  </r>
  <r>
    <s v="SUPER"/>
    <s v="HO"/>
    <s v="04/09/2025"/>
    <s v="01/08/2025-31/08/2025"/>
    <x v="36"/>
    <x v="36"/>
    <x v="14"/>
    <x v="0"/>
    <x v="3"/>
    <x v="318"/>
    <x v="318"/>
    <x v="30"/>
    <x v="30"/>
    <x v="17"/>
    <x v="17"/>
    <x v="0"/>
    <x v="402"/>
    <x v="12"/>
    <x v="35"/>
  </r>
  <r>
    <s v="SUPER"/>
    <s v="HO"/>
    <s v="04/09/2025"/>
    <s v="01/08/2025-31/08/2025"/>
    <x v="36"/>
    <x v="36"/>
    <x v="14"/>
    <x v="0"/>
    <x v="3"/>
    <x v="318"/>
    <x v="318"/>
    <x v="30"/>
    <x v="30"/>
    <x v="17"/>
    <x v="17"/>
    <x v="1"/>
    <x v="402"/>
    <x v="12"/>
    <x v="35"/>
  </r>
  <r>
    <s v="SUPER"/>
    <s v="HO"/>
    <s v="04/09/2025"/>
    <s v="01/08/2025-31/08/2025"/>
    <x v="36"/>
    <x v="36"/>
    <x v="14"/>
    <x v="0"/>
    <x v="3"/>
    <x v="124"/>
    <x v="124"/>
    <x v="30"/>
    <x v="30"/>
    <x v="17"/>
    <x v="17"/>
    <x v="2"/>
    <x v="402"/>
    <x v="4"/>
    <x v="35"/>
  </r>
  <r>
    <s v="SUPER"/>
    <s v="HO"/>
    <s v="04/09/2025"/>
    <s v="01/08/2025-31/08/2025"/>
    <x v="36"/>
    <x v="36"/>
    <x v="14"/>
    <x v="0"/>
    <x v="3"/>
    <x v="124"/>
    <x v="124"/>
    <x v="30"/>
    <x v="30"/>
    <x v="17"/>
    <x v="17"/>
    <x v="3"/>
    <x v="402"/>
    <x v="26"/>
    <x v="35"/>
  </r>
  <r>
    <s v="SUPER"/>
    <s v="HO"/>
    <s v="04/09/2025"/>
    <s v="01/08/2025-31/08/2025"/>
    <x v="36"/>
    <x v="36"/>
    <x v="14"/>
    <x v="0"/>
    <x v="3"/>
    <x v="297"/>
    <x v="297"/>
    <x v="30"/>
    <x v="30"/>
    <x v="17"/>
    <x v="17"/>
    <x v="4"/>
    <x v="402"/>
    <x v="26"/>
    <x v="35"/>
  </r>
  <r>
    <s v="SUPER"/>
    <s v="HO"/>
    <s v="04/09/2025"/>
    <s v="01/08/2025-31/08/2025"/>
    <x v="64"/>
    <x v="64"/>
    <x v="15"/>
    <x v="0"/>
    <x v="0"/>
    <x v="5"/>
    <x v="5"/>
    <x v="74"/>
    <x v="74"/>
    <x v="17"/>
    <x v="17"/>
    <x v="0"/>
    <x v="403"/>
    <x v="26"/>
    <x v="63"/>
  </r>
  <r>
    <s v="SUPER"/>
    <s v="HO"/>
    <s v="04/09/2025"/>
    <s v="01/08/2025-31/08/2025"/>
    <x v="59"/>
    <x v="59"/>
    <x v="16"/>
    <x v="0"/>
    <x v="1"/>
    <x v="213"/>
    <x v="213"/>
    <x v="49"/>
    <x v="49"/>
    <x v="9"/>
    <x v="15"/>
    <x v="0"/>
    <x v="404"/>
    <x v="16"/>
    <x v="58"/>
  </r>
  <r>
    <s v="SUPER"/>
    <s v="HO"/>
    <s v="04/09/2025"/>
    <s v="01/08/2025-31/08/2025"/>
    <x v="59"/>
    <x v="59"/>
    <x v="16"/>
    <x v="0"/>
    <x v="1"/>
    <x v="213"/>
    <x v="213"/>
    <x v="99"/>
    <x v="99"/>
    <x v="9"/>
    <x v="15"/>
    <x v="0"/>
    <x v="405"/>
    <x v="16"/>
    <x v="58"/>
  </r>
  <r>
    <s v="SUPER"/>
    <s v="HO"/>
    <s v="04/09/2025"/>
    <s v="01/08/2025-31/08/2025"/>
    <x v="59"/>
    <x v="59"/>
    <x v="16"/>
    <x v="0"/>
    <x v="1"/>
    <x v="213"/>
    <x v="213"/>
    <x v="99"/>
    <x v="99"/>
    <x v="9"/>
    <x v="15"/>
    <x v="0"/>
    <x v="406"/>
    <x v="16"/>
    <x v="58"/>
  </r>
  <r>
    <s v="SUPER"/>
    <s v="HO"/>
    <s v="04/09/2025"/>
    <s v="01/08/2025-31/08/2025"/>
    <x v="60"/>
    <x v="60"/>
    <x v="21"/>
    <x v="0"/>
    <x v="2"/>
    <x v="354"/>
    <x v="354"/>
    <x v="1"/>
    <x v="1"/>
    <x v="16"/>
    <x v="3"/>
    <x v="0"/>
    <x v="407"/>
    <x v="11"/>
    <x v="59"/>
  </r>
  <r>
    <s v="SUPER"/>
    <s v="HO"/>
    <s v="04/09/2025"/>
    <s v="01/08/2025-31/08/2025"/>
    <x v="42"/>
    <x v="42"/>
    <x v="14"/>
    <x v="0"/>
    <x v="3"/>
    <x v="355"/>
    <x v="355"/>
    <x v="35"/>
    <x v="35"/>
    <x v="20"/>
    <x v="16"/>
    <x v="0"/>
    <x v="407"/>
    <x v="16"/>
    <x v="41"/>
  </r>
  <r>
    <s v="SUPER"/>
    <s v="HO"/>
    <s v="04/09/2025"/>
    <s v="01/08/2025-31/08/2025"/>
    <x v="60"/>
    <x v="60"/>
    <x v="21"/>
    <x v="0"/>
    <x v="2"/>
    <x v="356"/>
    <x v="356"/>
    <x v="1"/>
    <x v="1"/>
    <x v="16"/>
    <x v="3"/>
    <x v="1"/>
    <x v="407"/>
    <x v="11"/>
    <x v="59"/>
  </r>
  <r>
    <s v="SUPER"/>
    <s v="HO"/>
    <s v="04/09/2025"/>
    <s v="01/08/2025-31/08/2025"/>
    <x v="42"/>
    <x v="42"/>
    <x v="14"/>
    <x v="0"/>
    <x v="3"/>
    <x v="20"/>
    <x v="20"/>
    <x v="35"/>
    <x v="35"/>
    <x v="20"/>
    <x v="16"/>
    <x v="1"/>
    <x v="407"/>
    <x v="16"/>
    <x v="41"/>
  </r>
  <r>
    <s v="SUPER"/>
    <s v="HO"/>
    <s v="04/09/2025"/>
    <s v="01/08/2025-31/08/2025"/>
    <x v="42"/>
    <x v="42"/>
    <x v="14"/>
    <x v="0"/>
    <x v="3"/>
    <x v="357"/>
    <x v="357"/>
    <x v="35"/>
    <x v="35"/>
    <x v="20"/>
    <x v="16"/>
    <x v="2"/>
    <x v="407"/>
    <x v="4"/>
    <x v="41"/>
  </r>
  <r>
    <s v="SUPER"/>
    <s v="HO"/>
    <s v="04/09/2025"/>
    <s v="01/08/2025-31/08/2025"/>
    <x v="42"/>
    <x v="42"/>
    <x v="14"/>
    <x v="0"/>
    <x v="3"/>
    <x v="358"/>
    <x v="358"/>
    <x v="35"/>
    <x v="35"/>
    <x v="20"/>
    <x v="16"/>
    <x v="3"/>
    <x v="407"/>
    <x v="16"/>
    <x v="41"/>
  </r>
  <r>
    <s v="SUPER"/>
    <s v="HO"/>
    <s v="04/09/2025"/>
    <s v="01/08/2025-31/08/2025"/>
    <x v="42"/>
    <x v="42"/>
    <x v="14"/>
    <x v="0"/>
    <x v="3"/>
    <x v="122"/>
    <x v="122"/>
    <x v="35"/>
    <x v="35"/>
    <x v="20"/>
    <x v="16"/>
    <x v="4"/>
    <x v="407"/>
    <x v="16"/>
    <x v="41"/>
  </r>
  <r>
    <s v="SUPER"/>
    <s v="HO"/>
    <s v="04/09/2025"/>
    <s v="01/08/2025-31/08/2025"/>
    <x v="42"/>
    <x v="42"/>
    <x v="14"/>
    <x v="0"/>
    <x v="3"/>
    <x v="359"/>
    <x v="359"/>
    <x v="35"/>
    <x v="35"/>
    <x v="20"/>
    <x v="16"/>
    <x v="5"/>
    <x v="407"/>
    <x v="16"/>
    <x v="41"/>
  </r>
  <r>
    <s v="SUPER"/>
    <s v="HO"/>
    <s v="04/09/2025"/>
    <s v="01/08/2025-31/08/2025"/>
    <x v="36"/>
    <x v="36"/>
    <x v="14"/>
    <x v="0"/>
    <x v="3"/>
    <x v="136"/>
    <x v="136"/>
    <x v="1"/>
    <x v="1"/>
    <x v="23"/>
    <x v="2"/>
    <x v="0"/>
    <x v="408"/>
    <x v="11"/>
    <x v="35"/>
  </r>
  <r>
    <s v="SUPER"/>
    <s v="HO"/>
    <s v="04/09/2025"/>
    <s v="01/08/2025-31/08/2025"/>
    <x v="36"/>
    <x v="36"/>
    <x v="14"/>
    <x v="0"/>
    <x v="3"/>
    <x v="137"/>
    <x v="137"/>
    <x v="1"/>
    <x v="1"/>
    <x v="23"/>
    <x v="2"/>
    <x v="1"/>
    <x v="408"/>
    <x v="11"/>
    <x v="35"/>
  </r>
  <r>
    <s v="SUPER"/>
    <s v="HO"/>
    <s v="04/09/2025"/>
    <s v="01/08/2025-31/08/2025"/>
    <x v="73"/>
    <x v="73"/>
    <x v="9"/>
    <x v="0"/>
    <x v="3"/>
    <x v="114"/>
    <x v="114"/>
    <x v="1"/>
    <x v="1"/>
    <x v="16"/>
    <x v="3"/>
    <x v="0"/>
    <x v="409"/>
    <x v="11"/>
    <x v="72"/>
  </r>
  <r>
    <s v="SUPER"/>
    <s v="HO"/>
    <s v="04/09/2025"/>
    <s v="01/08/2025-31/08/2025"/>
    <x v="73"/>
    <x v="73"/>
    <x v="9"/>
    <x v="0"/>
    <x v="3"/>
    <x v="31"/>
    <x v="31"/>
    <x v="1"/>
    <x v="1"/>
    <x v="16"/>
    <x v="3"/>
    <x v="1"/>
    <x v="409"/>
    <x v="10"/>
    <x v="72"/>
  </r>
  <r>
    <s v="SUPER"/>
    <s v="HO"/>
    <s v="04/09/2025"/>
    <s v="01/08/2025-31/08/2025"/>
    <x v="1"/>
    <x v="1"/>
    <x v="1"/>
    <x v="0"/>
    <x v="0"/>
    <x v="360"/>
    <x v="360"/>
    <x v="114"/>
    <x v="114"/>
    <x v="24"/>
    <x v="12"/>
    <x v="0"/>
    <x v="410"/>
    <x v="16"/>
    <x v="1"/>
  </r>
  <r>
    <s v="SUPER"/>
    <s v="HO"/>
    <s v="04/09/2025"/>
    <s v="01/08/2025-31/08/2025"/>
    <x v="1"/>
    <x v="1"/>
    <x v="1"/>
    <x v="0"/>
    <x v="0"/>
    <x v="361"/>
    <x v="361"/>
    <x v="114"/>
    <x v="114"/>
    <x v="24"/>
    <x v="12"/>
    <x v="1"/>
    <x v="410"/>
    <x v="16"/>
    <x v="1"/>
  </r>
  <r>
    <s v="SUPER"/>
    <s v="HO"/>
    <s v="04/09/2025"/>
    <s v="01/08/2025-31/08/2025"/>
    <x v="1"/>
    <x v="1"/>
    <x v="1"/>
    <x v="0"/>
    <x v="0"/>
    <x v="92"/>
    <x v="92"/>
    <x v="114"/>
    <x v="114"/>
    <x v="24"/>
    <x v="12"/>
    <x v="2"/>
    <x v="410"/>
    <x v="16"/>
    <x v="1"/>
  </r>
  <r>
    <s v="SUPER"/>
    <s v="HO"/>
    <s v="04/09/2025"/>
    <s v="01/08/2025-31/08/2025"/>
    <x v="128"/>
    <x v="128"/>
    <x v="14"/>
    <x v="0"/>
    <x v="3"/>
    <x v="39"/>
    <x v="39"/>
    <x v="130"/>
    <x v="130"/>
    <x v="23"/>
    <x v="2"/>
    <x v="0"/>
    <x v="411"/>
    <x v="11"/>
    <x v="127"/>
  </r>
  <r>
    <s v="SUPER"/>
    <s v="HO"/>
    <s v="04/09/2025"/>
    <s v="01/08/2025-31/08/2025"/>
    <x v="129"/>
    <x v="129"/>
    <x v="12"/>
    <x v="0"/>
    <x v="3"/>
    <x v="297"/>
    <x v="297"/>
    <x v="33"/>
    <x v="33"/>
    <x v="26"/>
    <x v="26"/>
    <x v="0"/>
    <x v="412"/>
    <x v="12"/>
    <x v="128"/>
  </r>
  <r>
    <s v="SUPER"/>
    <s v="HO"/>
    <s v="04/09/2025"/>
    <s v="01/08/2025-31/08/2025"/>
    <x v="129"/>
    <x v="129"/>
    <x v="12"/>
    <x v="0"/>
    <x v="3"/>
    <x v="297"/>
    <x v="297"/>
    <x v="33"/>
    <x v="33"/>
    <x v="26"/>
    <x v="26"/>
    <x v="1"/>
    <x v="412"/>
    <x v="12"/>
    <x v="128"/>
  </r>
  <r>
    <s v="SUPER"/>
    <s v="HO"/>
    <s v="04/09/2025"/>
    <s v="01/08/2025-31/08/2025"/>
    <x v="130"/>
    <x v="130"/>
    <x v="8"/>
    <x v="0"/>
    <x v="3"/>
    <x v="285"/>
    <x v="285"/>
    <x v="131"/>
    <x v="131"/>
    <x v="5"/>
    <x v="1"/>
    <x v="0"/>
    <x v="413"/>
    <x v="10"/>
    <x v="129"/>
  </r>
  <r>
    <s v="SUPER"/>
    <s v="HO"/>
    <s v="04/09/2025"/>
    <s v="01/08/2025-31/08/2025"/>
    <x v="131"/>
    <x v="131"/>
    <x v="20"/>
    <x v="0"/>
    <x v="2"/>
    <x v="362"/>
    <x v="362"/>
    <x v="1"/>
    <x v="1"/>
    <x v="9"/>
    <x v="14"/>
    <x v="0"/>
    <x v="414"/>
    <x v="32"/>
    <x v="130"/>
  </r>
  <r>
    <s v="SUPER"/>
    <s v="HO"/>
    <s v="04/09/2025"/>
    <s v="01/08/2025-31/08/2025"/>
    <x v="59"/>
    <x v="59"/>
    <x v="16"/>
    <x v="0"/>
    <x v="1"/>
    <x v="363"/>
    <x v="363"/>
    <x v="49"/>
    <x v="49"/>
    <x v="9"/>
    <x v="15"/>
    <x v="0"/>
    <x v="415"/>
    <x v="16"/>
    <x v="58"/>
  </r>
  <r>
    <s v="SUPER"/>
    <s v="HO"/>
    <s v="04/09/2025"/>
    <s v="01/08/2025-31/08/2025"/>
    <x v="120"/>
    <x v="120"/>
    <x v="26"/>
    <x v="0"/>
    <x v="3"/>
    <x v="64"/>
    <x v="64"/>
    <x v="19"/>
    <x v="19"/>
    <x v="9"/>
    <x v="21"/>
    <x v="0"/>
    <x v="416"/>
    <x v="1"/>
    <x v="119"/>
  </r>
  <r>
    <s v="SUPER"/>
    <s v="HO"/>
    <s v="04/09/2025"/>
    <s v="01/08/2025-31/08/2025"/>
    <x v="11"/>
    <x v="11"/>
    <x v="1"/>
    <x v="0"/>
    <x v="0"/>
    <x v="136"/>
    <x v="136"/>
    <x v="9"/>
    <x v="9"/>
    <x v="12"/>
    <x v="2"/>
    <x v="0"/>
    <x v="417"/>
    <x v="11"/>
    <x v="10"/>
  </r>
  <r>
    <s v="SUPER"/>
    <s v="HO"/>
    <s v="04/09/2025"/>
    <s v="01/08/2025-31/08/2025"/>
    <x v="11"/>
    <x v="11"/>
    <x v="1"/>
    <x v="0"/>
    <x v="0"/>
    <x v="51"/>
    <x v="51"/>
    <x v="9"/>
    <x v="9"/>
    <x v="12"/>
    <x v="2"/>
    <x v="1"/>
    <x v="417"/>
    <x v="11"/>
    <x v="10"/>
  </r>
  <r>
    <s v="SUPER"/>
    <s v="HO"/>
    <s v="04/09/2025"/>
    <s v="01/08/2025-31/08/2025"/>
    <x v="51"/>
    <x v="51"/>
    <x v="19"/>
    <x v="0"/>
    <x v="1"/>
    <x v="122"/>
    <x v="122"/>
    <x v="1"/>
    <x v="1"/>
    <x v="24"/>
    <x v="16"/>
    <x v="0"/>
    <x v="418"/>
    <x v="22"/>
    <x v="50"/>
  </r>
  <r>
    <s v="SUPER"/>
    <s v="HO"/>
    <s v="04/09/2025"/>
    <s v="01/08/2025-31/08/2025"/>
    <x v="130"/>
    <x v="130"/>
    <x v="8"/>
    <x v="0"/>
    <x v="3"/>
    <x v="31"/>
    <x v="31"/>
    <x v="1"/>
    <x v="1"/>
    <x v="12"/>
    <x v="2"/>
    <x v="0"/>
    <x v="419"/>
    <x v="10"/>
    <x v="129"/>
  </r>
  <r>
    <s v="SUPER"/>
    <s v="HO"/>
    <s v="04/09/2025"/>
    <s v="01/08/2025-31/08/2025"/>
    <x v="130"/>
    <x v="130"/>
    <x v="8"/>
    <x v="0"/>
    <x v="3"/>
    <x v="296"/>
    <x v="296"/>
    <x v="1"/>
    <x v="1"/>
    <x v="12"/>
    <x v="2"/>
    <x v="1"/>
    <x v="419"/>
    <x v="10"/>
    <x v="129"/>
  </r>
  <r>
    <s v="SUPER"/>
    <s v="HO"/>
    <s v="04/09/2025"/>
    <s v="01/08/2025-31/08/2025"/>
    <x v="68"/>
    <x v="68"/>
    <x v="6"/>
    <x v="0"/>
    <x v="0"/>
    <x v="364"/>
    <x v="364"/>
    <x v="108"/>
    <x v="108"/>
    <x v="26"/>
    <x v="26"/>
    <x v="0"/>
    <x v="420"/>
    <x v="4"/>
    <x v="67"/>
  </r>
  <r>
    <s v="SUPER"/>
    <s v="HO"/>
    <s v="04/09/2025"/>
    <s v="01/08/2025-31/08/2025"/>
    <x v="68"/>
    <x v="68"/>
    <x v="6"/>
    <x v="0"/>
    <x v="0"/>
    <x v="362"/>
    <x v="362"/>
    <x v="108"/>
    <x v="108"/>
    <x v="26"/>
    <x v="26"/>
    <x v="1"/>
    <x v="420"/>
    <x v="4"/>
    <x v="67"/>
  </r>
  <r>
    <s v="SUPER"/>
    <s v="HO"/>
    <s v="04/09/2025"/>
    <s v="01/08/2025-31/08/2025"/>
    <x v="100"/>
    <x v="100"/>
    <x v="16"/>
    <x v="0"/>
    <x v="1"/>
    <x v="365"/>
    <x v="365"/>
    <x v="103"/>
    <x v="103"/>
    <x v="25"/>
    <x v="20"/>
    <x v="0"/>
    <x v="421"/>
    <x v="8"/>
    <x v="99"/>
  </r>
  <r>
    <s v="SUPER"/>
    <s v="HO"/>
    <s v="04/09/2025"/>
    <s v="01/08/2025-31/08/2025"/>
    <x v="105"/>
    <x v="105"/>
    <x v="5"/>
    <x v="0"/>
    <x v="2"/>
    <x v="29"/>
    <x v="29"/>
    <x v="1"/>
    <x v="1"/>
    <x v="10"/>
    <x v="5"/>
    <x v="0"/>
    <x v="422"/>
    <x v="3"/>
    <x v="104"/>
  </r>
  <r>
    <s v="SUPER"/>
    <s v="HO"/>
    <s v="04/09/2025"/>
    <s v="01/08/2025-31/08/2025"/>
    <x v="131"/>
    <x v="131"/>
    <x v="20"/>
    <x v="0"/>
    <x v="2"/>
    <x v="366"/>
    <x v="366"/>
    <x v="1"/>
    <x v="1"/>
    <x v="25"/>
    <x v="20"/>
    <x v="0"/>
    <x v="423"/>
    <x v="8"/>
    <x v="130"/>
  </r>
  <r>
    <s v="SUPER"/>
    <s v="HO"/>
    <s v="04/09/2025"/>
    <s v="01/08/2025-31/08/2025"/>
    <x v="19"/>
    <x v="19"/>
    <x v="6"/>
    <x v="0"/>
    <x v="0"/>
    <x v="30"/>
    <x v="30"/>
    <x v="17"/>
    <x v="17"/>
    <x v="12"/>
    <x v="2"/>
    <x v="0"/>
    <x v="424"/>
    <x v="4"/>
    <x v="18"/>
  </r>
  <r>
    <s v="SUPER"/>
    <s v="HO"/>
    <s v="04/09/2025"/>
    <s v="01/08/2025-31/08/2025"/>
    <x v="31"/>
    <x v="31"/>
    <x v="17"/>
    <x v="0"/>
    <x v="3"/>
    <x v="367"/>
    <x v="367"/>
    <x v="42"/>
    <x v="42"/>
    <x v="25"/>
    <x v="16"/>
    <x v="0"/>
    <x v="425"/>
    <x v="26"/>
    <x v="30"/>
  </r>
  <r>
    <s v="SUPER"/>
    <s v="HO"/>
    <s v="04/09/2025"/>
    <s v="01/08/2025-31/08/2025"/>
    <x v="31"/>
    <x v="31"/>
    <x v="17"/>
    <x v="0"/>
    <x v="3"/>
    <x v="192"/>
    <x v="192"/>
    <x v="42"/>
    <x v="42"/>
    <x v="25"/>
    <x v="16"/>
    <x v="1"/>
    <x v="425"/>
    <x v="4"/>
    <x v="30"/>
  </r>
  <r>
    <s v="SUPER"/>
    <s v="HO"/>
    <s v="04/09/2025"/>
    <s v="01/08/2025-31/08/2025"/>
    <x v="40"/>
    <x v="40"/>
    <x v="11"/>
    <x v="0"/>
    <x v="3"/>
    <x v="331"/>
    <x v="331"/>
    <x v="132"/>
    <x v="132"/>
    <x v="26"/>
    <x v="26"/>
    <x v="0"/>
    <x v="426"/>
    <x v="12"/>
    <x v="39"/>
  </r>
  <r>
    <s v="SUPER"/>
    <s v="HO"/>
    <s v="04/09/2025"/>
    <s v="01/08/2025-31/08/2025"/>
    <x v="94"/>
    <x v="94"/>
    <x v="6"/>
    <x v="0"/>
    <x v="0"/>
    <x v="78"/>
    <x v="78"/>
    <x v="102"/>
    <x v="102"/>
    <x v="3"/>
    <x v="24"/>
    <x v="0"/>
    <x v="427"/>
    <x v="13"/>
    <x v="93"/>
  </r>
  <r>
    <s v="SUPER"/>
    <s v="HO"/>
    <s v="04/09/2025"/>
    <s v="01/08/2025-31/08/2025"/>
    <x v="94"/>
    <x v="94"/>
    <x v="6"/>
    <x v="0"/>
    <x v="0"/>
    <x v="78"/>
    <x v="78"/>
    <x v="102"/>
    <x v="102"/>
    <x v="3"/>
    <x v="24"/>
    <x v="1"/>
    <x v="427"/>
    <x v="13"/>
    <x v="93"/>
  </r>
  <r>
    <s v="SUPER"/>
    <s v="HO"/>
    <s v="04/09/2025"/>
    <s v="01/08/2025-31/08/2025"/>
    <x v="40"/>
    <x v="40"/>
    <x v="11"/>
    <x v="0"/>
    <x v="3"/>
    <x v="368"/>
    <x v="368"/>
    <x v="1"/>
    <x v="1"/>
    <x v="26"/>
    <x v="26"/>
    <x v="0"/>
    <x v="428"/>
    <x v="12"/>
    <x v="39"/>
  </r>
  <r>
    <s v="SUPER"/>
    <s v="HO"/>
    <s v="04/09/2025"/>
    <s v="01/08/2025-31/08/2025"/>
    <x v="132"/>
    <x v="132"/>
    <x v="6"/>
    <x v="0"/>
    <x v="0"/>
    <x v="369"/>
    <x v="369"/>
    <x v="133"/>
    <x v="133"/>
    <x v="3"/>
    <x v="23"/>
    <x v="0"/>
    <x v="428"/>
    <x v="4"/>
    <x v="131"/>
  </r>
  <r>
    <s v="SUPER"/>
    <s v="HO"/>
    <s v="04/09/2025"/>
    <s v="01/08/2025-31/08/2025"/>
    <x v="89"/>
    <x v="89"/>
    <x v="21"/>
    <x v="0"/>
    <x v="2"/>
    <x v="2"/>
    <x v="2"/>
    <x v="83"/>
    <x v="83"/>
    <x v="9"/>
    <x v="21"/>
    <x v="0"/>
    <x v="429"/>
    <x v="1"/>
    <x v="88"/>
  </r>
  <r>
    <s v="SUPER"/>
    <s v="HO"/>
    <s v="04/09/2025"/>
    <s v="01/08/2025-31/08/2025"/>
    <x v="133"/>
    <x v="133"/>
    <x v="2"/>
    <x v="0"/>
    <x v="0"/>
    <x v="370"/>
    <x v="370"/>
    <x v="121"/>
    <x v="121"/>
    <x v="28"/>
    <x v="30"/>
    <x v="0"/>
    <x v="430"/>
    <x v="33"/>
    <x v="132"/>
  </r>
  <r>
    <s v="SUPER"/>
    <s v="HO"/>
    <s v="04/09/2025"/>
    <s v="01/08/2025-31/08/2025"/>
    <x v="133"/>
    <x v="133"/>
    <x v="2"/>
    <x v="0"/>
    <x v="0"/>
    <x v="371"/>
    <x v="371"/>
    <x v="121"/>
    <x v="121"/>
    <x v="28"/>
    <x v="30"/>
    <x v="1"/>
    <x v="430"/>
    <x v="33"/>
    <x v="132"/>
  </r>
  <r>
    <s v="SUPER"/>
    <s v="HO"/>
    <s v="04/09/2025"/>
    <s v="01/08/2025-31/08/2025"/>
    <x v="133"/>
    <x v="133"/>
    <x v="2"/>
    <x v="0"/>
    <x v="0"/>
    <x v="371"/>
    <x v="371"/>
    <x v="121"/>
    <x v="121"/>
    <x v="28"/>
    <x v="30"/>
    <x v="2"/>
    <x v="430"/>
    <x v="33"/>
    <x v="132"/>
  </r>
  <r>
    <s v="SUPER"/>
    <s v="HO"/>
    <s v="04/09/2025"/>
    <s v="01/08/2025-31/08/2025"/>
    <x v="86"/>
    <x v="86"/>
    <x v="14"/>
    <x v="0"/>
    <x v="3"/>
    <x v="23"/>
    <x v="23"/>
    <x v="1"/>
    <x v="1"/>
    <x v="25"/>
    <x v="16"/>
    <x v="0"/>
    <x v="431"/>
    <x v="26"/>
    <x v="85"/>
  </r>
  <r>
    <s v="SUPER"/>
    <s v="HO"/>
    <s v="04/09/2025"/>
    <s v="01/08/2025-31/08/2025"/>
    <x v="86"/>
    <x v="86"/>
    <x v="14"/>
    <x v="0"/>
    <x v="3"/>
    <x v="52"/>
    <x v="52"/>
    <x v="57"/>
    <x v="57"/>
    <x v="9"/>
    <x v="21"/>
    <x v="0"/>
    <x v="432"/>
    <x v="10"/>
    <x v="85"/>
  </r>
  <r>
    <s v="SUPER"/>
    <s v="HO"/>
    <s v="04/09/2025"/>
    <s v="01/08/2025-31/08/2025"/>
    <x v="97"/>
    <x v="97"/>
    <x v="14"/>
    <x v="0"/>
    <x v="3"/>
    <x v="160"/>
    <x v="160"/>
    <x v="1"/>
    <x v="1"/>
    <x v="9"/>
    <x v="28"/>
    <x v="0"/>
    <x v="433"/>
    <x v="10"/>
    <x v="96"/>
  </r>
  <r>
    <s v="SUPER"/>
    <s v="HO"/>
    <s v="04/09/2025"/>
    <s v="01/08/2025-31/08/2025"/>
    <x v="117"/>
    <x v="117"/>
    <x v="9"/>
    <x v="0"/>
    <x v="3"/>
    <x v="297"/>
    <x v="297"/>
    <x v="84"/>
    <x v="84"/>
    <x v="26"/>
    <x v="26"/>
    <x v="0"/>
    <x v="433"/>
    <x v="12"/>
    <x v="116"/>
  </r>
  <r>
    <s v="SUPER"/>
    <s v="HO"/>
    <s v="04/09/2025"/>
    <s v="01/08/2025-31/08/2025"/>
    <x v="97"/>
    <x v="97"/>
    <x v="14"/>
    <x v="0"/>
    <x v="3"/>
    <x v="296"/>
    <x v="296"/>
    <x v="1"/>
    <x v="1"/>
    <x v="9"/>
    <x v="28"/>
    <x v="1"/>
    <x v="433"/>
    <x v="10"/>
    <x v="96"/>
  </r>
  <r>
    <s v="SUPER"/>
    <s v="HO"/>
    <s v="04/09/2025"/>
    <s v="01/08/2025-31/08/2025"/>
    <x v="117"/>
    <x v="117"/>
    <x v="9"/>
    <x v="0"/>
    <x v="3"/>
    <x v="297"/>
    <x v="297"/>
    <x v="84"/>
    <x v="84"/>
    <x v="26"/>
    <x v="26"/>
    <x v="1"/>
    <x v="433"/>
    <x v="12"/>
    <x v="116"/>
  </r>
  <r>
    <s v="SUPER"/>
    <s v="HO"/>
    <s v="04/09/2025"/>
    <s v="01/08/2025-31/08/2025"/>
    <x v="88"/>
    <x v="88"/>
    <x v="9"/>
    <x v="0"/>
    <x v="3"/>
    <x v="26"/>
    <x v="26"/>
    <x v="82"/>
    <x v="82"/>
    <x v="26"/>
    <x v="16"/>
    <x v="0"/>
    <x v="434"/>
    <x v="26"/>
    <x v="87"/>
  </r>
  <r>
    <s v="SUPER"/>
    <s v="HO"/>
    <s v="04/09/2025"/>
    <s v="01/08/2025-31/08/2025"/>
    <x v="31"/>
    <x v="31"/>
    <x v="17"/>
    <x v="0"/>
    <x v="3"/>
    <x v="30"/>
    <x v="30"/>
    <x v="1"/>
    <x v="1"/>
    <x v="5"/>
    <x v="1"/>
    <x v="0"/>
    <x v="435"/>
    <x v="10"/>
    <x v="30"/>
  </r>
  <r>
    <s v="SUPER"/>
    <s v="HO"/>
    <s v="04/09/2025"/>
    <s v="01/08/2025-31/08/2025"/>
    <x v="54"/>
    <x v="54"/>
    <x v="14"/>
    <x v="0"/>
    <x v="3"/>
    <x v="136"/>
    <x v="136"/>
    <x v="134"/>
    <x v="134"/>
    <x v="9"/>
    <x v="21"/>
    <x v="0"/>
    <x v="436"/>
    <x v="11"/>
    <x v="53"/>
  </r>
  <r>
    <s v="SUPER"/>
    <s v="HO"/>
    <s v="04/09/2025"/>
    <s v="01/08/2025-31/08/2025"/>
    <x v="54"/>
    <x v="54"/>
    <x v="14"/>
    <x v="0"/>
    <x v="3"/>
    <x v="51"/>
    <x v="51"/>
    <x v="134"/>
    <x v="134"/>
    <x v="9"/>
    <x v="21"/>
    <x v="1"/>
    <x v="436"/>
    <x v="11"/>
    <x v="53"/>
  </r>
  <r>
    <s v="SUPER"/>
    <s v="HO"/>
    <s v="04/09/2025"/>
    <s v="01/08/2025-31/08/2025"/>
    <x v="54"/>
    <x v="54"/>
    <x v="14"/>
    <x v="0"/>
    <x v="3"/>
    <x v="137"/>
    <x v="137"/>
    <x v="134"/>
    <x v="134"/>
    <x v="9"/>
    <x v="21"/>
    <x v="2"/>
    <x v="436"/>
    <x v="11"/>
    <x v="53"/>
  </r>
  <r>
    <s v="SUPER"/>
    <s v="HO"/>
    <s v="04/09/2025"/>
    <s v="01/08/2025-31/08/2025"/>
    <x v="54"/>
    <x v="54"/>
    <x v="14"/>
    <x v="0"/>
    <x v="3"/>
    <x v="121"/>
    <x v="121"/>
    <x v="134"/>
    <x v="134"/>
    <x v="9"/>
    <x v="21"/>
    <x v="3"/>
    <x v="436"/>
    <x v="4"/>
    <x v="53"/>
  </r>
  <r>
    <s v="SUPER"/>
    <s v="HO"/>
    <s v="04/09/2025"/>
    <s v="01/08/2025-31/08/2025"/>
    <x v="22"/>
    <x v="22"/>
    <x v="14"/>
    <x v="0"/>
    <x v="3"/>
    <x v="102"/>
    <x v="102"/>
    <x v="46"/>
    <x v="46"/>
    <x v="23"/>
    <x v="4"/>
    <x v="0"/>
    <x v="437"/>
    <x v="3"/>
    <x v="21"/>
  </r>
  <r>
    <s v="SUPER"/>
    <s v="HO"/>
    <s v="04/09/2025"/>
    <s v="01/08/2025-31/08/2025"/>
    <x v="22"/>
    <x v="22"/>
    <x v="14"/>
    <x v="0"/>
    <x v="3"/>
    <x v="276"/>
    <x v="276"/>
    <x v="46"/>
    <x v="46"/>
    <x v="23"/>
    <x v="4"/>
    <x v="1"/>
    <x v="437"/>
    <x v="3"/>
    <x v="21"/>
  </r>
  <r>
    <s v="SUPER"/>
    <s v="HO"/>
    <s v="04/09/2025"/>
    <s v="01/08/2025-31/08/2025"/>
    <x v="88"/>
    <x v="88"/>
    <x v="9"/>
    <x v="0"/>
    <x v="3"/>
    <x v="318"/>
    <x v="318"/>
    <x v="1"/>
    <x v="1"/>
    <x v="5"/>
    <x v="1"/>
    <x v="0"/>
    <x v="438"/>
    <x v="10"/>
    <x v="87"/>
  </r>
  <r>
    <s v="SUPER"/>
    <s v="HO"/>
    <s v="04/09/2025"/>
    <s v="01/08/2025-31/08/2025"/>
    <x v="85"/>
    <x v="85"/>
    <x v="20"/>
    <x v="0"/>
    <x v="2"/>
    <x v="38"/>
    <x v="38"/>
    <x v="1"/>
    <x v="1"/>
    <x v="12"/>
    <x v="3"/>
    <x v="0"/>
    <x v="439"/>
    <x v="1"/>
    <x v="84"/>
  </r>
  <r>
    <s v="SUPER"/>
    <s v="HO"/>
    <s v="04/09/2025"/>
    <s v="01/08/2025-31/08/2025"/>
    <x v="14"/>
    <x v="14"/>
    <x v="5"/>
    <x v="0"/>
    <x v="2"/>
    <x v="372"/>
    <x v="372"/>
    <x v="12"/>
    <x v="12"/>
    <x v="10"/>
    <x v="14"/>
    <x v="0"/>
    <x v="439"/>
    <x v="22"/>
    <x v="13"/>
  </r>
  <r>
    <s v="SUPER"/>
    <s v="HO"/>
    <s v="04/09/2025"/>
    <s v="01/08/2025-31/08/2025"/>
    <x v="22"/>
    <x v="22"/>
    <x v="14"/>
    <x v="0"/>
    <x v="3"/>
    <x v="373"/>
    <x v="373"/>
    <x v="46"/>
    <x v="46"/>
    <x v="23"/>
    <x v="4"/>
    <x v="0"/>
    <x v="440"/>
    <x v="4"/>
    <x v="21"/>
  </r>
  <r>
    <s v="SUPER"/>
    <s v="HO"/>
    <s v="04/09/2025"/>
    <s v="01/08/2025-31/08/2025"/>
    <x v="22"/>
    <x v="22"/>
    <x v="14"/>
    <x v="0"/>
    <x v="3"/>
    <x v="374"/>
    <x v="374"/>
    <x v="46"/>
    <x v="46"/>
    <x v="23"/>
    <x v="4"/>
    <x v="1"/>
    <x v="440"/>
    <x v="4"/>
    <x v="21"/>
  </r>
  <r>
    <s v="SUPER"/>
    <s v="HO"/>
    <s v="04/09/2025"/>
    <s v="01/08/2025-31/08/2025"/>
    <x v="24"/>
    <x v="24"/>
    <x v="12"/>
    <x v="0"/>
    <x v="3"/>
    <x v="38"/>
    <x v="38"/>
    <x v="20"/>
    <x v="20"/>
    <x v="9"/>
    <x v="21"/>
    <x v="0"/>
    <x v="441"/>
    <x v="4"/>
    <x v="23"/>
  </r>
  <r>
    <s v="SUPER"/>
    <s v="HO"/>
    <s v="04/09/2025"/>
    <s v="01/08/2025-31/08/2025"/>
    <x v="118"/>
    <x v="118"/>
    <x v="2"/>
    <x v="0"/>
    <x v="0"/>
    <x v="122"/>
    <x v="122"/>
    <x v="14"/>
    <x v="14"/>
    <x v="17"/>
    <x v="12"/>
    <x v="0"/>
    <x v="441"/>
    <x v="22"/>
    <x v="117"/>
  </r>
  <r>
    <s v="SUPER"/>
    <s v="HO"/>
    <s v="04/09/2025"/>
    <s v="01/08/2025-31/08/2025"/>
    <x v="40"/>
    <x v="40"/>
    <x v="11"/>
    <x v="0"/>
    <x v="3"/>
    <x v="375"/>
    <x v="375"/>
    <x v="1"/>
    <x v="1"/>
    <x v="29"/>
    <x v="31"/>
    <x v="0"/>
    <x v="442"/>
    <x v="0"/>
    <x v="39"/>
  </r>
  <r>
    <s v="SUPER"/>
    <s v="HO"/>
    <s v="04/09/2025"/>
    <s v="01/08/2025-31/08/2025"/>
    <x v="65"/>
    <x v="65"/>
    <x v="22"/>
    <x v="0"/>
    <x v="2"/>
    <x v="174"/>
    <x v="174"/>
    <x v="1"/>
    <x v="1"/>
    <x v="15"/>
    <x v="5"/>
    <x v="0"/>
    <x v="443"/>
    <x v="3"/>
    <x v="64"/>
  </r>
  <r>
    <s v="SUPER"/>
    <s v="HO"/>
    <s v="04/09/2025"/>
    <s v="01/08/2025-31/08/2025"/>
    <x v="6"/>
    <x v="6"/>
    <x v="5"/>
    <x v="0"/>
    <x v="2"/>
    <x v="376"/>
    <x v="376"/>
    <x v="3"/>
    <x v="3"/>
    <x v="15"/>
    <x v="5"/>
    <x v="0"/>
    <x v="444"/>
    <x v="4"/>
    <x v="5"/>
  </r>
  <r>
    <s v="SUPER"/>
    <s v="HO"/>
    <s v="04/09/2025"/>
    <s v="01/08/2025-31/08/2025"/>
    <x v="68"/>
    <x v="68"/>
    <x v="6"/>
    <x v="0"/>
    <x v="0"/>
    <x v="377"/>
    <x v="377"/>
    <x v="120"/>
    <x v="120"/>
    <x v="17"/>
    <x v="26"/>
    <x v="0"/>
    <x v="445"/>
    <x v="12"/>
    <x v="67"/>
  </r>
  <r>
    <s v="SUPER"/>
    <s v="HO"/>
    <s v="04/09/2025"/>
    <s v="01/08/2025-31/08/2025"/>
    <x v="65"/>
    <x v="65"/>
    <x v="22"/>
    <x v="0"/>
    <x v="2"/>
    <x v="174"/>
    <x v="174"/>
    <x v="1"/>
    <x v="1"/>
    <x v="9"/>
    <x v="0"/>
    <x v="0"/>
    <x v="446"/>
    <x v="3"/>
    <x v="64"/>
  </r>
  <r>
    <s v="SUPER"/>
    <s v="HO"/>
    <s v="04/09/2025"/>
    <s v="01/08/2025-31/08/2025"/>
    <x v="53"/>
    <x v="53"/>
    <x v="11"/>
    <x v="0"/>
    <x v="3"/>
    <x v="378"/>
    <x v="378"/>
    <x v="44"/>
    <x v="44"/>
    <x v="26"/>
    <x v="16"/>
    <x v="0"/>
    <x v="447"/>
    <x v="26"/>
    <x v="52"/>
  </r>
  <r>
    <s v="SUPER"/>
    <s v="HO"/>
    <s v="04/09/2025"/>
    <s v="01/08/2025-31/08/2025"/>
    <x v="53"/>
    <x v="53"/>
    <x v="11"/>
    <x v="0"/>
    <x v="3"/>
    <x v="379"/>
    <x v="379"/>
    <x v="44"/>
    <x v="44"/>
    <x v="26"/>
    <x v="16"/>
    <x v="1"/>
    <x v="447"/>
    <x v="26"/>
    <x v="52"/>
  </r>
  <r>
    <s v="SUPER"/>
    <s v="HO"/>
    <s v="04/09/2025"/>
    <s v="01/08/2025-31/08/2025"/>
    <x v="31"/>
    <x v="31"/>
    <x v="17"/>
    <x v="0"/>
    <x v="3"/>
    <x v="193"/>
    <x v="193"/>
    <x v="42"/>
    <x v="42"/>
    <x v="26"/>
    <x v="16"/>
    <x v="0"/>
    <x v="448"/>
    <x v="12"/>
    <x v="30"/>
  </r>
  <r>
    <s v="SUPER"/>
    <s v="HO"/>
    <s v="04/09/2025"/>
    <s v="01/08/2025-31/08/2025"/>
    <x v="31"/>
    <x v="31"/>
    <x v="17"/>
    <x v="0"/>
    <x v="3"/>
    <x v="76"/>
    <x v="76"/>
    <x v="42"/>
    <x v="42"/>
    <x v="26"/>
    <x v="16"/>
    <x v="1"/>
    <x v="448"/>
    <x v="12"/>
    <x v="30"/>
  </r>
  <r>
    <s v="SUPER"/>
    <s v="HO"/>
    <s v="04/09/2025"/>
    <s v="01/08/2025-31/08/2025"/>
    <x v="31"/>
    <x v="31"/>
    <x v="17"/>
    <x v="0"/>
    <x v="3"/>
    <x v="379"/>
    <x v="379"/>
    <x v="42"/>
    <x v="42"/>
    <x v="26"/>
    <x v="16"/>
    <x v="2"/>
    <x v="448"/>
    <x v="26"/>
    <x v="30"/>
  </r>
  <r>
    <s v="SUPER"/>
    <s v="HO"/>
    <s v="04/09/2025"/>
    <s v="01/08/2025-31/08/2025"/>
    <x v="53"/>
    <x v="53"/>
    <x v="11"/>
    <x v="0"/>
    <x v="3"/>
    <x v="318"/>
    <x v="318"/>
    <x v="44"/>
    <x v="44"/>
    <x v="26"/>
    <x v="16"/>
    <x v="0"/>
    <x v="449"/>
    <x v="26"/>
    <x v="52"/>
  </r>
  <r>
    <s v="SUPER"/>
    <s v="HO"/>
    <s v="04/09/2025"/>
    <s v="01/08/2025-31/08/2025"/>
    <x v="53"/>
    <x v="53"/>
    <x v="11"/>
    <x v="0"/>
    <x v="3"/>
    <x v="318"/>
    <x v="318"/>
    <x v="44"/>
    <x v="44"/>
    <x v="26"/>
    <x v="16"/>
    <x v="1"/>
    <x v="449"/>
    <x v="26"/>
    <x v="52"/>
  </r>
  <r>
    <s v="SUPER"/>
    <s v="HO"/>
    <s v="04/09/2025"/>
    <s v="01/08/2025-31/08/2025"/>
    <x v="53"/>
    <x v="53"/>
    <x v="11"/>
    <x v="0"/>
    <x v="3"/>
    <x v="192"/>
    <x v="192"/>
    <x v="44"/>
    <x v="44"/>
    <x v="26"/>
    <x v="16"/>
    <x v="2"/>
    <x v="449"/>
    <x v="26"/>
    <x v="52"/>
  </r>
  <r>
    <s v="SUPER"/>
    <s v="HO"/>
    <s v="04/09/2025"/>
    <s v="01/08/2025-31/08/2025"/>
    <x v="65"/>
    <x v="65"/>
    <x v="22"/>
    <x v="0"/>
    <x v="2"/>
    <x v="142"/>
    <x v="142"/>
    <x v="1"/>
    <x v="1"/>
    <x v="14"/>
    <x v="2"/>
    <x v="0"/>
    <x v="450"/>
    <x v="11"/>
    <x v="64"/>
  </r>
  <r>
    <s v="SUPER"/>
    <s v="HO"/>
    <s v="04/09/2025"/>
    <s v="01/08/2025-31/08/2025"/>
    <x v="117"/>
    <x v="117"/>
    <x v="9"/>
    <x v="0"/>
    <x v="3"/>
    <x v="318"/>
    <x v="318"/>
    <x v="15"/>
    <x v="15"/>
    <x v="26"/>
    <x v="16"/>
    <x v="0"/>
    <x v="450"/>
    <x v="26"/>
    <x v="116"/>
  </r>
  <r>
    <s v="SUPER"/>
    <s v="HO"/>
    <s v="04/09/2025"/>
    <s v="01/08/2025-31/08/2025"/>
    <x v="117"/>
    <x v="117"/>
    <x v="9"/>
    <x v="0"/>
    <x v="3"/>
    <x v="318"/>
    <x v="318"/>
    <x v="15"/>
    <x v="15"/>
    <x v="26"/>
    <x v="16"/>
    <x v="1"/>
    <x v="450"/>
    <x v="26"/>
    <x v="116"/>
  </r>
  <r>
    <s v="SUPER"/>
    <s v="HO"/>
    <s v="04/09/2025"/>
    <s v="01/08/2025-31/08/2025"/>
    <x v="89"/>
    <x v="89"/>
    <x v="21"/>
    <x v="0"/>
    <x v="2"/>
    <x v="82"/>
    <x v="82"/>
    <x v="83"/>
    <x v="83"/>
    <x v="9"/>
    <x v="21"/>
    <x v="0"/>
    <x v="451"/>
    <x v="4"/>
    <x v="88"/>
  </r>
  <r>
    <s v="SUPER"/>
    <s v="HO"/>
    <s v="04/09/2025"/>
    <s v="01/08/2025-31/08/2025"/>
    <x v="86"/>
    <x v="86"/>
    <x v="14"/>
    <x v="0"/>
    <x v="3"/>
    <x v="380"/>
    <x v="380"/>
    <x v="15"/>
    <x v="15"/>
    <x v="26"/>
    <x v="16"/>
    <x v="0"/>
    <x v="451"/>
    <x v="4"/>
    <x v="85"/>
  </r>
  <r>
    <s v="SUPER"/>
    <s v="HO"/>
    <s v="04/09/2025"/>
    <s v="01/08/2025-31/08/2025"/>
    <x v="89"/>
    <x v="89"/>
    <x v="21"/>
    <x v="0"/>
    <x v="2"/>
    <x v="381"/>
    <x v="381"/>
    <x v="83"/>
    <x v="83"/>
    <x v="9"/>
    <x v="21"/>
    <x v="1"/>
    <x v="451"/>
    <x v="4"/>
    <x v="88"/>
  </r>
  <r>
    <s v="SUPER"/>
    <s v="HO"/>
    <s v="04/09/2025"/>
    <s v="01/08/2025-31/08/2025"/>
    <x v="86"/>
    <x v="86"/>
    <x v="14"/>
    <x v="0"/>
    <x v="3"/>
    <x v="380"/>
    <x v="380"/>
    <x v="15"/>
    <x v="15"/>
    <x v="26"/>
    <x v="16"/>
    <x v="1"/>
    <x v="451"/>
    <x v="4"/>
    <x v="85"/>
  </r>
  <r>
    <s v="SUPER"/>
    <s v="HO"/>
    <s v="04/09/2025"/>
    <s v="01/08/2025-31/08/2025"/>
    <x v="63"/>
    <x v="63"/>
    <x v="8"/>
    <x v="0"/>
    <x v="3"/>
    <x v="114"/>
    <x v="114"/>
    <x v="1"/>
    <x v="1"/>
    <x v="15"/>
    <x v="5"/>
    <x v="0"/>
    <x v="452"/>
    <x v="1"/>
    <x v="62"/>
  </r>
  <r>
    <s v="SUPER"/>
    <s v="HO"/>
    <s v="04/09/2025"/>
    <s v="01/08/2025-31/08/2025"/>
    <x v="134"/>
    <x v="134"/>
    <x v="6"/>
    <x v="0"/>
    <x v="0"/>
    <x v="229"/>
    <x v="229"/>
    <x v="135"/>
    <x v="135"/>
    <x v="17"/>
    <x v="26"/>
    <x v="0"/>
    <x v="453"/>
    <x v="12"/>
    <x v="133"/>
  </r>
  <r>
    <s v="SUPER"/>
    <s v="HO"/>
    <s v="04/09/2025"/>
    <s v="01/08/2025-31/08/2025"/>
    <x v="52"/>
    <x v="52"/>
    <x v="15"/>
    <x v="0"/>
    <x v="0"/>
    <x v="382"/>
    <x v="382"/>
    <x v="3"/>
    <x v="3"/>
    <x v="15"/>
    <x v="5"/>
    <x v="0"/>
    <x v="454"/>
    <x v="3"/>
    <x v="51"/>
  </r>
  <r>
    <s v="SUPER"/>
    <s v="HO"/>
    <s v="04/09/2025"/>
    <s v="01/08/2025-31/08/2025"/>
    <x v="34"/>
    <x v="34"/>
    <x v="17"/>
    <x v="0"/>
    <x v="3"/>
    <x v="0"/>
    <x v="0"/>
    <x v="1"/>
    <x v="1"/>
    <x v="10"/>
    <x v="28"/>
    <x v="0"/>
    <x v="455"/>
    <x v="10"/>
    <x v="33"/>
  </r>
  <r>
    <s v="SUPER"/>
    <s v="HO"/>
    <s v="04/09/2025"/>
    <s v="01/08/2025-31/08/2025"/>
    <x v="34"/>
    <x v="34"/>
    <x v="17"/>
    <x v="0"/>
    <x v="3"/>
    <x v="0"/>
    <x v="0"/>
    <x v="1"/>
    <x v="1"/>
    <x v="10"/>
    <x v="28"/>
    <x v="1"/>
    <x v="455"/>
    <x v="1"/>
    <x v="33"/>
  </r>
  <r>
    <s v="SUPER"/>
    <s v="HO"/>
    <s v="04/09/2025"/>
    <s v="01/08/2025-31/08/2025"/>
    <x v="51"/>
    <x v="51"/>
    <x v="19"/>
    <x v="0"/>
    <x v="1"/>
    <x v="96"/>
    <x v="96"/>
    <x v="80"/>
    <x v="80"/>
    <x v="12"/>
    <x v="3"/>
    <x v="0"/>
    <x v="456"/>
    <x v="4"/>
    <x v="50"/>
  </r>
  <r>
    <s v="SUPER"/>
    <s v="HO"/>
    <s v="04/09/2025"/>
    <s v="01/08/2025-31/08/2025"/>
    <x v="51"/>
    <x v="51"/>
    <x v="19"/>
    <x v="0"/>
    <x v="1"/>
    <x v="160"/>
    <x v="160"/>
    <x v="80"/>
    <x v="80"/>
    <x v="12"/>
    <x v="3"/>
    <x v="1"/>
    <x v="456"/>
    <x v="4"/>
    <x v="50"/>
  </r>
  <r>
    <s v="SUPER"/>
    <s v="HO"/>
    <s v="04/09/2025"/>
    <s v="01/08/2025-31/08/2025"/>
    <x v="51"/>
    <x v="51"/>
    <x v="19"/>
    <x v="0"/>
    <x v="1"/>
    <x v="38"/>
    <x v="38"/>
    <x v="80"/>
    <x v="80"/>
    <x v="12"/>
    <x v="3"/>
    <x v="2"/>
    <x v="456"/>
    <x v="1"/>
    <x v="50"/>
  </r>
  <r>
    <s v="SUPER"/>
    <s v="HO"/>
    <s v="04/09/2025"/>
    <s v="01/08/2025-31/08/2025"/>
    <x v="20"/>
    <x v="20"/>
    <x v="1"/>
    <x v="0"/>
    <x v="0"/>
    <x v="38"/>
    <x v="38"/>
    <x v="25"/>
    <x v="25"/>
    <x v="14"/>
    <x v="2"/>
    <x v="0"/>
    <x v="457"/>
    <x v="10"/>
    <x v="19"/>
  </r>
  <r>
    <s v="SUPER"/>
    <s v="HO"/>
    <s v="04/09/2025"/>
    <s v="01/08/2025-31/08/2025"/>
    <x v="11"/>
    <x v="11"/>
    <x v="1"/>
    <x v="0"/>
    <x v="0"/>
    <x v="33"/>
    <x v="33"/>
    <x v="9"/>
    <x v="9"/>
    <x v="12"/>
    <x v="4"/>
    <x v="0"/>
    <x v="458"/>
    <x v="3"/>
    <x v="10"/>
  </r>
  <r>
    <s v="SUPER"/>
    <s v="HO"/>
    <s v="04/09/2025"/>
    <s v="01/08/2025-31/08/2025"/>
    <x v="6"/>
    <x v="6"/>
    <x v="5"/>
    <x v="0"/>
    <x v="2"/>
    <x v="382"/>
    <x v="382"/>
    <x v="3"/>
    <x v="3"/>
    <x v="7"/>
    <x v="1"/>
    <x v="0"/>
    <x v="459"/>
    <x v="3"/>
    <x v="5"/>
  </r>
  <r>
    <s v="SUPER"/>
    <s v="HO"/>
    <s v="04/09/2025"/>
    <s v="01/08/2025-31/08/2025"/>
    <x v="84"/>
    <x v="84"/>
    <x v="1"/>
    <x v="0"/>
    <x v="0"/>
    <x v="64"/>
    <x v="64"/>
    <x v="76"/>
    <x v="76"/>
    <x v="10"/>
    <x v="21"/>
    <x v="0"/>
    <x v="460"/>
    <x v="1"/>
    <x v="83"/>
  </r>
  <r>
    <s v="SUPER"/>
    <s v="HO"/>
    <s v="04/09/2025"/>
    <s v="01/08/2025-31/08/2025"/>
    <x v="73"/>
    <x v="73"/>
    <x v="9"/>
    <x v="0"/>
    <x v="3"/>
    <x v="31"/>
    <x v="31"/>
    <x v="64"/>
    <x v="64"/>
    <x v="10"/>
    <x v="28"/>
    <x v="0"/>
    <x v="461"/>
    <x v="10"/>
    <x v="72"/>
  </r>
  <r>
    <s v="SUPER"/>
    <s v="HO"/>
    <s v="04/09/2025"/>
    <s v="01/08/2025-31/08/2025"/>
    <x v="116"/>
    <x v="116"/>
    <x v="25"/>
    <x v="0"/>
    <x v="2"/>
    <x v="2"/>
    <x v="2"/>
    <x v="118"/>
    <x v="118"/>
    <x v="10"/>
    <x v="21"/>
    <x v="0"/>
    <x v="462"/>
    <x v="1"/>
    <x v="115"/>
  </r>
  <r>
    <s v="SUPER"/>
    <s v="HO"/>
    <s v="04/09/2025"/>
    <s v="01/08/2025-31/08/2025"/>
    <x v="89"/>
    <x v="89"/>
    <x v="21"/>
    <x v="0"/>
    <x v="2"/>
    <x v="161"/>
    <x v="161"/>
    <x v="83"/>
    <x v="83"/>
    <x v="10"/>
    <x v="21"/>
    <x v="0"/>
    <x v="463"/>
    <x v="1"/>
    <x v="88"/>
  </r>
  <r>
    <s v="SUPER"/>
    <s v="HO"/>
    <s v="04/09/2025"/>
    <s v="01/08/2025-31/08/2025"/>
    <x v="18"/>
    <x v="18"/>
    <x v="12"/>
    <x v="0"/>
    <x v="3"/>
    <x v="383"/>
    <x v="383"/>
    <x v="136"/>
    <x v="136"/>
    <x v="20"/>
    <x v="24"/>
    <x v="0"/>
    <x v="464"/>
    <x v="12"/>
    <x v="17"/>
  </r>
  <r>
    <s v="SUPER"/>
    <s v="HO"/>
    <s v="04/09/2025"/>
    <s v="01/08/2025-31/08/2025"/>
    <x v="18"/>
    <x v="18"/>
    <x v="12"/>
    <x v="0"/>
    <x v="3"/>
    <x v="189"/>
    <x v="189"/>
    <x v="136"/>
    <x v="136"/>
    <x v="20"/>
    <x v="24"/>
    <x v="1"/>
    <x v="464"/>
    <x v="13"/>
    <x v="17"/>
  </r>
  <r>
    <s v="SUPER"/>
    <s v="HO"/>
    <s v="04/09/2025"/>
    <s v="01/08/2025-31/08/2025"/>
    <x v="18"/>
    <x v="18"/>
    <x v="12"/>
    <x v="0"/>
    <x v="3"/>
    <x v="384"/>
    <x v="384"/>
    <x v="136"/>
    <x v="136"/>
    <x v="20"/>
    <x v="24"/>
    <x v="2"/>
    <x v="464"/>
    <x v="13"/>
    <x v="17"/>
  </r>
  <r>
    <s v="SUPER"/>
    <s v="HO"/>
    <s v="04/09/2025"/>
    <s v="01/08/2025-31/08/2025"/>
    <x v="22"/>
    <x v="22"/>
    <x v="14"/>
    <x v="0"/>
    <x v="3"/>
    <x v="284"/>
    <x v="284"/>
    <x v="1"/>
    <x v="1"/>
    <x v="14"/>
    <x v="2"/>
    <x v="0"/>
    <x v="465"/>
    <x v="10"/>
    <x v="21"/>
  </r>
  <r>
    <s v="SUPER"/>
    <s v="HO"/>
    <s v="04/09/2025"/>
    <s v="01/08/2025-31/08/2025"/>
    <x v="6"/>
    <x v="6"/>
    <x v="5"/>
    <x v="0"/>
    <x v="2"/>
    <x v="385"/>
    <x v="385"/>
    <x v="3"/>
    <x v="3"/>
    <x v="12"/>
    <x v="4"/>
    <x v="0"/>
    <x v="465"/>
    <x v="3"/>
    <x v="5"/>
  </r>
  <r>
    <s v="SUPER"/>
    <s v="HO"/>
    <s v="04/09/2025"/>
    <s v="01/08/2025-31/08/2025"/>
    <x v="6"/>
    <x v="6"/>
    <x v="5"/>
    <x v="0"/>
    <x v="2"/>
    <x v="276"/>
    <x v="276"/>
    <x v="3"/>
    <x v="3"/>
    <x v="12"/>
    <x v="4"/>
    <x v="1"/>
    <x v="465"/>
    <x v="3"/>
    <x v="5"/>
  </r>
  <r>
    <s v="SUPER"/>
    <s v="HO"/>
    <s v="04/09/2025"/>
    <s v="01/08/2025-31/08/2025"/>
    <x v="6"/>
    <x v="6"/>
    <x v="5"/>
    <x v="0"/>
    <x v="2"/>
    <x v="6"/>
    <x v="6"/>
    <x v="3"/>
    <x v="3"/>
    <x v="12"/>
    <x v="4"/>
    <x v="2"/>
    <x v="465"/>
    <x v="3"/>
    <x v="5"/>
  </r>
  <r>
    <s v="SUPER"/>
    <s v="HO"/>
    <s v="04/09/2025"/>
    <s v="01/08/2025-31/08/2025"/>
    <x v="18"/>
    <x v="18"/>
    <x v="12"/>
    <x v="0"/>
    <x v="3"/>
    <x v="149"/>
    <x v="149"/>
    <x v="16"/>
    <x v="16"/>
    <x v="30"/>
    <x v="31"/>
    <x v="0"/>
    <x v="466"/>
    <x v="0"/>
    <x v="17"/>
  </r>
  <r>
    <s v="SUPER"/>
    <s v="HO"/>
    <s v="04/09/2025"/>
    <s v="01/08/2025-31/08/2025"/>
    <x v="64"/>
    <x v="64"/>
    <x v="15"/>
    <x v="0"/>
    <x v="0"/>
    <x v="44"/>
    <x v="44"/>
    <x v="1"/>
    <x v="1"/>
    <x v="17"/>
    <x v="16"/>
    <x v="0"/>
    <x v="467"/>
    <x v="26"/>
    <x v="63"/>
  </r>
  <r>
    <s v="SUPER"/>
    <s v="HO"/>
    <s v="04/09/2025"/>
    <s v="01/08/2025-31/08/2025"/>
    <x v="11"/>
    <x v="11"/>
    <x v="1"/>
    <x v="0"/>
    <x v="0"/>
    <x v="2"/>
    <x v="2"/>
    <x v="9"/>
    <x v="9"/>
    <x v="10"/>
    <x v="21"/>
    <x v="0"/>
    <x v="468"/>
    <x v="1"/>
    <x v="10"/>
  </r>
  <r>
    <s v="SUPER"/>
    <s v="HO"/>
    <s v="04/09/2025"/>
    <s v="01/08/2025-31/08/2025"/>
    <x v="135"/>
    <x v="135"/>
    <x v="14"/>
    <x v="0"/>
    <x v="3"/>
    <x v="116"/>
    <x v="116"/>
    <x v="57"/>
    <x v="57"/>
    <x v="14"/>
    <x v="3"/>
    <x v="0"/>
    <x v="469"/>
    <x v="11"/>
    <x v="134"/>
  </r>
  <r>
    <s v="SUPER"/>
    <s v="HO"/>
    <s v="04/09/2025"/>
    <s v="01/08/2025-31/08/2025"/>
    <x v="39"/>
    <x v="39"/>
    <x v="18"/>
    <x v="0"/>
    <x v="3"/>
    <x v="386"/>
    <x v="386"/>
    <x v="1"/>
    <x v="1"/>
    <x v="7"/>
    <x v="1"/>
    <x v="0"/>
    <x v="470"/>
    <x v="3"/>
    <x v="38"/>
  </r>
  <r>
    <s v="SUPER"/>
    <s v="HO"/>
    <s v="04/09/2025"/>
    <s v="01/08/2025-31/08/2025"/>
    <x v="88"/>
    <x v="88"/>
    <x v="9"/>
    <x v="0"/>
    <x v="3"/>
    <x v="30"/>
    <x v="30"/>
    <x v="1"/>
    <x v="1"/>
    <x v="7"/>
    <x v="1"/>
    <x v="0"/>
    <x v="471"/>
    <x v="10"/>
    <x v="87"/>
  </r>
  <r>
    <s v="SUPER"/>
    <s v="HO"/>
    <s v="04/09/2025"/>
    <s v="01/08/2025-31/08/2025"/>
    <x v="45"/>
    <x v="45"/>
    <x v="14"/>
    <x v="0"/>
    <x v="3"/>
    <x v="387"/>
    <x v="387"/>
    <x v="37"/>
    <x v="37"/>
    <x v="3"/>
    <x v="30"/>
    <x v="0"/>
    <x v="472"/>
    <x v="4"/>
    <x v="44"/>
  </r>
  <r>
    <s v="SUPER"/>
    <s v="HO"/>
    <s v="04/09/2025"/>
    <s v="01/08/2025-31/08/2025"/>
    <x v="88"/>
    <x v="88"/>
    <x v="9"/>
    <x v="0"/>
    <x v="3"/>
    <x v="125"/>
    <x v="125"/>
    <x v="1"/>
    <x v="1"/>
    <x v="18"/>
    <x v="2"/>
    <x v="0"/>
    <x v="473"/>
    <x v="10"/>
    <x v="87"/>
  </r>
  <r>
    <s v="SUPER"/>
    <s v="HO"/>
    <s v="04/09/2025"/>
    <s v="01/08/2025-31/08/2025"/>
    <x v="65"/>
    <x v="65"/>
    <x v="22"/>
    <x v="0"/>
    <x v="2"/>
    <x v="174"/>
    <x v="174"/>
    <x v="1"/>
    <x v="1"/>
    <x v="10"/>
    <x v="0"/>
    <x v="0"/>
    <x v="474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10"/>
    <x v="0"/>
    <x v="1"/>
    <x v="474"/>
    <x v="3"/>
    <x v="64"/>
  </r>
  <r>
    <s v="SUPER"/>
    <s v="HO"/>
    <s v="04/09/2025"/>
    <s v="01/08/2025-31/08/2025"/>
    <x v="60"/>
    <x v="60"/>
    <x v="21"/>
    <x v="0"/>
    <x v="2"/>
    <x v="388"/>
    <x v="388"/>
    <x v="1"/>
    <x v="1"/>
    <x v="10"/>
    <x v="0"/>
    <x v="0"/>
    <x v="475"/>
    <x v="3"/>
    <x v="59"/>
  </r>
  <r>
    <s v="SUPER"/>
    <s v="HO"/>
    <s v="04/09/2025"/>
    <s v="01/08/2025-31/08/2025"/>
    <x v="60"/>
    <x v="60"/>
    <x v="21"/>
    <x v="0"/>
    <x v="2"/>
    <x v="22"/>
    <x v="22"/>
    <x v="1"/>
    <x v="1"/>
    <x v="10"/>
    <x v="0"/>
    <x v="1"/>
    <x v="475"/>
    <x v="3"/>
    <x v="59"/>
  </r>
  <r>
    <s v="SUPER"/>
    <s v="HO"/>
    <s v="04/09/2025"/>
    <s v="01/08/2025-31/08/2025"/>
    <x v="6"/>
    <x v="6"/>
    <x v="5"/>
    <x v="0"/>
    <x v="2"/>
    <x v="389"/>
    <x v="389"/>
    <x v="3"/>
    <x v="3"/>
    <x v="10"/>
    <x v="0"/>
    <x v="0"/>
    <x v="476"/>
    <x v="3"/>
    <x v="5"/>
  </r>
  <r>
    <s v="SUPER"/>
    <s v="HO"/>
    <s v="04/09/2025"/>
    <s v="01/08/2025-31/08/2025"/>
    <x v="52"/>
    <x v="52"/>
    <x v="15"/>
    <x v="0"/>
    <x v="0"/>
    <x v="233"/>
    <x v="233"/>
    <x v="68"/>
    <x v="68"/>
    <x v="14"/>
    <x v="3"/>
    <x v="0"/>
    <x v="477"/>
    <x v="4"/>
    <x v="51"/>
  </r>
  <r>
    <s v="SUPER"/>
    <s v="HO"/>
    <s v="04/09/2025"/>
    <s v="01/08/2025-31/08/2025"/>
    <x v="52"/>
    <x v="52"/>
    <x v="15"/>
    <x v="0"/>
    <x v="0"/>
    <x v="231"/>
    <x v="231"/>
    <x v="68"/>
    <x v="68"/>
    <x v="14"/>
    <x v="3"/>
    <x v="1"/>
    <x v="477"/>
    <x v="4"/>
    <x v="51"/>
  </r>
  <r>
    <s v="SUPER"/>
    <s v="HO"/>
    <s v="04/09/2025"/>
    <s v="01/08/2025-31/08/2025"/>
    <x v="52"/>
    <x v="52"/>
    <x v="15"/>
    <x v="0"/>
    <x v="0"/>
    <x v="232"/>
    <x v="232"/>
    <x v="68"/>
    <x v="68"/>
    <x v="14"/>
    <x v="3"/>
    <x v="2"/>
    <x v="477"/>
    <x v="4"/>
    <x v="51"/>
  </r>
  <r>
    <s v="SUPER"/>
    <s v="HO"/>
    <s v="04/09/2025"/>
    <s v="01/08/2025-31/08/2025"/>
    <x v="52"/>
    <x v="52"/>
    <x v="15"/>
    <x v="0"/>
    <x v="0"/>
    <x v="390"/>
    <x v="390"/>
    <x v="68"/>
    <x v="68"/>
    <x v="14"/>
    <x v="3"/>
    <x v="3"/>
    <x v="477"/>
    <x v="4"/>
    <x v="51"/>
  </r>
  <r>
    <s v="SUPER"/>
    <s v="HO"/>
    <s v="04/09/2025"/>
    <s v="01/08/2025-31/08/2025"/>
    <x v="52"/>
    <x v="52"/>
    <x v="15"/>
    <x v="0"/>
    <x v="0"/>
    <x v="391"/>
    <x v="391"/>
    <x v="68"/>
    <x v="68"/>
    <x v="14"/>
    <x v="3"/>
    <x v="4"/>
    <x v="477"/>
    <x v="4"/>
    <x v="51"/>
  </r>
  <r>
    <s v="SUPER"/>
    <s v="HO"/>
    <s v="04/09/2025"/>
    <s v="01/08/2025-31/08/2025"/>
    <x v="131"/>
    <x v="131"/>
    <x v="20"/>
    <x v="0"/>
    <x v="2"/>
    <x v="392"/>
    <x v="392"/>
    <x v="1"/>
    <x v="1"/>
    <x v="18"/>
    <x v="2"/>
    <x v="0"/>
    <x v="478"/>
    <x v="11"/>
    <x v="130"/>
  </r>
  <r>
    <s v="SUPER"/>
    <s v="HO"/>
    <s v="04/09/2025"/>
    <s v="01/08/2025-31/08/2025"/>
    <x v="35"/>
    <x v="35"/>
    <x v="6"/>
    <x v="0"/>
    <x v="0"/>
    <x v="2"/>
    <x v="2"/>
    <x v="29"/>
    <x v="29"/>
    <x v="10"/>
    <x v="21"/>
    <x v="0"/>
    <x v="479"/>
    <x v="1"/>
    <x v="34"/>
  </r>
  <r>
    <s v="SUPER"/>
    <s v="HO"/>
    <s v="04/09/2025"/>
    <s v="01/08/2025-31/08/2025"/>
    <x v="121"/>
    <x v="121"/>
    <x v="9"/>
    <x v="0"/>
    <x v="3"/>
    <x v="8"/>
    <x v="8"/>
    <x v="1"/>
    <x v="1"/>
    <x v="15"/>
    <x v="28"/>
    <x v="0"/>
    <x v="480"/>
    <x v="1"/>
    <x v="120"/>
  </r>
  <r>
    <s v="SUPER"/>
    <s v="HO"/>
    <s v="04/09/2025"/>
    <s v="01/08/2025-31/08/2025"/>
    <x v="22"/>
    <x v="22"/>
    <x v="14"/>
    <x v="0"/>
    <x v="3"/>
    <x v="393"/>
    <x v="393"/>
    <x v="1"/>
    <x v="1"/>
    <x v="10"/>
    <x v="21"/>
    <x v="0"/>
    <x v="481"/>
    <x v="11"/>
    <x v="21"/>
  </r>
  <r>
    <s v="SUPER"/>
    <s v="HO"/>
    <s v="04/09/2025"/>
    <s v="01/08/2025-31/08/2025"/>
    <x v="22"/>
    <x v="22"/>
    <x v="14"/>
    <x v="0"/>
    <x v="3"/>
    <x v="116"/>
    <x v="116"/>
    <x v="46"/>
    <x v="46"/>
    <x v="14"/>
    <x v="3"/>
    <x v="0"/>
    <x v="482"/>
    <x v="11"/>
    <x v="21"/>
  </r>
  <r>
    <s v="SUPER"/>
    <s v="HO"/>
    <s v="04/09/2025"/>
    <s v="01/08/2025-31/08/2025"/>
    <x v="22"/>
    <x v="22"/>
    <x v="14"/>
    <x v="0"/>
    <x v="3"/>
    <x v="35"/>
    <x v="35"/>
    <x v="46"/>
    <x v="46"/>
    <x v="14"/>
    <x v="3"/>
    <x v="1"/>
    <x v="482"/>
    <x v="11"/>
    <x v="21"/>
  </r>
  <r>
    <s v="SUPER"/>
    <s v="HO"/>
    <s v="04/09/2025"/>
    <s v="01/08/2025-31/08/2025"/>
    <x v="22"/>
    <x v="22"/>
    <x v="14"/>
    <x v="0"/>
    <x v="3"/>
    <x v="117"/>
    <x v="117"/>
    <x v="46"/>
    <x v="46"/>
    <x v="14"/>
    <x v="3"/>
    <x v="2"/>
    <x v="482"/>
    <x v="11"/>
    <x v="21"/>
  </r>
  <r>
    <s v="SUPER"/>
    <s v="HO"/>
    <s v="04/09/2025"/>
    <s v="01/08/2025-31/08/2025"/>
    <x v="45"/>
    <x v="45"/>
    <x v="14"/>
    <x v="0"/>
    <x v="3"/>
    <x v="69"/>
    <x v="69"/>
    <x v="37"/>
    <x v="37"/>
    <x v="22"/>
    <x v="23"/>
    <x v="0"/>
    <x v="483"/>
    <x v="14"/>
    <x v="44"/>
  </r>
  <r>
    <s v="SUPER"/>
    <s v="HO"/>
    <s v="04/09/2025"/>
    <s v="01/08/2025-31/08/2025"/>
    <x v="56"/>
    <x v="56"/>
    <x v="20"/>
    <x v="0"/>
    <x v="2"/>
    <x v="394"/>
    <x v="394"/>
    <x v="1"/>
    <x v="1"/>
    <x v="18"/>
    <x v="2"/>
    <x v="0"/>
    <x v="484"/>
    <x v="11"/>
    <x v="55"/>
  </r>
  <r>
    <s v="SUPER"/>
    <s v="HO"/>
    <s v="04/09/2025"/>
    <s v="01/08/2025-31/08/2025"/>
    <x v="60"/>
    <x v="60"/>
    <x v="21"/>
    <x v="0"/>
    <x v="2"/>
    <x v="111"/>
    <x v="111"/>
    <x v="1"/>
    <x v="1"/>
    <x v="14"/>
    <x v="3"/>
    <x v="0"/>
    <x v="485"/>
    <x v="11"/>
    <x v="59"/>
  </r>
  <r>
    <s v="SUPER"/>
    <s v="HO"/>
    <s v="04/09/2025"/>
    <s v="01/08/2025-31/08/2025"/>
    <x v="60"/>
    <x v="60"/>
    <x v="21"/>
    <x v="0"/>
    <x v="2"/>
    <x v="8"/>
    <x v="8"/>
    <x v="1"/>
    <x v="1"/>
    <x v="14"/>
    <x v="3"/>
    <x v="1"/>
    <x v="485"/>
    <x v="11"/>
    <x v="59"/>
  </r>
  <r>
    <s v="SUPER"/>
    <s v="HO"/>
    <s v="04/09/2025"/>
    <s v="01/08/2025-31/08/2025"/>
    <x v="60"/>
    <x v="60"/>
    <x v="21"/>
    <x v="0"/>
    <x v="2"/>
    <x v="356"/>
    <x v="356"/>
    <x v="1"/>
    <x v="1"/>
    <x v="14"/>
    <x v="3"/>
    <x v="2"/>
    <x v="485"/>
    <x v="11"/>
    <x v="59"/>
  </r>
  <r>
    <s v="SUPER"/>
    <s v="HO"/>
    <s v="04/09/2025"/>
    <s v="01/08/2025-31/08/2025"/>
    <x v="22"/>
    <x v="22"/>
    <x v="14"/>
    <x v="0"/>
    <x v="3"/>
    <x v="276"/>
    <x v="276"/>
    <x v="46"/>
    <x v="46"/>
    <x v="14"/>
    <x v="4"/>
    <x v="0"/>
    <x v="486"/>
    <x v="4"/>
    <x v="21"/>
  </r>
  <r>
    <s v="SUPER"/>
    <s v="HO"/>
    <s v="04/09/2025"/>
    <s v="01/08/2025-31/08/2025"/>
    <x v="130"/>
    <x v="130"/>
    <x v="8"/>
    <x v="0"/>
    <x v="3"/>
    <x v="38"/>
    <x v="38"/>
    <x v="1"/>
    <x v="1"/>
    <x v="19"/>
    <x v="2"/>
    <x v="0"/>
    <x v="487"/>
    <x v="10"/>
    <x v="129"/>
  </r>
  <r>
    <s v="SUPER"/>
    <s v="HO"/>
    <s v="04/09/2025"/>
    <s v="01/08/2025-31/08/2025"/>
    <x v="87"/>
    <x v="87"/>
    <x v="15"/>
    <x v="0"/>
    <x v="0"/>
    <x v="30"/>
    <x v="30"/>
    <x v="1"/>
    <x v="1"/>
    <x v="7"/>
    <x v="1"/>
    <x v="0"/>
    <x v="488"/>
    <x v="10"/>
    <x v="86"/>
  </r>
  <r>
    <s v="SUPER"/>
    <s v="HO"/>
    <s v="04/09/2025"/>
    <s v="01/08/2025-31/08/2025"/>
    <x v="87"/>
    <x v="87"/>
    <x v="15"/>
    <x v="0"/>
    <x v="0"/>
    <x v="277"/>
    <x v="277"/>
    <x v="1"/>
    <x v="1"/>
    <x v="7"/>
    <x v="1"/>
    <x v="1"/>
    <x v="488"/>
    <x v="10"/>
    <x v="86"/>
  </r>
  <r>
    <s v="SUPER"/>
    <s v="HO"/>
    <s v="04/09/2025"/>
    <s v="01/08/2025-31/08/2025"/>
    <x v="126"/>
    <x v="126"/>
    <x v="14"/>
    <x v="0"/>
    <x v="3"/>
    <x v="395"/>
    <x v="395"/>
    <x v="1"/>
    <x v="1"/>
    <x v="25"/>
    <x v="24"/>
    <x v="0"/>
    <x v="489"/>
    <x v="19"/>
    <x v="125"/>
  </r>
  <r>
    <s v="SUPER"/>
    <s v="HO"/>
    <s v="04/09/2025"/>
    <s v="01/08/2025-31/08/2025"/>
    <x v="65"/>
    <x v="65"/>
    <x v="22"/>
    <x v="0"/>
    <x v="2"/>
    <x v="211"/>
    <x v="211"/>
    <x v="1"/>
    <x v="1"/>
    <x v="19"/>
    <x v="2"/>
    <x v="0"/>
    <x v="490"/>
    <x v="11"/>
    <x v="64"/>
  </r>
  <r>
    <s v="SUPER"/>
    <s v="HO"/>
    <s v="04/09/2025"/>
    <s v="01/08/2025-31/08/2025"/>
    <x v="19"/>
    <x v="19"/>
    <x v="6"/>
    <x v="0"/>
    <x v="0"/>
    <x v="39"/>
    <x v="39"/>
    <x v="17"/>
    <x v="17"/>
    <x v="19"/>
    <x v="2"/>
    <x v="0"/>
    <x v="491"/>
    <x v="4"/>
    <x v="18"/>
  </r>
  <r>
    <s v="SUPER"/>
    <s v="HO"/>
    <s v="04/09/2025"/>
    <s v="01/08/2025-31/08/2025"/>
    <x v="19"/>
    <x v="19"/>
    <x v="6"/>
    <x v="0"/>
    <x v="0"/>
    <x v="121"/>
    <x v="121"/>
    <x v="17"/>
    <x v="17"/>
    <x v="19"/>
    <x v="2"/>
    <x v="1"/>
    <x v="491"/>
    <x v="4"/>
    <x v="18"/>
  </r>
  <r>
    <s v="SUPER"/>
    <s v="HO"/>
    <s v="04/09/2025"/>
    <s v="01/08/2025-31/08/2025"/>
    <x v="19"/>
    <x v="19"/>
    <x v="6"/>
    <x v="0"/>
    <x v="0"/>
    <x v="39"/>
    <x v="39"/>
    <x v="17"/>
    <x v="17"/>
    <x v="19"/>
    <x v="2"/>
    <x v="2"/>
    <x v="491"/>
    <x v="4"/>
    <x v="18"/>
  </r>
  <r>
    <s v="SUPER"/>
    <s v="HO"/>
    <s v="04/09/2025"/>
    <s v="01/08/2025-31/08/2025"/>
    <x v="19"/>
    <x v="19"/>
    <x v="6"/>
    <x v="0"/>
    <x v="0"/>
    <x v="141"/>
    <x v="141"/>
    <x v="17"/>
    <x v="17"/>
    <x v="19"/>
    <x v="2"/>
    <x v="3"/>
    <x v="491"/>
    <x v="4"/>
    <x v="18"/>
  </r>
  <r>
    <s v="SUPER"/>
    <s v="HO"/>
    <s v="04/09/2025"/>
    <s v="01/08/2025-31/08/2025"/>
    <x v="19"/>
    <x v="19"/>
    <x v="6"/>
    <x v="0"/>
    <x v="0"/>
    <x v="114"/>
    <x v="114"/>
    <x v="17"/>
    <x v="17"/>
    <x v="19"/>
    <x v="2"/>
    <x v="4"/>
    <x v="491"/>
    <x v="4"/>
    <x v="18"/>
  </r>
  <r>
    <s v="SUPER"/>
    <s v="HO"/>
    <s v="04/09/2025"/>
    <s v="01/08/2025-31/08/2025"/>
    <x v="76"/>
    <x v="76"/>
    <x v="14"/>
    <x v="0"/>
    <x v="3"/>
    <x v="396"/>
    <x v="396"/>
    <x v="1"/>
    <x v="1"/>
    <x v="10"/>
    <x v="21"/>
    <x v="0"/>
    <x v="492"/>
    <x v="10"/>
    <x v="75"/>
  </r>
  <r>
    <s v="SUPER"/>
    <s v="HO"/>
    <s v="04/09/2025"/>
    <s v="01/08/2025-31/08/2025"/>
    <x v="116"/>
    <x v="116"/>
    <x v="25"/>
    <x v="0"/>
    <x v="2"/>
    <x v="2"/>
    <x v="2"/>
    <x v="1"/>
    <x v="1"/>
    <x v="15"/>
    <x v="21"/>
    <x v="0"/>
    <x v="493"/>
    <x v="1"/>
    <x v="115"/>
  </r>
  <r>
    <s v="SUPER"/>
    <s v="HO"/>
    <s v="04/09/2025"/>
    <s v="01/08/2025-31/08/2025"/>
    <x v="64"/>
    <x v="64"/>
    <x v="15"/>
    <x v="0"/>
    <x v="0"/>
    <x v="397"/>
    <x v="397"/>
    <x v="74"/>
    <x v="74"/>
    <x v="25"/>
    <x v="24"/>
    <x v="0"/>
    <x v="493"/>
    <x v="12"/>
    <x v="63"/>
  </r>
  <r>
    <s v="SUPER"/>
    <s v="HO"/>
    <s v="04/09/2025"/>
    <s v="01/08/2025-31/08/2025"/>
    <x v="89"/>
    <x v="89"/>
    <x v="21"/>
    <x v="0"/>
    <x v="2"/>
    <x v="161"/>
    <x v="161"/>
    <x v="83"/>
    <x v="83"/>
    <x v="15"/>
    <x v="21"/>
    <x v="0"/>
    <x v="494"/>
    <x v="4"/>
    <x v="88"/>
  </r>
  <r>
    <s v="SUPER"/>
    <s v="HO"/>
    <s v="04/09/2025"/>
    <s v="01/08/2025-31/08/2025"/>
    <x v="8"/>
    <x v="8"/>
    <x v="7"/>
    <x v="0"/>
    <x v="1"/>
    <x v="64"/>
    <x v="64"/>
    <x v="5"/>
    <x v="5"/>
    <x v="15"/>
    <x v="21"/>
    <x v="0"/>
    <x v="495"/>
    <x v="1"/>
    <x v="7"/>
  </r>
  <r>
    <s v="SUPER"/>
    <s v="HO"/>
    <s v="04/09/2025"/>
    <s v="01/08/2025-31/08/2025"/>
    <x v="47"/>
    <x v="47"/>
    <x v="14"/>
    <x v="0"/>
    <x v="3"/>
    <x v="136"/>
    <x v="136"/>
    <x v="38"/>
    <x v="38"/>
    <x v="19"/>
    <x v="2"/>
    <x v="0"/>
    <x v="496"/>
    <x v="11"/>
    <x v="46"/>
  </r>
  <r>
    <s v="SUPER"/>
    <s v="HO"/>
    <s v="04/09/2025"/>
    <s v="01/08/2025-31/08/2025"/>
    <x v="47"/>
    <x v="47"/>
    <x v="14"/>
    <x v="0"/>
    <x v="3"/>
    <x v="197"/>
    <x v="197"/>
    <x v="38"/>
    <x v="38"/>
    <x v="19"/>
    <x v="2"/>
    <x v="1"/>
    <x v="496"/>
    <x v="11"/>
    <x v="46"/>
  </r>
  <r>
    <s v="SUPER"/>
    <s v="HO"/>
    <s v="04/09/2025"/>
    <s v="01/08/2025-31/08/2025"/>
    <x v="47"/>
    <x v="47"/>
    <x v="14"/>
    <x v="0"/>
    <x v="3"/>
    <x v="51"/>
    <x v="51"/>
    <x v="38"/>
    <x v="38"/>
    <x v="19"/>
    <x v="2"/>
    <x v="2"/>
    <x v="496"/>
    <x v="11"/>
    <x v="46"/>
  </r>
  <r>
    <s v="SUPER"/>
    <s v="HO"/>
    <s v="04/09/2025"/>
    <s v="01/08/2025-31/08/2025"/>
    <x v="17"/>
    <x v="17"/>
    <x v="9"/>
    <x v="0"/>
    <x v="3"/>
    <x v="398"/>
    <x v="398"/>
    <x v="71"/>
    <x v="71"/>
    <x v="19"/>
    <x v="2"/>
    <x v="0"/>
    <x v="497"/>
    <x v="4"/>
    <x v="16"/>
  </r>
  <r>
    <s v="SUPER"/>
    <s v="HO"/>
    <s v="04/09/2025"/>
    <s v="01/08/2025-31/08/2025"/>
    <x v="14"/>
    <x v="14"/>
    <x v="5"/>
    <x v="0"/>
    <x v="2"/>
    <x v="51"/>
    <x v="51"/>
    <x v="12"/>
    <x v="12"/>
    <x v="19"/>
    <x v="2"/>
    <x v="0"/>
    <x v="498"/>
    <x v="11"/>
    <x v="13"/>
  </r>
  <r>
    <s v="SUPER"/>
    <s v="HO"/>
    <s v="04/09/2025"/>
    <s v="01/08/2025-31/08/2025"/>
    <x v="91"/>
    <x v="91"/>
    <x v="23"/>
    <x v="0"/>
    <x v="2"/>
    <x v="142"/>
    <x v="142"/>
    <x v="86"/>
    <x v="86"/>
    <x v="19"/>
    <x v="2"/>
    <x v="0"/>
    <x v="499"/>
    <x v="11"/>
    <x v="90"/>
  </r>
  <r>
    <s v="SUPER"/>
    <s v="HO"/>
    <s v="04/09/2025"/>
    <s v="01/08/2025-31/08/2025"/>
    <x v="14"/>
    <x v="14"/>
    <x v="5"/>
    <x v="0"/>
    <x v="2"/>
    <x v="399"/>
    <x v="399"/>
    <x v="12"/>
    <x v="12"/>
    <x v="19"/>
    <x v="2"/>
    <x v="0"/>
    <x v="500"/>
    <x v="11"/>
    <x v="13"/>
  </r>
  <r>
    <s v="SUPER"/>
    <s v="HO"/>
    <s v="04/09/2025"/>
    <s v="01/08/2025-31/08/2025"/>
    <x v="14"/>
    <x v="14"/>
    <x v="5"/>
    <x v="0"/>
    <x v="2"/>
    <x v="400"/>
    <x v="400"/>
    <x v="12"/>
    <x v="12"/>
    <x v="19"/>
    <x v="2"/>
    <x v="0"/>
    <x v="501"/>
    <x v="11"/>
    <x v="13"/>
  </r>
  <r>
    <s v="SUPER"/>
    <s v="HO"/>
    <s v="04/09/2025"/>
    <s v="01/08/2025-31/08/2025"/>
    <x v="14"/>
    <x v="14"/>
    <x v="5"/>
    <x v="0"/>
    <x v="2"/>
    <x v="259"/>
    <x v="259"/>
    <x v="12"/>
    <x v="12"/>
    <x v="19"/>
    <x v="2"/>
    <x v="1"/>
    <x v="501"/>
    <x v="11"/>
    <x v="13"/>
  </r>
  <r>
    <s v="SUPER"/>
    <s v="HO"/>
    <s v="04/09/2025"/>
    <s v="01/08/2025-31/08/2025"/>
    <x v="14"/>
    <x v="14"/>
    <x v="5"/>
    <x v="0"/>
    <x v="2"/>
    <x v="260"/>
    <x v="260"/>
    <x v="12"/>
    <x v="12"/>
    <x v="19"/>
    <x v="2"/>
    <x v="2"/>
    <x v="501"/>
    <x v="11"/>
    <x v="13"/>
  </r>
  <r>
    <s v="SUPER"/>
    <s v="HO"/>
    <s v="04/09/2025"/>
    <s v="01/08/2025-31/08/2025"/>
    <x v="14"/>
    <x v="14"/>
    <x v="5"/>
    <x v="0"/>
    <x v="2"/>
    <x v="262"/>
    <x v="262"/>
    <x v="12"/>
    <x v="12"/>
    <x v="19"/>
    <x v="2"/>
    <x v="3"/>
    <x v="501"/>
    <x v="11"/>
    <x v="13"/>
  </r>
  <r>
    <s v="SUPER"/>
    <s v="HO"/>
    <s v="04/09/2025"/>
    <s v="01/08/2025-31/08/2025"/>
    <x v="14"/>
    <x v="14"/>
    <x v="5"/>
    <x v="0"/>
    <x v="2"/>
    <x v="263"/>
    <x v="263"/>
    <x v="12"/>
    <x v="12"/>
    <x v="19"/>
    <x v="2"/>
    <x v="4"/>
    <x v="501"/>
    <x v="11"/>
    <x v="13"/>
  </r>
  <r>
    <s v="SUPER"/>
    <s v="HO"/>
    <s v="04/09/2025"/>
    <s v="01/08/2025-31/08/2025"/>
    <x v="14"/>
    <x v="14"/>
    <x v="5"/>
    <x v="0"/>
    <x v="2"/>
    <x v="51"/>
    <x v="51"/>
    <x v="12"/>
    <x v="12"/>
    <x v="19"/>
    <x v="2"/>
    <x v="5"/>
    <x v="501"/>
    <x v="11"/>
    <x v="13"/>
  </r>
  <r>
    <s v="SUPER"/>
    <s v="HO"/>
    <s v="04/09/2025"/>
    <s v="01/08/2025-31/08/2025"/>
    <x v="102"/>
    <x v="102"/>
    <x v="9"/>
    <x v="0"/>
    <x v="3"/>
    <x v="401"/>
    <x v="401"/>
    <x v="110"/>
    <x v="110"/>
    <x v="18"/>
    <x v="3"/>
    <x v="0"/>
    <x v="502"/>
    <x v="1"/>
    <x v="101"/>
  </r>
  <r>
    <s v="SUPER"/>
    <s v="HO"/>
    <s v="04/09/2025"/>
    <s v="01/08/2025-31/08/2025"/>
    <x v="65"/>
    <x v="65"/>
    <x v="22"/>
    <x v="0"/>
    <x v="2"/>
    <x v="174"/>
    <x v="174"/>
    <x v="1"/>
    <x v="1"/>
    <x v="15"/>
    <x v="0"/>
    <x v="0"/>
    <x v="503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15"/>
    <x v="0"/>
    <x v="1"/>
    <x v="503"/>
    <x v="3"/>
    <x v="64"/>
  </r>
  <r>
    <s v="SUPER"/>
    <s v="HO"/>
    <s v="04/09/2025"/>
    <s v="01/08/2025-31/08/2025"/>
    <x v="1"/>
    <x v="1"/>
    <x v="1"/>
    <x v="0"/>
    <x v="0"/>
    <x v="233"/>
    <x v="233"/>
    <x v="32"/>
    <x v="32"/>
    <x v="16"/>
    <x v="5"/>
    <x v="0"/>
    <x v="504"/>
    <x v="4"/>
    <x v="1"/>
  </r>
  <r>
    <s v="SUPER"/>
    <s v="HO"/>
    <s v="04/09/2025"/>
    <s v="01/08/2025-31/08/2025"/>
    <x v="54"/>
    <x v="54"/>
    <x v="14"/>
    <x v="0"/>
    <x v="3"/>
    <x v="402"/>
    <x v="402"/>
    <x v="45"/>
    <x v="45"/>
    <x v="18"/>
    <x v="3"/>
    <x v="0"/>
    <x v="505"/>
    <x v="4"/>
    <x v="53"/>
  </r>
  <r>
    <s v="SUPER"/>
    <s v="HO"/>
    <s v="04/09/2025"/>
    <s v="01/08/2025-31/08/2025"/>
    <x v="40"/>
    <x v="40"/>
    <x v="11"/>
    <x v="0"/>
    <x v="3"/>
    <x v="171"/>
    <x v="171"/>
    <x v="132"/>
    <x v="132"/>
    <x v="26"/>
    <x v="24"/>
    <x v="0"/>
    <x v="506"/>
    <x v="26"/>
    <x v="39"/>
  </r>
  <r>
    <s v="SUPER"/>
    <s v="HO"/>
    <s v="04/09/2025"/>
    <s v="01/08/2025-31/08/2025"/>
    <x v="40"/>
    <x v="40"/>
    <x v="11"/>
    <x v="0"/>
    <x v="3"/>
    <x v="403"/>
    <x v="403"/>
    <x v="132"/>
    <x v="132"/>
    <x v="26"/>
    <x v="24"/>
    <x v="1"/>
    <x v="506"/>
    <x v="12"/>
    <x v="39"/>
  </r>
  <r>
    <s v="SUPER"/>
    <s v="HO"/>
    <s v="04/09/2025"/>
    <s v="01/08/2025-31/08/2025"/>
    <x v="16"/>
    <x v="16"/>
    <x v="12"/>
    <x v="0"/>
    <x v="3"/>
    <x v="86"/>
    <x v="86"/>
    <x v="1"/>
    <x v="1"/>
    <x v="15"/>
    <x v="21"/>
    <x v="0"/>
    <x v="507"/>
    <x v="1"/>
    <x v="15"/>
  </r>
  <r>
    <s v="SUPER"/>
    <s v="HO"/>
    <s v="04/09/2025"/>
    <s v="01/08/2025-31/08/2025"/>
    <x v="107"/>
    <x v="107"/>
    <x v="12"/>
    <x v="0"/>
    <x v="3"/>
    <x v="42"/>
    <x v="42"/>
    <x v="128"/>
    <x v="128"/>
    <x v="26"/>
    <x v="24"/>
    <x v="0"/>
    <x v="508"/>
    <x v="17"/>
    <x v="106"/>
  </r>
  <r>
    <s v="SUPER"/>
    <s v="HO"/>
    <s v="04/09/2025"/>
    <s v="01/08/2025-31/08/2025"/>
    <x v="107"/>
    <x v="107"/>
    <x v="12"/>
    <x v="0"/>
    <x v="3"/>
    <x v="159"/>
    <x v="159"/>
    <x v="128"/>
    <x v="128"/>
    <x v="26"/>
    <x v="24"/>
    <x v="1"/>
    <x v="508"/>
    <x v="17"/>
    <x v="106"/>
  </r>
  <r>
    <s v="SUPER"/>
    <s v="HO"/>
    <s v="04/09/2025"/>
    <s v="01/08/2025-31/08/2025"/>
    <x v="102"/>
    <x v="102"/>
    <x v="9"/>
    <x v="0"/>
    <x v="3"/>
    <x v="35"/>
    <x v="35"/>
    <x v="100"/>
    <x v="100"/>
    <x v="15"/>
    <x v="21"/>
    <x v="0"/>
    <x v="509"/>
    <x v="11"/>
    <x v="101"/>
  </r>
  <r>
    <s v="SUPER"/>
    <s v="HO"/>
    <s v="04/09/2025"/>
    <s v="01/08/2025-31/08/2025"/>
    <x v="102"/>
    <x v="102"/>
    <x v="9"/>
    <x v="0"/>
    <x v="3"/>
    <x v="34"/>
    <x v="34"/>
    <x v="100"/>
    <x v="100"/>
    <x v="15"/>
    <x v="21"/>
    <x v="1"/>
    <x v="509"/>
    <x v="11"/>
    <x v="101"/>
  </r>
  <r>
    <s v="SUPER"/>
    <s v="HO"/>
    <s v="04/09/2025"/>
    <s v="01/08/2025-31/08/2025"/>
    <x v="102"/>
    <x v="102"/>
    <x v="9"/>
    <x v="0"/>
    <x v="3"/>
    <x v="36"/>
    <x v="36"/>
    <x v="100"/>
    <x v="100"/>
    <x v="15"/>
    <x v="21"/>
    <x v="2"/>
    <x v="509"/>
    <x v="11"/>
    <x v="101"/>
  </r>
  <r>
    <s v="SUPER"/>
    <s v="HO"/>
    <s v="04/09/2025"/>
    <s v="01/08/2025-31/08/2025"/>
    <x v="97"/>
    <x v="97"/>
    <x v="14"/>
    <x v="0"/>
    <x v="3"/>
    <x v="76"/>
    <x v="76"/>
    <x v="35"/>
    <x v="35"/>
    <x v="26"/>
    <x v="24"/>
    <x v="0"/>
    <x v="510"/>
    <x v="4"/>
    <x v="96"/>
  </r>
  <r>
    <s v="SUPER"/>
    <s v="HO"/>
    <s v="04/09/2025"/>
    <s v="01/08/2025-31/08/2025"/>
    <x v="97"/>
    <x v="97"/>
    <x v="14"/>
    <x v="0"/>
    <x v="3"/>
    <x v="76"/>
    <x v="76"/>
    <x v="35"/>
    <x v="35"/>
    <x v="26"/>
    <x v="24"/>
    <x v="1"/>
    <x v="510"/>
    <x v="4"/>
    <x v="96"/>
  </r>
  <r>
    <s v="SUPER"/>
    <s v="HO"/>
    <s v="04/09/2025"/>
    <s v="01/08/2025-31/08/2025"/>
    <x v="97"/>
    <x v="97"/>
    <x v="14"/>
    <x v="0"/>
    <x v="3"/>
    <x v="380"/>
    <x v="380"/>
    <x v="35"/>
    <x v="35"/>
    <x v="26"/>
    <x v="24"/>
    <x v="2"/>
    <x v="510"/>
    <x v="4"/>
    <x v="96"/>
  </r>
  <r>
    <s v="SUPER"/>
    <s v="HO"/>
    <s v="04/09/2025"/>
    <s v="01/08/2025-31/08/2025"/>
    <x v="97"/>
    <x v="97"/>
    <x v="14"/>
    <x v="0"/>
    <x v="3"/>
    <x v="318"/>
    <x v="318"/>
    <x v="35"/>
    <x v="35"/>
    <x v="26"/>
    <x v="24"/>
    <x v="3"/>
    <x v="510"/>
    <x v="4"/>
    <x v="96"/>
  </r>
  <r>
    <s v="SUPER"/>
    <s v="HO"/>
    <s v="04/09/2025"/>
    <s v="01/08/2025-31/08/2025"/>
    <x v="73"/>
    <x v="73"/>
    <x v="9"/>
    <x v="0"/>
    <x v="3"/>
    <x v="53"/>
    <x v="53"/>
    <x v="64"/>
    <x v="64"/>
    <x v="26"/>
    <x v="24"/>
    <x v="0"/>
    <x v="511"/>
    <x v="12"/>
    <x v="72"/>
  </r>
  <r>
    <s v="SUPER"/>
    <s v="HO"/>
    <s v="04/09/2025"/>
    <s v="01/08/2025-31/08/2025"/>
    <x v="73"/>
    <x v="73"/>
    <x v="9"/>
    <x v="0"/>
    <x v="3"/>
    <x v="404"/>
    <x v="404"/>
    <x v="64"/>
    <x v="64"/>
    <x v="26"/>
    <x v="24"/>
    <x v="1"/>
    <x v="511"/>
    <x v="12"/>
    <x v="72"/>
  </r>
  <r>
    <s v="SUPER"/>
    <s v="HO"/>
    <s v="04/09/2025"/>
    <s v="01/08/2025-31/08/2025"/>
    <x v="73"/>
    <x v="73"/>
    <x v="9"/>
    <x v="0"/>
    <x v="3"/>
    <x v="405"/>
    <x v="405"/>
    <x v="64"/>
    <x v="64"/>
    <x v="26"/>
    <x v="24"/>
    <x v="2"/>
    <x v="511"/>
    <x v="12"/>
    <x v="72"/>
  </r>
  <r>
    <s v="SUPER"/>
    <s v="HO"/>
    <s v="04/09/2025"/>
    <s v="01/08/2025-31/08/2025"/>
    <x v="73"/>
    <x v="73"/>
    <x v="9"/>
    <x v="0"/>
    <x v="3"/>
    <x v="76"/>
    <x v="76"/>
    <x v="64"/>
    <x v="64"/>
    <x v="26"/>
    <x v="24"/>
    <x v="3"/>
    <x v="511"/>
    <x v="12"/>
    <x v="72"/>
  </r>
  <r>
    <s v="SUPER"/>
    <s v="HO"/>
    <s v="04/09/2025"/>
    <s v="01/08/2025-31/08/2025"/>
    <x v="86"/>
    <x v="86"/>
    <x v="14"/>
    <x v="0"/>
    <x v="3"/>
    <x v="30"/>
    <x v="30"/>
    <x v="1"/>
    <x v="1"/>
    <x v="29"/>
    <x v="2"/>
    <x v="0"/>
    <x v="512"/>
    <x v="10"/>
    <x v="85"/>
  </r>
  <r>
    <s v="SUPER"/>
    <s v="HO"/>
    <s v="04/09/2025"/>
    <s v="01/08/2025-31/08/2025"/>
    <x v="27"/>
    <x v="27"/>
    <x v="16"/>
    <x v="0"/>
    <x v="1"/>
    <x v="197"/>
    <x v="197"/>
    <x v="23"/>
    <x v="23"/>
    <x v="29"/>
    <x v="2"/>
    <x v="0"/>
    <x v="513"/>
    <x v="11"/>
    <x v="26"/>
  </r>
  <r>
    <s v="SUPER"/>
    <s v="HO"/>
    <s v="04/09/2025"/>
    <s v="01/08/2025-31/08/2025"/>
    <x v="27"/>
    <x v="27"/>
    <x v="16"/>
    <x v="0"/>
    <x v="1"/>
    <x v="51"/>
    <x v="51"/>
    <x v="23"/>
    <x v="23"/>
    <x v="29"/>
    <x v="2"/>
    <x v="1"/>
    <x v="513"/>
    <x v="11"/>
    <x v="26"/>
  </r>
  <r>
    <s v="SUPER"/>
    <s v="HO"/>
    <s v="04/09/2025"/>
    <s v="01/08/2025-31/08/2025"/>
    <x v="27"/>
    <x v="27"/>
    <x v="16"/>
    <x v="0"/>
    <x v="1"/>
    <x v="406"/>
    <x v="406"/>
    <x v="23"/>
    <x v="23"/>
    <x v="29"/>
    <x v="2"/>
    <x v="2"/>
    <x v="513"/>
    <x v="11"/>
    <x v="26"/>
  </r>
  <r>
    <s v="SUPER"/>
    <s v="HO"/>
    <s v="04/09/2025"/>
    <s v="01/08/2025-31/08/2025"/>
    <x v="27"/>
    <x v="27"/>
    <x v="16"/>
    <x v="0"/>
    <x v="1"/>
    <x v="82"/>
    <x v="82"/>
    <x v="23"/>
    <x v="23"/>
    <x v="29"/>
    <x v="2"/>
    <x v="3"/>
    <x v="513"/>
    <x v="11"/>
    <x v="26"/>
  </r>
  <r>
    <s v="SUPER"/>
    <s v="HO"/>
    <s v="04/09/2025"/>
    <s v="01/08/2025-31/08/2025"/>
    <x v="22"/>
    <x v="22"/>
    <x v="14"/>
    <x v="0"/>
    <x v="3"/>
    <x v="276"/>
    <x v="276"/>
    <x v="46"/>
    <x v="46"/>
    <x v="18"/>
    <x v="4"/>
    <x v="0"/>
    <x v="514"/>
    <x v="3"/>
    <x v="21"/>
  </r>
  <r>
    <s v="SUPER"/>
    <s v="HO"/>
    <s v="04/09/2025"/>
    <s v="01/08/2025-31/08/2025"/>
    <x v="33"/>
    <x v="33"/>
    <x v="17"/>
    <x v="0"/>
    <x v="3"/>
    <x v="6"/>
    <x v="6"/>
    <x v="1"/>
    <x v="1"/>
    <x v="16"/>
    <x v="5"/>
    <x v="0"/>
    <x v="515"/>
    <x v="3"/>
    <x v="32"/>
  </r>
  <r>
    <s v="SUPER"/>
    <s v="HO"/>
    <s v="04/09/2025"/>
    <s v="01/08/2025-31/08/2025"/>
    <x v="22"/>
    <x v="22"/>
    <x v="14"/>
    <x v="0"/>
    <x v="3"/>
    <x v="373"/>
    <x v="373"/>
    <x v="46"/>
    <x v="46"/>
    <x v="18"/>
    <x v="4"/>
    <x v="0"/>
    <x v="516"/>
    <x v="11"/>
    <x v="21"/>
  </r>
  <r>
    <s v="SUPER"/>
    <s v="HO"/>
    <s v="04/09/2025"/>
    <s v="01/08/2025-31/08/2025"/>
    <x v="22"/>
    <x v="22"/>
    <x v="14"/>
    <x v="0"/>
    <x v="3"/>
    <x v="374"/>
    <x v="374"/>
    <x v="46"/>
    <x v="46"/>
    <x v="18"/>
    <x v="4"/>
    <x v="1"/>
    <x v="516"/>
    <x v="11"/>
    <x v="21"/>
  </r>
  <r>
    <s v="SUPER"/>
    <s v="HO"/>
    <s v="04/09/2025"/>
    <s v="01/08/2025-31/08/2025"/>
    <x v="117"/>
    <x v="117"/>
    <x v="9"/>
    <x v="0"/>
    <x v="3"/>
    <x v="64"/>
    <x v="64"/>
    <x v="1"/>
    <x v="1"/>
    <x v="15"/>
    <x v="21"/>
    <x v="0"/>
    <x v="517"/>
    <x v="1"/>
    <x v="116"/>
  </r>
  <r>
    <s v="SUPER"/>
    <s v="HO"/>
    <s v="04/09/2025"/>
    <s v="01/08/2025-31/08/2025"/>
    <x v="136"/>
    <x v="136"/>
    <x v="8"/>
    <x v="0"/>
    <x v="3"/>
    <x v="353"/>
    <x v="353"/>
    <x v="137"/>
    <x v="137"/>
    <x v="29"/>
    <x v="2"/>
    <x v="0"/>
    <x v="518"/>
    <x v="11"/>
    <x v="135"/>
  </r>
  <r>
    <s v="SUPER"/>
    <s v="HO"/>
    <s v="04/09/2025"/>
    <s v="01/08/2025-31/08/2025"/>
    <x v="28"/>
    <x v="28"/>
    <x v="11"/>
    <x v="0"/>
    <x v="3"/>
    <x v="177"/>
    <x v="177"/>
    <x v="77"/>
    <x v="77"/>
    <x v="29"/>
    <x v="2"/>
    <x v="0"/>
    <x v="519"/>
    <x v="11"/>
    <x v="27"/>
  </r>
  <r>
    <s v="SUPER"/>
    <s v="HO"/>
    <s v="04/09/2025"/>
    <s v="01/08/2025-31/08/2025"/>
    <x v="28"/>
    <x v="28"/>
    <x v="11"/>
    <x v="0"/>
    <x v="3"/>
    <x v="11"/>
    <x v="11"/>
    <x v="77"/>
    <x v="77"/>
    <x v="29"/>
    <x v="2"/>
    <x v="1"/>
    <x v="519"/>
    <x v="11"/>
    <x v="27"/>
  </r>
  <r>
    <s v="SUPER"/>
    <s v="HO"/>
    <s v="04/09/2025"/>
    <s v="01/08/2025-31/08/2025"/>
    <x v="28"/>
    <x v="28"/>
    <x v="11"/>
    <x v="0"/>
    <x v="3"/>
    <x v="82"/>
    <x v="82"/>
    <x v="77"/>
    <x v="77"/>
    <x v="29"/>
    <x v="2"/>
    <x v="2"/>
    <x v="519"/>
    <x v="11"/>
    <x v="27"/>
  </r>
  <r>
    <s v="SUPER"/>
    <s v="HO"/>
    <s v="04/09/2025"/>
    <s v="01/08/2025-31/08/2025"/>
    <x v="69"/>
    <x v="69"/>
    <x v="14"/>
    <x v="0"/>
    <x v="3"/>
    <x v="31"/>
    <x v="31"/>
    <x v="1"/>
    <x v="1"/>
    <x v="13"/>
    <x v="28"/>
    <x v="0"/>
    <x v="520"/>
    <x v="10"/>
    <x v="68"/>
  </r>
  <r>
    <s v="SUPER"/>
    <s v="HO"/>
    <s v="04/09/2025"/>
    <s v="01/08/2025-31/08/2025"/>
    <x v="46"/>
    <x v="46"/>
    <x v="9"/>
    <x v="0"/>
    <x v="3"/>
    <x v="404"/>
    <x v="404"/>
    <x v="71"/>
    <x v="71"/>
    <x v="17"/>
    <x v="24"/>
    <x v="0"/>
    <x v="521"/>
    <x v="12"/>
    <x v="45"/>
  </r>
  <r>
    <s v="SUPER"/>
    <s v="HO"/>
    <s v="04/09/2025"/>
    <s v="01/08/2025-31/08/2025"/>
    <x v="127"/>
    <x v="127"/>
    <x v="15"/>
    <x v="0"/>
    <x v="0"/>
    <x v="351"/>
    <x v="351"/>
    <x v="92"/>
    <x v="92"/>
    <x v="22"/>
    <x v="30"/>
    <x v="0"/>
    <x v="522"/>
    <x v="0"/>
    <x v="126"/>
  </r>
  <r>
    <s v="SUPER"/>
    <s v="HO"/>
    <s v="04/09/2025"/>
    <s v="01/08/2025-31/08/2025"/>
    <x v="90"/>
    <x v="90"/>
    <x v="10"/>
    <x v="0"/>
    <x v="0"/>
    <x v="407"/>
    <x v="407"/>
    <x v="84"/>
    <x v="84"/>
    <x v="22"/>
    <x v="30"/>
    <x v="0"/>
    <x v="523"/>
    <x v="0"/>
    <x v="89"/>
  </r>
  <r>
    <s v="SUPER"/>
    <s v="HO"/>
    <s v="04/09/2025"/>
    <s v="01/08/2025-31/08/2025"/>
    <x v="90"/>
    <x v="90"/>
    <x v="10"/>
    <x v="0"/>
    <x v="0"/>
    <x v="407"/>
    <x v="407"/>
    <x v="84"/>
    <x v="84"/>
    <x v="22"/>
    <x v="30"/>
    <x v="1"/>
    <x v="523"/>
    <x v="0"/>
    <x v="89"/>
  </r>
  <r>
    <s v="SUPER"/>
    <s v="HO"/>
    <s v="04/09/2025"/>
    <s v="01/08/2025-31/08/2025"/>
    <x v="8"/>
    <x v="8"/>
    <x v="7"/>
    <x v="0"/>
    <x v="1"/>
    <x v="8"/>
    <x v="8"/>
    <x v="5"/>
    <x v="5"/>
    <x v="13"/>
    <x v="21"/>
    <x v="0"/>
    <x v="524"/>
    <x v="1"/>
    <x v="7"/>
  </r>
  <r>
    <s v="SUPER"/>
    <s v="HO"/>
    <s v="04/09/2025"/>
    <s v="01/08/2025-31/08/2025"/>
    <x v="13"/>
    <x v="13"/>
    <x v="4"/>
    <x v="0"/>
    <x v="2"/>
    <x v="292"/>
    <x v="292"/>
    <x v="11"/>
    <x v="11"/>
    <x v="29"/>
    <x v="25"/>
    <x v="0"/>
    <x v="524"/>
    <x v="0"/>
    <x v="12"/>
  </r>
  <r>
    <s v="SUPER"/>
    <s v="HO"/>
    <s v="04/09/2025"/>
    <s v="01/08/2025-31/08/2025"/>
    <x v="13"/>
    <x v="13"/>
    <x v="4"/>
    <x v="0"/>
    <x v="2"/>
    <x v="408"/>
    <x v="408"/>
    <x v="11"/>
    <x v="11"/>
    <x v="29"/>
    <x v="25"/>
    <x v="1"/>
    <x v="524"/>
    <x v="0"/>
    <x v="12"/>
  </r>
  <r>
    <s v="SUPER"/>
    <s v="HO"/>
    <s v="04/09/2025"/>
    <s v="01/08/2025-31/08/2025"/>
    <x v="29"/>
    <x v="29"/>
    <x v="9"/>
    <x v="0"/>
    <x v="3"/>
    <x v="34"/>
    <x v="34"/>
    <x v="24"/>
    <x v="24"/>
    <x v="19"/>
    <x v="3"/>
    <x v="0"/>
    <x v="525"/>
    <x v="11"/>
    <x v="28"/>
  </r>
  <r>
    <s v="SUPER"/>
    <s v="HO"/>
    <s v="04/09/2025"/>
    <s v="01/08/2025-31/08/2025"/>
    <x v="98"/>
    <x v="98"/>
    <x v="6"/>
    <x v="0"/>
    <x v="0"/>
    <x v="64"/>
    <x v="64"/>
    <x v="123"/>
    <x v="123"/>
    <x v="28"/>
    <x v="2"/>
    <x v="0"/>
    <x v="526"/>
    <x v="1"/>
    <x v="97"/>
  </r>
  <r>
    <s v="SUPER"/>
    <s v="HO"/>
    <s v="04/09/2025"/>
    <s v="01/08/2025-31/08/2025"/>
    <x v="98"/>
    <x v="98"/>
    <x v="6"/>
    <x v="0"/>
    <x v="0"/>
    <x v="8"/>
    <x v="8"/>
    <x v="123"/>
    <x v="123"/>
    <x v="28"/>
    <x v="2"/>
    <x v="1"/>
    <x v="526"/>
    <x v="1"/>
    <x v="97"/>
  </r>
  <r>
    <s v="SUPER"/>
    <s v="HO"/>
    <s v="04/09/2025"/>
    <s v="01/08/2025-31/08/2025"/>
    <x v="20"/>
    <x v="20"/>
    <x v="1"/>
    <x v="0"/>
    <x v="0"/>
    <x v="38"/>
    <x v="38"/>
    <x v="25"/>
    <x v="25"/>
    <x v="28"/>
    <x v="2"/>
    <x v="0"/>
    <x v="527"/>
    <x v="10"/>
    <x v="19"/>
  </r>
  <r>
    <s v="SUPER"/>
    <s v="HO"/>
    <s v="04/09/2025"/>
    <s v="01/08/2025-31/08/2025"/>
    <x v="72"/>
    <x v="72"/>
    <x v="18"/>
    <x v="0"/>
    <x v="3"/>
    <x v="326"/>
    <x v="326"/>
    <x v="84"/>
    <x v="84"/>
    <x v="16"/>
    <x v="5"/>
    <x v="0"/>
    <x v="528"/>
    <x v="4"/>
    <x v="71"/>
  </r>
  <r>
    <s v="SUPER"/>
    <s v="HO"/>
    <s v="04/09/2025"/>
    <s v="01/08/2025-31/08/2025"/>
    <x v="21"/>
    <x v="21"/>
    <x v="13"/>
    <x v="0"/>
    <x v="4"/>
    <x v="312"/>
    <x v="312"/>
    <x v="18"/>
    <x v="18"/>
    <x v="13"/>
    <x v="21"/>
    <x v="0"/>
    <x v="529"/>
    <x v="4"/>
    <x v="20"/>
  </r>
  <r>
    <s v="SUPER"/>
    <s v="HO"/>
    <s v="04/09/2025"/>
    <s v="01/08/2025-31/08/2025"/>
    <x v="60"/>
    <x v="60"/>
    <x v="21"/>
    <x v="0"/>
    <x v="2"/>
    <x v="22"/>
    <x v="22"/>
    <x v="1"/>
    <x v="1"/>
    <x v="16"/>
    <x v="19"/>
    <x v="0"/>
    <x v="530"/>
    <x v="3"/>
    <x v="59"/>
  </r>
  <r>
    <s v="SUPER"/>
    <s v="HO"/>
    <s v="04/09/2025"/>
    <s v="01/08/2025-31/08/2025"/>
    <x v="128"/>
    <x v="128"/>
    <x v="14"/>
    <x v="0"/>
    <x v="3"/>
    <x v="136"/>
    <x v="136"/>
    <x v="130"/>
    <x v="130"/>
    <x v="28"/>
    <x v="2"/>
    <x v="0"/>
    <x v="531"/>
    <x v="11"/>
    <x v="127"/>
  </r>
  <r>
    <s v="SUPER"/>
    <s v="HO"/>
    <s v="04/09/2025"/>
    <s v="01/08/2025-31/08/2025"/>
    <x v="128"/>
    <x v="128"/>
    <x v="14"/>
    <x v="0"/>
    <x v="3"/>
    <x v="137"/>
    <x v="137"/>
    <x v="130"/>
    <x v="130"/>
    <x v="28"/>
    <x v="2"/>
    <x v="1"/>
    <x v="531"/>
    <x v="11"/>
    <x v="127"/>
  </r>
  <r>
    <s v="SUPER"/>
    <s v="HO"/>
    <s v="04/09/2025"/>
    <s v="01/08/2025-31/08/2025"/>
    <x v="65"/>
    <x v="65"/>
    <x v="22"/>
    <x v="0"/>
    <x v="2"/>
    <x v="174"/>
    <x v="174"/>
    <x v="1"/>
    <x v="1"/>
    <x v="13"/>
    <x v="0"/>
    <x v="0"/>
    <x v="532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13"/>
    <x v="0"/>
    <x v="1"/>
    <x v="532"/>
    <x v="3"/>
    <x v="64"/>
  </r>
  <r>
    <s v="SUPER"/>
    <s v="HO"/>
    <s v="04/09/2025"/>
    <s v="01/08/2025-31/08/2025"/>
    <x v="6"/>
    <x v="6"/>
    <x v="5"/>
    <x v="0"/>
    <x v="2"/>
    <x v="175"/>
    <x v="175"/>
    <x v="1"/>
    <x v="1"/>
    <x v="28"/>
    <x v="2"/>
    <x v="0"/>
    <x v="533"/>
    <x v="10"/>
    <x v="5"/>
  </r>
  <r>
    <s v="SUPER"/>
    <s v="HO"/>
    <s v="04/09/2025"/>
    <s v="01/08/2025-31/08/2025"/>
    <x v="60"/>
    <x v="60"/>
    <x v="21"/>
    <x v="0"/>
    <x v="2"/>
    <x v="22"/>
    <x v="22"/>
    <x v="1"/>
    <x v="1"/>
    <x v="13"/>
    <x v="0"/>
    <x v="0"/>
    <x v="534"/>
    <x v="3"/>
    <x v="59"/>
  </r>
  <r>
    <s v="SUPER"/>
    <s v="HO"/>
    <s v="04/09/2025"/>
    <s v="01/08/2025-31/08/2025"/>
    <x v="137"/>
    <x v="137"/>
    <x v="2"/>
    <x v="0"/>
    <x v="0"/>
    <x v="137"/>
    <x v="137"/>
    <x v="1"/>
    <x v="1"/>
    <x v="28"/>
    <x v="2"/>
    <x v="0"/>
    <x v="535"/>
    <x v="11"/>
    <x v="136"/>
  </r>
  <r>
    <s v="SUPER"/>
    <s v="HO"/>
    <s v="04/09/2025"/>
    <s v="01/08/2025-31/08/2025"/>
    <x v="60"/>
    <x v="60"/>
    <x v="21"/>
    <x v="0"/>
    <x v="2"/>
    <x v="111"/>
    <x v="111"/>
    <x v="1"/>
    <x v="1"/>
    <x v="29"/>
    <x v="3"/>
    <x v="0"/>
    <x v="536"/>
    <x v="11"/>
    <x v="59"/>
  </r>
  <r>
    <s v="SUPER"/>
    <s v="HO"/>
    <s v="04/09/2025"/>
    <s v="01/08/2025-31/08/2025"/>
    <x v="60"/>
    <x v="60"/>
    <x v="21"/>
    <x v="0"/>
    <x v="2"/>
    <x v="8"/>
    <x v="8"/>
    <x v="1"/>
    <x v="1"/>
    <x v="29"/>
    <x v="3"/>
    <x v="1"/>
    <x v="536"/>
    <x v="11"/>
    <x v="59"/>
  </r>
  <r>
    <s v="SUPER"/>
    <s v="HO"/>
    <s v="04/09/2025"/>
    <s v="01/08/2025-31/08/2025"/>
    <x v="60"/>
    <x v="60"/>
    <x v="21"/>
    <x v="0"/>
    <x v="2"/>
    <x v="356"/>
    <x v="356"/>
    <x v="1"/>
    <x v="1"/>
    <x v="29"/>
    <x v="3"/>
    <x v="2"/>
    <x v="536"/>
    <x v="11"/>
    <x v="59"/>
  </r>
  <r>
    <s v="SUPER"/>
    <s v="HO"/>
    <s v="04/09/2025"/>
    <s v="01/08/2025-31/08/2025"/>
    <x v="73"/>
    <x v="73"/>
    <x v="9"/>
    <x v="0"/>
    <x v="3"/>
    <x v="0"/>
    <x v="0"/>
    <x v="1"/>
    <x v="1"/>
    <x v="16"/>
    <x v="28"/>
    <x v="0"/>
    <x v="537"/>
    <x v="10"/>
    <x v="72"/>
  </r>
  <r>
    <s v="SUPER"/>
    <s v="HO"/>
    <s v="04/09/2025"/>
    <s v="01/08/2025-31/08/2025"/>
    <x v="73"/>
    <x v="73"/>
    <x v="9"/>
    <x v="0"/>
    <x v="3"/>
    <x v="296"/>
    <x v="296"/>
    <x v="1"/>
    <x v="1"/>
    <x v="16"/>
    <x v="28"/>
    <x v="1"/>
    <x v="537"/>
    <x v="10"/>
    <x v="72"/>
  </r>
  <r>
    <s v="SUPER"/>
    <s v="HO"/>
    <s v="04/09/2025"/>
    <s v="01/08/2025-31/08/2025"/>
    <x v="73"/>
    <x v="73"/>
    <x v="9"/>
    <x v="0"/>
    <x v="3"/>
    <x v="86"/>
    <x v="86"/>
    <x v="1"/>
    <x v="1"/>
    <x v="16"/>
    <x v="28"/>
    <x v="2"/>
    <x v="537"/>
    <x v="10"/>
    <x v="72"/>
  </r>
  <r>
    <s v="SUPER"/>
    <s v="HO"/>
    <s v="04/09/2025"/>
    <s v="01/08/2025-31/08/2025"/>
    <x v="73"/>
    <x v="73"/>
    <x v="9"/>
    <x v="0"/>
    <x v="3"/>
    <x v="296"/>
    <x v="296"/>
    <x v="1"/>
    <x v="1"/>
    <x v="16"/>
    <x v="28"/>
    <x v="3"/>
    <x v="537"/>
    <x v="10"/>
    <x v="72"/>
  </r>
  <r>
    <s v="SUPER"/>
    <s v="HO"/>
    <s v="04/09/2025"/>
    <s v="01/08/2025-31/08/2025"/>
    <x v="138"/>
    <x v="138"/>
    <x v="11"/>
    <x v="0"/>
    <x v="3"/>
    <x v="86"/>
    <x v="86"/>
    <x v="1"/>
    <x v="1"/>
    <x v="16"/>
    <x v="28"/>
    <x v="0"/>
    <x v="538"/>
    <x v="10"/>
    <x v="137"/>
  </r>
  <r>
    <s v="SUPER"/>
    <s v="HO"/>
    <s v="04/09/2025"/>
    <s v="01/08/2025-31/08/2025"/>
    <x v="46"/>
    <x v="46"/>
    <x v="9"/>
    <x v="0"/>
    <x v="3"/>
    <x v="40"/>
    <x v="40"/>
    <x v="71"/>
    <x v="71"/>
    <x v="13"/>
    <x v="0"/>
    <x v="0"/>
    <x v="539"/>
    <x v="3"/>
    <x v="45"/>
  </r>
  <r>
    <s v="SUPER"/>
    <s v="HO"/>
    <s v="04/09/2025"/>
    <s v="01/08/2025-31/08/2025"/>
    <x v="46"/>
    <x v="46"/>
    <x v="9"/>
    <x v="0"/>
    <x v="3"/>
    <x v="401"/>
    <x v="401"/>
    <x v="71"/>
    <x v="71"/>
    <x v="13"/>
    <x v="0"/>
    <x v="1"/>
    <x v="539"/>
    <x v="3"/>
    <x v="45"/>
  </r>
  <r>
    <s v="SUPER"/>
    <s v="HO"/>
    <s v="04/09/2025"/>
    <s v="01/08/2025-31/08/2025"/>
    <x v="33"/>
    <x v="33"/>
    <x v="17"/>
    <x v="0"/>
    <x v="3"/>
    <x v="409"/>
    <x v="409"/>
    <x v="10"/>
    <x v="10"/>
    <x v="25"/>
    <x v="23"/>
    <x v="0"/>
    <x v="540"/>
    <x v="0"/>
    <x v="32"/>
  </r>
  <r>
    <s v="SUPER"/>
    <s v="HO"/>
    <s v="04/09/2025"/>
    <s v="01/08/2025-31/08/2025"/>
    <x v="33"/>
    <x v="33"/>
    <x v="17"/>
    <x v="0"/>
    <x v="3"/>
    <x v="409"/>
    <x v="409"/>
    <x v="10"/>
    <x v="10"/>
    <x v="25"/>
    <x v="23"/>
    <x v="1"/>
    <x v="540"/>
    <x v="0"/>
    <x v="32"/>
  </r>
  <r>
    <s v="SUPER"/>
    <s v="HO"/>
    <s v="04/09/2025"/>
    <s v="01/08/2025-31/08/2025"/>
    <x v="139"/>
    <x v="139"/>
    <x v="9"/>
    <x v="0"/>
    <x v="3"/>
    <x v="102"/>
    <x v="102"/>
    <x v="1"/>
    <x v="1"/>
    <x v="29"/>
    <x v="4"/>
    <x v="0"/>
    <x v="541"/>
    <x v="3"/>
    <x v="138"/>
  </r>
  <r>
    <s v="SUPER"/>
    <s v="HO"/>
    <s v="04/09/2025"/>
    <s v="01/08/2025-31/08/2025"/>
    <x v="127"/>
    <x v="127"/>
    <x v="15"/>
    <x v="0"/>
    <x v="0"/>
    <x v="367"/>
    <x v="367"/>
    <x v="92"/>
    <x v="92"/>
    <x v="25"/>
    <x v="23"/>
    <x v="0"/>
    <x v="542"/>
    <x v="0"/>
    <x v="126"/>
  </r>
  <r>
    <s v="SUPER"/>
    <s v="HO"/>
    <s v="04/09/2025"/>
    <s v="01/08/2025-31/08/2025"/>
    <x v="127"/>
    <x v="127"/>
    <x v="15"/>
    <x v="0"/>
    <x v="0"/>
    <x v="409"/>
    <x v="409"/>
    <x v="92"/>
    <x v="92"/>
    <x v="25"/>
    <x v="23"/>
    <x v="1"/>
    <x v="542"/>
    <x v="0"/>
    <x v="126"/>
  </r>
  <r>
    <s v="SUPER"/>
    <s v="HO"/>
    <s v="04/09/2025"/>
    <s v="01/08/2025-31/08/2025"/>
    <x v="11"/>
    <x v="11"/>
    <x v="1"/>
    <x v="0"/>
    <x v="0"/>
    <x v="410"/>
    <x v="410"/>
    <x v="9"/>
    <x v="9"/>
    <x v="29"/>
    <x v="3"/>
    <x v="0"/>
    <x v="543"/>
    <x v="11"/>
    <x v="10"/>
  </r>
  <r>
    <s v="SUPER"/>
    <s v="HO"/>
    <s v="04/09/2025"/>
    <s v="01/08/2025-31/08/2025"/>
    <x v="11"/>
    <x v="11"/>
    <x v="1"/>
    <x v="0"/>
    <x v="0"/>
    <x v="34"/>
    <x v="34"/>
    <x v="9"/>
    <x v="9"/>
    <x v="29"/>
    <x v="3"/>
    <x v="1"/>
    <x v="543"/>
    <x v="4"/>
    <x v="10"/>
  </r>
  <r>
    <s v="SUPER"/>
    <s v="HO"/>
    <s v="04/09/2025"/>
    <s v="01/08/2025-31/08/2025"/>
    <x v="11"/>
    <x v="11"/>
    <x v="1"/>
    <x v="0"/>
    <x v="0"/>
    <x v="244"/>
    <x v="244"/>
    <x v="9"/>
    <x v="9"/>
    <x v="29"/>
    <x v="3"/>
    <x v="2"/>
    <x v="543"/>
    <x v="11"/>
    <x v="10"/>
  </r>
  <r>
    <s v="SUPER"/>
    <s v="HO"/>
    <s v="04/09/2025"/>
    <s v="01/08/2025-31/08/2025"/>
    <x v="11"/>
    <x v="11"/>
    <x v="1"/>
    <x v="0"/>
    <x v="0"/>
    <x v="63"/>
    <x v="63"/>
    <x v="9"/>
    <x v="9"/>
    <x v="29"/>
    <x v="3"/>
    <x v="3"/>
    <x v="543"/>
    <x v="11"/>
    <x v="10"/>
  </r>
  <r>
    <s v="SUPER"/>
    <s v="HO"/>
    <s v="04/09/2025"/>
    <s v="01/08/2025-31/08/2025"/>
    <x v="131"/>
    <x v="131"/>
    <x v="20"/>
    <x v="0"/>
    <x v="2"/>
    <x v="411"/>
    <x v="411"/>
    <x v="1"/>
    <x v="1"/>
    <x v="30"/>
    <x v="2"/>
    <x v="0"/>
    <x v="544"/>
    <x v="11"/>
    <x v="130"/>
  </r>
  <r>
    <s v="SUPER"/>
    <s v="HO"/>
    <s v="04/09/2025"/>
    <s v="01/08/2025-31/08/2025"/>
    <x v="56"/>
    <x v="56"/>
    <x v="20"/>
    <x v="0"/>
    <x v="2"/>
    <x v="394"/>
    <x v="394"/>
    <x v="47"/>
    <x v="47"/>
    <x v="30"/>
    <x v="2"/>
    <x v="0"/>
    <x v="545"/>
    <x v="11"/>
    <x v="55"/>
  </r>
  <r>
    <s v="SUPER"/>
    <s v="HO"/>
    <s v="04/09/2025"/>
    <s v="01/08/2025-31/08/2025"/>
    <x v="65"/>
    <x v="65"/>
    <x v="22"/>
    <x v="0"/>
    <x v="2"/>
    <x v="112"/>
    <x v="112"/>
    <x v="1"/>
    <x v="1"/>
    <x v="29"/>
    <x v="3"/>
    <x v="0"/>
    <x v="546"/>
    <x v="11"/>
    <x v="64"/>
  </r>
  <r>
    <s v="SUPER"/>
    <s v="HO"/>
    <s v="04/09/2025"/>
    <s v="01/08/2025-31/08/2025"/>
    <x v="65"/>
    <x v="65"/>
    <x v="22"/>
    <x v="0"/>
    <x v="2"/>
    <x v="100"/>
    <x v="100"/>
    <x v="1"/>
    <x v="1"/>
    <x v="29"/>
    <x v="3"/>
    <x v="1"/>
    <x v="546"/>
    <x v="11"/>
    <x v="64"/>
  </r>
  <r>
    <s v="SUPER"/>
    <s v="HO"/>
    <s v="04/09/2025"/>
    <s v="01/08/2025-31/08/2025"/>
    <x v="65"/>
    <x v="65"/>
    <x v="22"/>
    <x v="0"/>
    <x v="2"/>
    <x v="356"/>
    <x v="356"/>
    <x v="1"/>
    <x v="1"/>
    <x v="29"/>
    <x v="3"/>
    <x v="2"/>
    <x v="546"/>
    <x v="11"/>
    <x v="64"/>
  </r>
  <r>
    <s v="SUPER"/>
    <s v="HO"/>
    <s v="04/09/2025"/>
    <s v="01/08/2025-31/08/2025"/>
    <x v="52"/>
    <x v="52"/>
    <x v="15"/>
    <x v="0"/>
    <x v="0"/>
    <x v="412"/>
    <x v="412"/>
    <x v="3"/>
    <x v="3"/>
    <x v="26"/>
    <x v="23"/>
    <x v="0"/>
    <x v="547"/>
    <x v="31"/>
    <x v="51"/>
  </r>
  <r>
    <s v="SUPER"/>
    <s v="HO"/>
    <s v="04/09/2025"/>
    <s v="01/08/2025-31/08/2025"/>
    <x v="52"/>
    <x v="52"/>
    <x v="15"/>
    <x v="0"/>
    <x v="0"/>
    <x v="413"/>
    <x v="413"/>
    <x v="123"/>
    <x v="123"/>
    <x v="26"/>
    <x v="23"/>
    <x v="0"/>
    <x v="548"/>
    <x v="31"/>
    <x v="51"/>
  </r>
  <r>
    <s v="SUPER"/>
    <s v="HO"/>
    <s v="04/09/2025"/>
    <s v="01/08/2025-31/08/2025"/>
    <x v="6"/>
    <x v="6"/>
    <x v="5"/>
    <x v="0"/>
    <x v="2"/>
    <x v="299"/>
    <x v="299"/>
    <x v="3"/>
    <x v="3"/>
    <x v="16"/>
    <x v="0"/>
    <x v="0"/>
    <x v="549"/>
    <x v="4"/>
    <x v="5"/>
  </r>
  <r>
    <s v="SUPER"/>
    <s v="HO"/>
    <s v="04/09/2025"/>
    <s v="01/08/2025-31/08/2025"/>
    <x v="6"/>
    <x v="6"/>
    <x v="5"/>
    <x v="0"/>
    <x v="2"/>
    <x v="389"/>
    <x v="389"/>
    <x v="3"/>
    <x v="3"/>
    <x v="16"/>
    <x v="0"/>
    <x v="1"/>
    <x v="549"/>
    <x v="4"/>
    <x v="5"/>
  </r>
  <r>
    <s v="SUPER"/>
    <s v="HO"/>
    <s v="04/09/2025"/>
    <s v="01/08/2025-31/08/2025"/>
    <x v="45"/>
    <x v="45"/>
    <x v="14"/>
    <x v="0"/>
    <x v="3"/>
    <x v="30"/>
    <x v="30"/>
    <x v="1"/>
    <x v="1"/>
    <x v="28"/>
    <x v="4"/>
    <x v="0"/>
    <x v="550"/>
    <x v="10"/>
    <x v="44"/>
  </r>
  <r>
    <s v="SUPER"/>
    <s v="HO"/>
    <s v="04/09/2025"/>
    <s v="01/08/2025-31/08/2025"/>
    <x v="112"/>
    <x v="112"/>
    <x v="1"/>
    <x v="0"/>
    <x v="0"/>
    <x v="414"/>
    <x v="414"/>
    <x v="138"/>
    <x v="138"/>
    <x v="12"/>
    <x v="5"/>
    <x v="0"/>
    <x v="551"/>
    <x v="3"/>
    <x v="111"/>
  </r>
  <r>
    <s v="SUPER"/>
    <s v="HO"/>
    <s v="04/09/2025"/>
    <s v="01/08/2025-31/08/2025"/>
    <x v="112"/>
    <x v="112"/>
    <x v="1"/>
    <x v="0"/>
    <x v="0"/>
    <x v="31"/>
    <x v="31"/>
    <x v="138"/>
    <x v="138"/>
    <x v="12"/>
    <x v="5"/>
    <x v="1"/>
    <x v="551"/>
    <x v="3"/>
    <x v="111"/>
  </r>
  <r>
    <s v="SUPER"/>
    <s v="HO"/>
    <s v="04/09/2025"/>
    <s v="01/08/2025-31/08/2025"/>
    <x v="29"/>
    <x v="29"/>
    <x v="9"/>
    <x v="0"/>
    <x v="3"/>
    <x v="121"/>
    <x v="121"/>
    <x v="24"/>
    <x v="24"/>
    <x v="3"/>
    <x v="2"/>
    <x v="0"/>
    <x v="552"/>
    <x v="11"/>
    <x v="28"/>
  </r>
  <r>
    <s v="SUPER"/>
    <s v="HO"/>
    <s v="04/09/2025"/>
    <s v="01/08/2025-31/08/2025"/>
    <x v="86"/>
    <x v="86"/>
    <x v="14"/>
    <x v="0"/>
    <x v="3"/>
    <x v="48"/>
    <x v="48"/>
    <x v="57"/>
    <x v="57"/>
    <x v="3"/>
    <x v="2"/>
    <x v="0"/>
    <x v="553"/>
    <x v="11"/>
    <x v="85"/>
  </r>
  <r>
    <s v="SUPER"/>
    <s v="HO"/>
    <s v="04/09/2025"/>
    <s v="01/08/2025-31/08/2025"/>
    <x v="86"/>
    <x v="86"/>
    <x v="14"/>
    <x v="0"/>
    <x v="3"/>
    <x v="136"/>
    <x v="136"/>
    <x v="57"/>
    <x v="57"/>
    <x v="3"/>
    <x v="2"/>
    <x v="1"/>
    <x v="553"/>
    <x v="11"/>
    <x v="85"/>
  </r>
  <r>
    <s v="SUPER"/>
    <s v="HO"/>
    <s v="04/09/2025"/>
    <s v="01/08/2025-31/08/2025"/>
    <x v="86"/>
    <x v="86"/>
    <x v="14"/>
    <x v="0"/>
    <x v="3"/>
    <x v="138"/>
    <x v="138"/>
    <x v="57"/>
    <x v="57"/>
    <x v="3"/>
    <x v="2"/>
    <x v="2"/>
    <x v="553"/>
    <x v="11"/>
    <x v="85"/>
  </r>
  <r>
    <s v="SUPER"/>
    <s v="HO"/>
    <s v="04/09/2025"/>
    <s v="01/08/2025-31/08/2025"/>
    <x v="52"/>
    <x v="52"/>
    <x v="15"/>
    <x v="0"/>
    <x v="0"/>
    <x v="411"/>
    <x v="411"/>
    <x v="77"/>
    <x v="77"/>
    <x v="13"/>
    <x v="21"/>
    <x v="0"/>
    <x v="554"/>
    <x v="11"/>
    <x v="51"/>
  </r>
  <r>
    <s v="SUPER"/>
    <s v="HO"/>
    <s v="04/09/2025"/>
    <s v="01/08/2025-31/08/2025"/>
    <x v="52"/>
    <x v="52"/>
    <x v="15"/>
    <x v="0"/>
    <x v="0"/>
    <x v="51"/>
    <x v="51"/>
    <x v="77"/>
    <x v="77"/>
    <x v="13"/>
    <x v="21"/>
    <x v="1"/>
    <x v="554"/>
    <x v="11"/>
    <x v="51"/>
  </r>
  <r>
    <s v="SUPER"/>
    <s v="HO"/>
    <s v="04/09/2025"/>
    <s v="01/08/2025-31/08/2025"/>
    <x v="18"/>
    <x v="18"/>
    <x v="12"/>
    <x v="0"/>
    <x v="3"/>
    <x v="415"/>
    <x v="415"/>
    <x v="16"/>
    <x v="16"/>
    <x v="3"/>
    <x v="2"/>
    <x v="0"/>
    <x v="555"/>
    <x v="11"/>
    <x v="17"/>
  </r>
  <r>
    <s v="SUPER"/>
    <s v="HO"/>
    <s v="04/09/2025"/>
    <s v="01/08/2025-31/08/2025"/>
    <x v="60"/>
    <x v="60"/>
    <x v="21"/>
    <x v="0"/>
    <x v="2"/>
    <x v="354"/>
    <x v="354"/>
    <x v="1"/>
    <x v="1"/>
    <x v="28"/>
    <x v="3"/>
    <x v="0"/>
    <x v="556"/>
    <x v="11"/>
    <x v="59"/>
  </r>
  <r>
    <s v="SUPER"/>
    <s v="HO"/>
    <s v="04/09/2025"/>
    <s v="01/08/2025-31/08/2025"/>
    <x v="60"/>
    <x v="60"/>
    <x v="21"/>
    <x v="0"/>
    <x v="2"/>
    <x v="111"/>
    <x v="111"/>
    <x v="1"/>
    <x v="1"/>
    <x v="28"/>
    <x v="3"/>
    <x v="1"/>
    <x v="556"/>
    <x v="11"/>
    <x v="59"/>
  </r>
  <r>
    <s v="SUPER"/>
    <s v="HO"/>
    <s v="04/09/2025"/>
    <s v="01/08/2025-31/08/2025"/>
    <x v="60"/>
    <x v="60"/>
    <x v="21"/>
    <x v="0"/>
    <x v="2"/>
    <x v="100"/>
    <x v="100"/>
    <x v="1"/>
    <x v="1"/>
    <x v="28"/>
    <x v="3"/>
    <x v="2"/>
    <x v="556"/>
    <x v="11"/>
    <x v="59"/>
  </r>
  <r>
    <s v="SUPER"/>
    <s v="HO"/>
    <s v="04/09/2025"/>
    <s v="01/08/2025-31/08/2025"/>
    <x v="65"/>
    <x v="65"/>
    <x v="22"/>
    <x v="0"/>
    <x v="2"/>
    <x v="240"/>
    <x v="240"/>
    <x v="1"/>
    <x v="1"/>
    <x v="16"/>
    <x v="0"/>
    <x v="0"/>
    <x v="557"/>
    <x v="3"/>
    <x v="64"/>
  </r>
  <r>
    <s v="SUPER"/>
    <s v="HO"/>
    <s v="04/09/2025"/>
    <s v="01/08/2025-31/08/2025"/>
    <x v="11"/>
    <x v="11"/>
    <x v="1"/>
    <x v="0"/>
    <x v="0"/>
    <x v="2"/>
    <x v="2"/>
    <x v="34"/>
    <x v="34"/>
    <x v="16"/>
    <x v="21"/>
    <x v="0"/>
    <x v="557"/>
    <x v="1"/>
    <x v="10"/>
  </r>
  <r>
    <s v="SUPER"/>
    <s v="HO"/>
    <s v="04/09/2025"/>
    <s v="01/08/2025-31/08/2025"/>
    <x v="89"/>
    <x v="89"/>
    <x v="21"/>
    <x v="0"/>
    <x v="2"/>
    <x v="161"/>
    <x v="161"/>
    <x v="83"/>
    <x v="83"/>
    <x v="16"/>
    <x v="21"/>
    <x v="0"/>
    <x v="558"/>
    <x v="4"/>
    <x v="88"/>
  </r>
  <r>
    <s v="SUPER"/>
    <s v="HO"/>
    <s v="04/09/2025"/>
    <s v="01/08/2025-31/08/2025"/>
    <x v="89"/>
    <x v="89"/>
    <x v="21"/>
    <x v="0"/>
    <x v="2"/>
    <x v="64"/>
    <x v="64"/>
    <x v="83"/>
    <x v="83"/>
    <x v="16"/>
    <x v="21"/>
    <x v="1"/>
    <x v="558"/>
    <x v="4"/>
    <x v="88"/>
  </r>
  <r>
    <s v="SUPER"/>
    <s v="HO"/>
    <s v="04/09/2025"/>
    <s v="01/08/2025-31/08/2025"/>
    <x v="140"/>
    <x v="140"/>
    <x v="2"/>
    <x v="0"/>
    <x v="0"/>
    <x v="8"/>
    <x v="8"/>
    <x v="1"/>
    <x v="1"/>
    <x v="16"/>
    <x v="21"/>
    <x v="0"/>
    <x v="559"/>
    <x v="1"/>
    <x v="139"/>
  </r>
  <r>
    <s v="SUPER"/>
    <s v="HO"/>
    <s v="04/09/2025"/>
    <s v="01/08/2025-31/08/2025"/>
    <x v="86"/>
    <x v="86"/>
    <x v="14"/>
    <x v="0"/>
    <x v="3"/>
    <x v="125"/>
    <x v="125"/>
    <x v="1"/>
    <x v="1"/>
    <x v="3"/>
    <x v="2"/>
    <x v="0"/>
    <x v="560"/>
    <x v="10"/>
    <x v="85"/>
  </r>
  <r>
    <s v="SUPER"/>
    <s v="HO"/>
    <s v="04/09/2025"/>
    <s v="01/08/2025-31/08/2025"/>
    <x v="6"/>
    <x v="6"/>
    <x v="5"/>
    <x v="0"/>
    <x v="2"/>
    <x v="182"/>
    <x v="182"/>
    <x v="3"/>
    <x v="3"/>
    <x v="12"/>
    <x v="14"/>
    <x v="0"/>
    <x v="561"/>
    <x v="16"/>
    <x v="5"/>
  </r>
  <r>
    <s v="SUPER"/>
    <s v="HO"/>
    <s v="04/09/2025"/>
    <s v="01/08/2025-31/08/2025"/>
    <x v="6"/>
    <x v="6"/>
    <x v="5"/>
    <x v="0"/>
    <x v="2"/>
    <x v="317"/>
    <x v="317"/>
    <x v="3"/>
    <x v="3"/>
    <x v="12"/>
    <x v="14"/>
    <x v="1"/>
    <x v="561"/>
    <x v="16"/>
    <x v="5"/>
  </r>
  <r>
    <s v="SUPER"/>
    <s v="HO"/>
    <s v="04/09/2025"/>
    <s v="01/08/2025-31/08/2025"/>
    <x v="141"/>
    <x v="141"/>
    <x v="9"/>
    <x v="0"/>
    <x v="3"/>
    <x v="161"/>
    <x v="161"/>
    <x v="1"/>
    <x v="1"/>
    <x v="28"/>
    <x v="3"/>
    <x v="0"/>
    <x v="562"/>
    <x v="1"/>
    <x v="140"/>
  </r>
  <r>
    <s v="SUPER"/>
    <s v="HO"/>
    <s v="04/09/2025"/>
    <s v="01/08/2025-31/08/2025"/>
    <x v="54"/>
    <x v="54"/>
    <x v="14"/>
    <x v="0"/>
    <x v="3"/>
    <x v="30"/>
    <x v="30"/>
    <x v="81"/>
    <x v="81"/>
    <x v="10"/>
    <x v="1"/>
    <x v="0"/>
    <x v="563"/>
    <x v="10"/>
    <x v="53"/>
  </r>
  <r>
    <s v="SUPER"/>
    <s v="HO"/>
    <s v="04/09/2025"/>
    <s v="01/08/2025-31/08/2025"/>
    <x v="33"/>
    <x v="33"/>
    <x v="17"/>
    <x v="0"/>
    <x v="3"/>
    <x v="5"/>
    <x v="5"/>
    <x v="1"/>
    <x v="1"/>
    <x v="16"/>
    <x v="0"/>
    <x v="0"/>
    <x v="564"/>
    <x v="3"/>
    <x v="32"/>
  </r>
  <r>
    <s v="SUPER"/>
    <s v="HO"/>
    <s v="04/09/2025"/>
    <s v="01/08/2025-31/08/2025"/>
    <x v="15"/>
    <x v="15"/>
    <x v="11"/>
    <x v="0"/>
    <x v="3"/>
    <x v="34"/>
    <x v="34"/>
    <x v="13"/>
    <x v="13"/>
    <x v="28"/>
    <x v="3"/>
    <x v="0"/>
    <x v="565"/>
    <x v="4"/>
    <x v="14"/>
  </r>
  <r>
    <s v="SUPER"/>
    <s v="HO"/>
    <s v="04/09/2025"/>
    <s v="01/08/2025-31/08/2025"/>
    <x v="15"/>
    <x v="15"/>
    <x v="11"/>
    <x v="0"/>
    <x v="3"/>
    <x v="334"/>
    <x v="334"/>
    <x v="13"/>
    <x v="13"/>
    <x v="28"/>
    <x v="3"/>
    <x v="1"/>
    <x v="565"/>
    <x v="4"/>
    <x v="14"/>
  </r>
  <r>
    <s v="SUPER"/>
    <s v="HO"/>
    <s v="04/09/2025"/>
    <s v="01/08/2025-31/08/2025"/>
    <x v="15"/>
    <x v="15"/>
    <x v="11"/>
    <x v="0"/>
    <x v="3"/>
    <x v="333"/>
    <x v="333"/>
    <x v="13"/>
    <x v="13"/>
    <x v="28"/>
    <x v="3"/>
    <x v="2"/>
    <x v="565"/>
    <x v="4"/>
    <x v="14"/>
  </r>
  <r>
    <s v="SUPER"/>
    <s v="HO"/>
    <s v="04/09/2025"/>
    <s v="01/08/2025-31/08/2025"/>
    <x v="29"/>
    <x v="29"/>
    <x v="9"/>
    <x v="0"/>
    <x v="3"/>
    <x v="86"/>
    <x v="86"/>
    <x v="24"/>
    <x v="24"/>
    <x v="28"/>
    <x v="3"/>
    <x v="0"/>
    <x v="566"/>
    <x v="4"/>
    <x v="28"/>
  </r>
  <r>
    <s v="SUPER"/>
    <s v="HO"/>
    <s v="04/09/2025"/>
    <s v="01/08/2025-31/08/2025"/>
    <x v="90"/>
    <x v="90"/>
    <x v="10"/>
    <x v="0"/>
    <x v="0"/>
    <x v="416"/>
    <x v="416"/>
    <x v="84"/>
    <x v="84"/>
    <x v="26"/>
    <x v="30"/>
    <x v="0"/>
    <x v="566"/>
    <x v="26"/>
    <x v="89"/>
  </r>
  <r>
    <s v="SUPER"/>
    <s v="HO"/>
    <s v="04/09/2025"/>
    <s v="01/08/2025-31/08/2025"/>
    <x v="29"/>
    <x v="29"/>
    <x v="9"/>
    <x v="0"/>
    <x v="3"/>
    <x v="34"/>
    <x v="34"/>
    <x v="24"/>
    <x v="24"/>
    <x v="28"/>
    <x v="3"/>
    <x v="1"/>
    <x v="566"/>
    <x v="4"/>
    <x v="28"/>
  </r>
  <r>
    <s v="SUPER"/>
    <s v="HO"/>
    <s v="04/09/2025"/>
    <s v="01/08/2025-31/08/2025"/>
    <x v="94"/>
    <x v="94"/>
    <x v="6"/>
    <x v="0"/>
    <x v="0"/>
    <x v="252"/>
    <x v="252"/>
    <x v="68"/>
    <x v="68"/>
    <x v="28"/>
    <x v="3"/>
    <x v="0"/>
    <x v="567"/>
    <x v="11"/>
    <x v="93"/>
  </r>
  <r>
    <s v="SUPER"/>
    <s v="HO"/>
    <s v="04/09/2025"/>
    <s v="01/08/2025-31/08/2025"/>
    <x v="94"/>
    <x v="94"/>
    <x v="6"/>
    <x v="0"/>
    <x v="0"/>
    <x v="112"/>
    <x v="112"/>
    <x v="68"/>
    <x v="68"/>
    <x v="28"/>
    <x v="3"/>
    <x v="1"/>
    <x v="567"/>
    <x v="4"/>
    <x v="93"/>
  </r>
  <r>
    <s v="SUPER"/>
    <s v="HO"/>
    <s v="04/09/2025"/>
    <s v="01/08/2025-31/08/2025"/>
    <x v="22"/>
    <x v="22"/>
    <x v="14"/>
    <x v="0"/>
    <x v="3"/>
    <x v="417"/>
    <x v="417"/>
    <x v="46"/>
    <x v="46"/>
    <x v="30"/>
    <x v="4"/>
    <x v="0"/>
    <x v="568"/>
    <x v="3"/>
    <x v="21"/>
  </r>
  <r>
    <s v="SUPER"/>
    <s v="HO"/>
    <s v="04/09/2025"/>
    <s v="01/08/2025-31/08/2025"/>
    <x v="60"/>
    <x v="60"/>
    <x v="21"/>
    <x v="0"/>
    <x v="2"/>
    <x v="22"/>
    <x v="22"/>
    <x v="1"/>
    <x v="1"/>
    <x v="10"/>
    <x v="1"/>
    <x v="0"/>
    <x v="569"/>
    <x v="3"/>
    <x v="59"/>
  </r>
  <r>
    <s v="SUPER"/>
    <s v="HO"/>
    <s v="04/09/2025"/>
    <s v="01/08/2025-31/08/2025"/>
    <x v="53"/>
    <x v="53"/>
    <x v="11"/>
    <x v="0"/>
    <x v="3"/>
    <x v="177"/>
    <x v="177"/>
    <x v="44"/>
    <x v="44"/>
    <x v="23"/>
    <x v="28"/>
    <x v="0"/>
    <x v="570"/>
    <x v="4"/>
    <x v="52"/>
  </r>
  <r>
    <s v="SUPER"/>
    <s v="HO"/>
    <s v="04/09/2025"/>
    <s v="01/08/2025-31/08/2025"/>
    <x v="53"/>
    <x v="53"/>
    <x v="11"/>
    <x v="0"/>
    <x v="3"/>
    <x v="82"/>
    <x v="82"/>
    <x v="44"/>
    <x v="44"/>
    <x v="23"/>
    <x v="28"/>
    <x v="1"/>
    <x v="570"/>
    <x v="4"/>
    <x v="52"/>
  </r>
  <r>
    <s v="SUPER"/>
    <s v="HO"/>
    <s v="04/09/2025"/>
    <s v="01/08/2025-31/08/2025"/>
    <x v="60"/>
    <x v="60"/>
    <x v="21"/>
    <x v="0"/>
    <x v="2"/>
    <x v="111"/>
    <x v="111"/>
    <x v="1"/>
    <x v="1"/>
    <x v="30"/>
    <x v="3"/>
    <x v="0"/>
    <x v="571"/>
    <x v="11"/>
    <x v="59"/>
  </r>
  <r>
    <s v="SUPER"/>
    <s v="HO"/>
    <s v="04/09/2025"/>
    <s v="01/08/2025-31/08/2025"/>
    <x v="60"/>
    <x v="60"/>
    <x v="21"/>
    <x v="0"/>
    <x v="2"/>
    <x v="113"/>
    <x v="113"/>
    <x v="1"/>
    <x v="1"/>
    <x v="30"/>
    <x v="3"/>
    <x v="1"/>
    <x v="571"/>
    <x v="11"/>
    <x v="59"/>
  </r>
  <r>
    <s v="SUPER"/>
    <s v="HO"/>
    <s v="04/09/2025"/>
    <s v="01/08/2025-31/08/2025"/>
    <x v="60"/>
    <x v="60"/>
    <x v="21"/>
    <x v="0"/>
    <x v="2"/>
    <x v="8"/>
    <x v="8"/>
    <x v="1"/>
    <x v="1"/>
    <x v="30"/>
    <x v="3"/>
    <x v="2"/>
    <x v="571"/>
    <x v="11"/>
    <x v="59"/>
  </r>
  <r>
    <s v="SUPER"/>
    <s v="HO"/>
    <s v="04/09/2025"/>
    <s v="01/08/2025-31/08/2025"/>
    <x v="60"/>
    <x v="60"/>
    <x v="21"/>
    <x v="0"/>
    <x v="2"/>
    <x v="100"/>
    <x v="100"/>
    <x v="1"/>
    <x v="1"/>
    <x v="30"/>
    <x v="3"/>
    <x v="3"/>
    <x v="571"/>
    <x v="11"/>
    <x v="59"/>
  </r>
  <r>
    <s v="SUPER"/>
    <s v="HO"/>
    <s v="04/09/2025"/>
    <s v="01/08/2025-31/08/2025"/>
    <x v="128"/>
    <x v="128"/>
    <x v="14"/>
    <x v="0"/>
    <x v="3"/>
    <x v="39"/>
    <x v="39"/>
    <x v="130"/>
    <x v="130"/>
    <x v="27"/>
    <x v="2"/>
    <x v="0"/>
    <x v="572"/>
    <x v="4"/>
    <x v="127"/>
  </r>
  <r>
    <s v="SUPER"/>
    <s v="HO"/>
    <s v="04/09/2025"/>
    <s v="01/08/2025-31/08/2025"/>
    <x v="69"/>
    <x v="69"/>
    <x v="14"/>
    <x v="0"/>
    <x v="3"/>
    <x v="11"/>
    <x v="11"/>
    <x v="1"/>
    <x v="1"/>
    <x v="27"/>
    <x v="2"/>
    <x v="0"/>
    <x v="573"/>
    <x v="11"/>
    <x v="68"/>
  </r>
  <r>
    <s v="SUPER"/>
    <s v="HO"/>
    <s v="04/09/2025"/>
    <s v="01/08/2025-31/08/2025"/>
    <x v="69"/>
    <x v="69"/>
    <x v="14"/>
    <x v="0"/>
    <x v="3"/>
    <x v="51"/>
    <x v="51"/>
    <x v="1"/>
    <x v="1"/>
    <x v="27"/>
    <x v="2"/>
    <x v="1"/>
    <x v="573"/>
    <x v="11"/>
    <x v="68"/>
  </r>
  <r>
    <s v="SUPER"/>
    <s v="HO"/>
    <s v="04/09/2025"/>
    <s v="01/08/2025-31/08/2025"/>
    <x v="22"/>
    <x v="22"/>
    <x v="14"/>
    <x v="0"/>
    <x v="3"/>
    <x v="116"/>
    <x v="116"/>
    <x v="46"/>
    <x v="46"/>
    <x v="27"/>
    <x v="2"/>
    <x v="0"/>
    <x v="574"/>
    <x v="11"/>
    <x v="21"/>
  </r>
  <r>
    <s v="SUPER"/>
    <s v="HO"/>
    <s v="04/09/2025"/>
    <s v="01/08/2025-31/08/2025"/>
    <x v="22"/>
    <x v="22"/>
    <x v="14"/>
    <x v="0"/>
    <x v="3"/>
    <x v="35"/>
    <x v="35"/>
    <x v="46"/>
    <x v="46"/>
    <x v="27"/>
    <x v="2"/>
    <x v="1"/>
    <x v="574"/>
    <x v="11"/>
    <x v="21"/>
  </r>
  <r>
    <s v="SUPER"/>
    <s v="HO"/>
    <s v="04/09/2025"/>
    <s v="01/08/2025-31/08/2025"/>
    <x v="22"/>
    <x v="22"/>
    <x v="14"/>
    <x v="0"/>
    <x v="3"/>
    <x v="117"/>
    <x v="117"/>
    <x v="46"/>
    <x v="46"/>
    <x v="27"/>
    <x v="2"/>
    <x v="2"/>
    <x v="574"/>
    <x v="11"/>
    <x v="21"/>
  </r>
  <r>
    <s v="SUPER"/>
    <s v="HO"/>
    <s v="04/09/2025"/>
    <s v="01/08/2025-31/08/2025"/>
    <x v="142"/>
    <x v="142"/>
    <x v="11"/>
    <x v="0"/>
    <x v="3"/>
    <x v="215"/>
    <x v="215"/>
    <x v="22"/>
    <x v="22"/>
    <x v="27"/>
    <x v="2"/>
    <x v="0"/>
    <x v="575"/>
    <x v="11"/>
    <x v="141"/>
  </r>
  <r>
    <s v="SUPER"/>
    <s v="HO"/>
    <s v="04/09/2025"/>
    <s v="01/08/2025-31/08/2025"/>
    <x v="88"/>
    <x v="88"/>
    <x v="9"/>
    <x v="0"/>
    <x v="3"/>
    <x v="30"/>
    <x v="30"/>
    <x v="1"/>
    <x v="1"/>
    <x v="10"/>
    <x v="1"/>
    <x v="0"/>
    <x v="576"/>
    <x v="10"/>
    <x v="87"/>
  </r>
  <r>
    <s v="SUPER"/>
    <s v="HO"/>
    <s v="04/09/2025"/>
    <s v="01/08/2025-31/08/2025"/>
    <x v="143"/>
    <x v="143"/>
    <x v="12"/>
    <x v="0"/>
    <x v="3"/>
    <x v="38"/>
    <x v="38"/>
    <x v="139"/>
    <x v="139"/>
    <x v="16"/>
    <x v="21"/>
    <x v="0"/>
    <x v="577"/>
    <x v="10"/>
    <x v="142"/>
  </r>
  <r>
    <s v="SUPER"/>
    <s v="HO"/>
    <s v="04/09/2025"/>
    <s v="01/08/2025-31/08/2025"/>
    <x v="143"/>
    <x v="143"/>
    <x v="12"/>
    <x v="0"/>
    <x v="3"/>
    <x v="160"/>
    <x v="160"/>
    <x v="139"/>
    <x v="139"/>
    <x v="16"/>
    <x v="21"/>
    <x v="1"/>
    <x v="577"/>
    <x v="10"/>
    <x v="142"/>
  </r>
  <r>
    <s v="SUPER"/>
    <s v="HO"/>
    <s v="04/09/2025"/>
    <s v="01/08/2025-31/08/2025"/>
    <x v="143"/>
    <x v="143"/>
    <x v="12"/>
    <x v="0"/>
    <x v="3"/>
    <x v="0"/>
    <x v="0"/>
    <x v="139"/>
    <x v="139"/>
    <x v="16"/>
    <x v="21"/>
    <x v="2"/>
    <x v="577"/>
    <x v="10"/>
    <x v="142"/>
  </r>
  <r>
    <s v="SUPER"/>
    <s v="HO"/>
    <s v="04/09/2025"/>
    <s v="01/08/2025-31/08/2025"/>
    <x v="19"/>
    <x v="19"/>
    <x v="6"/>
    <x v="0"/>
    <x v="0"/>
    <x v="418"/>
    <x v="418"/>
    <x v="17"/>
    <x v="17"/>
    <x v="3"/>
    <x v="4"/>
    <x v="0"/>
    <x v="578"/>
    <x v="3"/>
    <x v="18"/>
  </r>
  <r>
    <s v="SUPER"/>
    <s v="HO"/>
    <s v="04/09/2025"/>
    <s v="01/08/2025-31/08/2025"/>
    <x v="72"/>
    <x v="72"/>
    <x v="18"/>
    <x v="0"/>
    <x v="3"/>
    <x v="112"/>
    <x v="112"/>
    <x v="1"/>
    <x v="1"/>
    <x v="16"/>
    <x v="21"/>
    <x v="0"/>
    <x v="579"/>
    <x v="11"/>
    <x v="71"/>
  </r>
  <r>
    <s v="SUPER"/>
    <s v="HO"/>
    <s v="04/09/2025"/>
    <s v="01/08/2025-31/08/2025"/>
    <x v="11"/>
    <x v="11"/>
    <x v="1"/>
    <x v="0"/>
    <x v="0"/>
    <x v="2"/>
    <x v="2"/>
    <x v="9"/>
    <x v="9"/>
    <x v="23"/>
    <x v="21"/>
    <x v="0"/>
    <x v="580"/>
    <x v="1"/>
    <x v="10"/>
  </r>
  <r>
    <s v="SUPER"/>
    <s v="HO"/>
    <s v="04/09/2025"/>
    <s v="01/08/2025-31/08/2025"/>
    <x v="11"/>
    <x v="11"/>
    <x v="1"/>
    <x v="0"/>
    <x v="0"/>
    <x v="161"/>
    <x v="161"/>
    <x v="9"/>
    <x v="9"/>
    <x v="23"/>
    <x v="21"/>
    <x v="1"/>
    <x v="580"/>
    <x v="1"/>
    <x v="10"/>
  </r>
  <r>
    <s v="SUPER"/>
    <s v="HO"/>
    <s v="04/09/2025"/>
    <s v="01/08/2025-31/08/2025"/>
    <x v="84"/>
    <x v="84"/>
    <x v="1"/>
    <x v="0"/>
    <x v="0"/>
    <x v="64"/>
    <x v="64"/>
    <x v="76"/>
    <x v="76"/>
    <x v="23"/>
    <x v="21"/>
    <x v="0"/>
    <x v="581"/>
    <x v="4"/>
    <x v="83"/>
  </r>
  <r>
    <s v="SUPER"/>
    <s v="HO"/>
    <s v="04/09/2025"/>
    <s v="01/08/2025-31/08/2025"/>
    <x v="89"/>
    <x v="89"/>
    <x v="21"/>
    <x v="0"/>
    <x v="2"/>
    <x v="161"/>
    <x v="161"/>
    <x v="83"/>
    <x v="83"/>
    <x v="23"/>
    <x v="21"/>
    <x v="0"/>
    <x v="582"/>
    <x v="4"/>
    <x v="88"/>
  </r>
  <r>
    <s v="SUPER"/>
    <s v="HO"/>
    <s v="04/09/2025"/>
    <s v="01/08/2025-31/08/2025"/>
    <x v="35"/>
    <x v="35"/>
    <x v="6"/>
    <x v="0"/>
    <x v="0"/>
    <x v="2"/>
    <x v="2"/>
    <x v="29"/>
    <x v="29"/>
    <x v="23"/>
    <x v="21"/>
    <x v="0"/>
    <x v="583"/>
    <x v="1"/>
    <x v="34"/>
  </r>
  <r>
    <s v="SUPER"/>
    <s v="HO"/>
    <s v="04/09/2025"/>
    <s v="01/08/2025-31/08/2025"/>
    <x v="40"/>
    <x v="40"/>
    <x v="11"/>
    <x v="0"/>
    <x v="3"/>
    <x v="136"/>
    <x v="136"/>
    <x v="1"/>
    <x v="1"/>
    <x v="20"/>
    <x v="2"/>
    <x v="0"/>
    <x v="584"/>
    <x v="11"/>
    <x v="39"/>
  </r>
  <r>
    <s v="SUPER"/>
    <s v="HO"/>
    <s v="04/09/2025"/>
    <s v="01/08/2025-31/08/2025"/>
    <x v="40"/>
    <x v="40"/>
    <x v="11"/>
    <x v="0"/>
    <x v="3"/>
    <x v="51"/>
    <x v="51"/>
    <x v="1"/>
    <x v="1"/>
    <x v="20"/>
    <x v="2"/>
    <x v="1"/>
    <x v="584"/>
    <x v="11"/>
    <x v="39"/>
  </r>
  <r>
    <s v="SUPER"/>
    <s v="HO"/>
    <s v="04/09/2025"/>
    <s v="01/08/2025-31/08/2025"/>
    <x v="40"/>
    <x v="40"/>
    <x v="11"/>
    <x v="0"/>
    <x v="3"/>
    <x v="197"/>
    <x v="197"/>
    <x v="1"/>
    <x v="1"/>
    <x v="20"/>
    <x v="2"/>
    <x v="2"/>
    <x v="584"/>
    <x v="11"/>
    <x v="39"/>
  </r>
  <r>
    <s v="SUPER"/>
    <s v="HO"/>
    <s v="04/09/2025"/>
    <s v="01/08/2025-31/08/2025"/>
    <x v="56"/>
    <x v="56"/>
    <x v="20"/>
    <x v="0"/>
    <x v="2"/>
    <x v="315"/>
    <x v="315"/>
    <x v="47"/>
    <x v="47"/>
    <x v="10"/>
    <x v="1"/>
    <x v="0"/>
    <x v="585"/>
    <x v="10"/>
    <x v="55"/>
  </r>
  <r>
    <s v="SUPER"/>
    <s v="HO"/>
    <s v="04/09/2025"/>
    <s v="01/08/2025-31/08/2025"/>
    <x v="45"/>
    <x v="45"/>
    <x v="14"/>
    <x v="0"/>
    <x v="3"/>
    <x v="114"/>
    <x v="114"/>
    <x v="140"/>
    <x v="140"/>
    <x v="20"/>
    <x v="2"/>
    <x v="0"/>
    <x v="586"/>
    <x v="11"/>
    <x v="44"/>
  </r>
  <r>
    <s v="SUPER"/>
    <s v="HO"/>
    <s v="04/09/2025"/>
    <s v="01/08/2025-31/08/2025"/>
    <x v="28"/>
    <x v="28"/>
    <x v="11"/>
    <x v="0"/>
    <x v="3"/>
    <x v="11"/>
    <x v="11"/>
    <x v="77"/>
    <x v="77"/>
    <x v="20"/>
    <x v="2"/>
    <x v="0"/>
    <x v="587"/>
    <x v="11"/>
    <x v="27"/>
  </r>
  <r>
    <s v="SUPER"/>
    <s v="HO"/>
    <s v="04/09/2025"/>
    <s v="01/08/2025-31/08/2025"/>
    <x v="28"/>
    <x v="28"/>
    <x v="11"/>
    <x v="0"/>
    <x v="3"/>
    <x v="177"/>
    <x v="177"/>
    <x v="77"/>
    <x v="77"/>
    <x v="20"/>
    <x v="2"/>
    <x v="1"/>
    <x v="587"/>
    <x v="11"/>
    <x v="27"/>
  </r>
  <r>
    <s v="SUPER"/>
    <s v="HO"/>
    <s v="04/09/2025"/>
    <s v="01/08/2025-31/08/2025"/>
    <x v="28"/>
    <x v="28"/>
    <x v="11"/>
    <x v="0"/>
    <x v="3"/>
    <x v="11"/>
    <x v="11"/>
    <x v="77"/>
    <x v="77"/>
    <x v="20"/>
    <x v="2"/>
    <x v="2"/>
    <x v="587"/>
    <x v="11"/>
    <x v="27"/>
  </r>
  <r>
    <s v="SUPER"/>
    <s v="HO"/>
    <s v="04/09/2025"/>
    <s v="01/08/2025-31/08/2025"/>
    <x v="116"/>
    <x v="116"/>
    <x v="25"/>
    <x v="0"/>
    <x v="2"/>
    <x v="2"/>
    <x v="2"/>
    <x v="118"/>
    <x v="118"/>
    <x v="23"/>
    <x v="21"/>
    <x v="0"/>
    <x v="588"/>
    <x v="4"/>
    <x v="115"/>
  </r>
  <r>
    <s v="SUPER"/>
    <s v="HO"/>
    <s v="04/09/2025"/>
    <s v="01/08/2025-31/08/2025"/>
    <x v="126"/>
    <x v="126"/>
    <x v="14"/>
    <x v="0"/>
    <x v="3"/>
    <x v="0"/>
    <x v="0"/>
    <x v="1"/>
    <x v="1"/>
    <x v="23"/>
    <x v="21"/>
    <x v="0"/>
    <x v="589"/>
    <x v="10"/>
    <x v="125"/>
  </r>
  <r>
    <s v="SUPER"/>
    <s v="HO"/>
    <s v="04/09/2025"/>
    <s v="01/08/2025-31/08/2025"/>
    <x v="102"/>
    <x v="102"/>
    <x v="9"/>
    <x v="0"/>
    <x v="3"/>
    <x v="136"/>
    <x v="136"/>
    <x v="141"/>
    <x v="141"/>
    <x v="22"/>
    <x v="2"/>
    <x v="0"/>
    <x v="590"/>
    <x v="11"/>
    <x v="101"/>
  </r>
  <r>
    <s v="SUPER"/>
    <s v="HO"/>
    <s v="04/09/2025"/>
    <s v="01/08/2025-31/08/2025"/>
    <x v="102"/>
    <x v="102"/>
    <x v="9"/>
    <x v="0"/>
    <x v="3"/>
    <x v="121"/>
    <x v="121"/>
    <x v="141"/>
    <x v="141"/>
    <x v="22"/>
    <x v="2"/>
    <x v="1"/>
    <x v="590"/>
    <x v="11"/>
    <x v="101"/>
  </r>
  <r>
    <s v="SUPER"/>
    <s v="HO"/>
    <s v="04/09/2025"/>
    <s v="01/08/2025-31/08/2025"/>
    <x v="86"/>
    <x v="86"/>
    <x v="14"/>
    <x v="0"/>
    <x v="3"/>
    <x v="283"/>
    <x v="283"/>
    <x v="45"/>
    <x v="45"/>
    <x v="15"/>
    <x v="1"/>
    <x v="0"/>
    <x v="591"/>
    <x v="4"/>
    <x v="85"/>
  </r>
  <r>
    <s v="SUPER"/>
    <s v="HO"/>
    <s v="04/09/2025"/>
    <s v="01/08/2025-31/08/2025"/>
    <x v="86"/>
    <x v="86"/>
    <x v="14"/>
    <x v="0"/>
    <x v="3"/>
    <x v="277"/>
    <x v="277"/>
    <x v="45"/>
    <x v="45"/>
    <x v="15"/>
    <x v="1"/>
    <x v="1"/>
    <x v="591"/>
    <x v="4"/>
    <x v="85"/>
  </r>
  <r>
    <s v="SUPER"/>
    <s v="HO"/>
    <s v="04/09/2025"/>
    <s v="01/08/2025-31/08/2025"/>
    <x v="31"/>
    <x v="31"/>
    <x v="17"/>
    <x v="0"/>
    <x v="3"/>
    <x v="277"/>
    <x v="277"/>
    <x v="1"/>
    <x v="1"/>
    <x v="15"/>
    <x v="1"/>
    <x v="0"/>
    <x v="592"/>
    <x v="10"/>
    <x v="30"/>
  </r>
  <r>
    <s v="SUPER"/>
    <s v="HO"/>
    <s v="04/09/2025"/>
    <s v="01/08/2025-31/08/2025"/>
    <x v="60"/>
    <x v="60"/>
    <x v="21"/>
    <x v="0"/>
    <x v="2"/>
    <x v="240"/>
    <x v="240"/>
    <x v="1"/>
    <x v="1"/>
    <x v="18"/>
    <x v="5"/>
    <x v="0"/>
    <x v="593"/>
    <x v="3"/>
    <x v="59"/>
  </r>
  <r>
    <s v="SUPER"/>
    <s v="HO"/>
    <s v="04/09/2025"/>
    <s v="01/08/2025-31/08/2025"/>
    <x v="55"/>
    <x v="55"/>
    <x v="20"/>
    <x v="0"/>
    <x v="2"/>
    <x v="318"/>
    <x v="318"/>
    <x v="1"/>
    <x v="1"/>
    <x v="23"/>
    <x v="0"/>
    <x v="0"/>
    <x v="594"/>
    <x v="3"/>
    <x v="54"/>
  </r>
  <r>
    <s v="SUPER"/>
    <s v="HO"/>
    <s v="04/09/2025"/>
    <s v="01/08/2025-31/08/2025"/>
    <x v="39"/>
    <x v="39"/>
    <x v="18"/>
    <x v="0"/>
    <x v="3"/>
    <x v="35"/>
    <x v="35"/>
    <x v="1"/>
    <x v="1"/>
    <x v="23"/>
    <x v="21"/>
    <x v="0"/>
    <x v="595"/>
    <x v="11"/>
    <x v="38"/>
  </r>
  <r>
    <s v="SUPER"/>
    <s v="HO"/>
    <s v="04/09/2025"/>
    <s v="01/08/2025-31/08/2025"/>
    <x v="42"/>
    <x v="42"/>
    <x v="14"/>
    <x v="0"/>
    <x v="3"/>
    <x v="419"/>
    <x v="419"/>
    <x v="35"/>
    <x v="35"/>
    <x v="22"/>
    <x v="2"/>
    <x v="0"/>
    <x v="596"/>
    <x v="10"/>
    <x v="41"/>
  </r>
  <r>
    <s v="SUPER"/>
    <s v="HO"/>
    <s v="04/09/2025"/>
    <s v="01/08/2025-31/08/2025"/>
    <x v="42"/>
    <x v="42"/>
    <x v="14"/>
    <x v="0"/>
    <x v="3"/>
    <x v="420"/>
    <x v="420"/>
    <x v="35"/>
    <x v="35"/>
    <x v="22"/>
    <x v="2"/>
    <x v="1"/>
    <x v="596"/>
    <x v="10"/>
    <x v="41"/>
  </r>
  <r>
    <s v="SUPER"/>
    <s v="HO"/>
    <s v="04/09/2025"/>
    <s v="01/08/2025-31/08/2025"/>
    <x v="42"/>
    <x v="42"/>
    <x v="14"/>
    <x v="0"/>
    <x v="3"/>
    <x v="169"/>
    <x v="169"/>
    <x v="35"/>
    <x v="35"/>
    <x v="22"/>
    <x v="2"/>
    <x v="2"/>
    <x v="596"/>
    <x v="10"/>
    <x v="41"/>
  </r>
  <r>
    <s v="SUPER"/>
    <s v="HO"/>
    <s v="04/09/2025"/>
    <s v="01/08/2025-31/08/2025"/>
    <x v="42"/>
    <x v="42"/>
    <x v="14"/>
    <x v="0"/>
    <x v="3"/>
    <x v="421"/>
    <x v="421"/>
    <x v="35"/>
    <x v="35"/>
    <x v="22"/>
    <x v="2"/>
    <x v="3"/>
    <x v="596"/>
    <x v="10"/>
    <x v="41"/>
  </r>
  <r>
    <s v="SUPER"/>
    <s v="HO"/>
    <s v="04/09/2025"/>
    <s v="01/08/2025-31/08/2025"/>
    <x v="6"/>
    <x v="6"/>
    <x v="5"/>
    <x v="0"/>
    <x v="2"/>
    <x v="4"/>
    <x v="4"/>
    <x v="3"/>
    <x v="3"/>
    <x v="18"/>
    <x v="5"/>
    <x v="0"/>
    <x v="597"/>
    <x v="4"/>
    <x v="5"/>
  </r>
  <r>
    <s v="SUPER"/>
    <s v="HO"/>
    <s v="04/09/2025"/>
    <s v="01/08/2025-31/08/2025"/>
    <x v="30"/>
    <x v="30"/>
    <x v="1"/>
    <x v="0"/>
    <x v="0"/>
    <x v="31"/>
    <x v="31"/>
    <x v="26"/>
    <x v="26"/>
    <x v="23"/>
    <x v="21"/>
    <x v="0"/>
    <x v="598"/>
    <x v="10"/>
    <x v="29"/>
  </r>
  <r>
    <s v="SUPER"/>
    <s v="HO"/>
    <s v="04/09/2025"/>
    <s v="01/08/2025-31/08/2025"/>
    <x v="32"/>
    <x v="32"/>
    <x v="7"/>
    <x v="0"/>
    <x v="1"/>
    <x v="161"/>
    <x v="161"/>
    <x v="28"/>
    <x v="28"/>
    <x v="23"/>
    <x v="21"/>
    <x v="0"/>
    <x v="599"/>
    <x v="1"/>
    <x v="31"/>
  </r>
  <r>
    <s v="SUPER"/>
    <s v="HO"/>
    <s v="04/09/2025"/>
    <s v="01/08/2025-31/08/2025"/>
    <x v="32"/>
    <x v="32"/>
    <x v="7"/>
    <x v="0"/>
    <x v="1"/>
    <x v="161"/>
    <x v="161"/>
    <x v="28"/>
    <x v="28"/>
    <x v="23"/>
    <x v="21"/>
    <x v="1"/>
    <x v="599"/>
    <x v="1"/>
    <x v="31"/>
  </r>
  <r>
    <s v="SUPER"/>
    <s v="HO"/>
    <s v="04/09/2025"/>
    <s v="01/08/2025-31/08/2025"/>
    <x v="64"/>
    <x v="64"/>
    <x v="15"/>
    <x v="0"/>
    <x v="0"/>
    <x v="136"/>
    <x v="136"/>
    <x v="74"/>
    <x v="74"/>
    <x v="22"/>
    <x v="2"/>
    <x v="0"/>
    <x v="600"/>
    <x v="11"/>
    <x v="63"/>
  </r>
  <r>
    <s v="SUPER"/>
    <s v="HO"/>
    <s v="04/09/2025"/>
    <s v="01/08/2025-31/08/2025"/>
    <x v="102"/>
    <x v="102"/>
    <x v="9"/>
    <x v="0"/>
    <x v="3"/>
    <x v="422"/>
    <x v="422"/>
    <x v="142"/>
    <x v="142"/>
    <x v="14"/>
    <x v="15"/>
    <x v="0"/>
    <x v="600"/>
    <x v="4"/>
    <x v="101"/>
  </r>
  <r>
    <s v="SUPER"/>
    <s v="HO"/>
    <s v="04/09/2025"/>
    <s v="01/08/2025-31/08/2025"/>
    <x v="76"/>
    <x v="76"/>
    <x v="14"/>
    <x v="0"/>
    <x v="3"/>
    <x v="141"/>
    <x v="141"/>
    <x v="66"/>
    <x v="66"/>
    <x v="23"/>
    <x v="21"/>
    <x v="0"/>
    <x v="601"/>
    <x v="11"/>
    <x v="75"/>
  </r>
  <r>
    <s v="SUPER"/>
    <s v="HO"/>
    <s v="04/09/2025"/>
    <s v="01/08/2025-31/08/2025"/>
    <x v="19"/>
    <x v="19"/>
    <x v="6"/>
    <x v="0"/>
    <x v="0"/>
    <x v="160"/>
    <x v="160"/>
    <x v="17"/>
    <x v="17"/>
    <x v="23"/>
    <x v="21"/>
    <x v="0"/>
    <x v="602"/>
    <x v="1"/>
    <x v="18"/>
  </r>
  <r>
    <s v="SUPER"/>
    <s v="HO"/>
    <s v="04/09/2025"/>
    <s v="01/08/2025-31/08/2025"/>
    <x v="60"/>
    <x v="60"/>
    <x v="21"/>
    <x v="0"/>
    <x v="2"/>
    <x v="22"/>
    <x v="22"/>
    <x v="1"/>
    <x v="1"/>
    <x v="12"/>
    <x v="0"/>
    <x v="0"/>
    <x v="603"/>
    <x v="3"/>
    <x v="59"/>
  </r>
  <r>
    <s v="SUPER"/>
    <s v="HO"/>
    <s v="04/09/2025"/>
    <s v="01/08/2025-31/08/2025"/>
    <x v="28"/>
    <x v="28"/>
    <x v="11"/>
    <x v="0"/>
    <x v="3"/>
    <x v="257"/>
    <x v="257"/>
    <x v="143"/>
    <x v="143"/>
    <x v="23"/>
    <x v="21"/>
    <x v="0"/>
    <x v="604"/>
    <x v="11"/>
    <x v="27"/>
  </r>
  <r>
    <s v="SUPER"/>
    <s v="HO"/>
    <s v="04/09/2025"/>
    <s v="01/08/2025-31/08/2025"/>
    <x v="28"/>
    <x v="28"/>
    <x v="11"/>
    <x v="0"/>
    <x v="3"/>
    <x v="391"/>
    <x v="391"/>
    <x v="143"/>
    <x v="143"/>
    <x v="23"/>
    <x v="21"/>
    <x v="1"/>
    <x v="604"/>
    <x v="11"/>
    <x v="27"/>
  </r>
  <r>
    <s v="SUPER"/>
    <s v="HO"/>
    <s v="04/09/2025"/>
    <s v="01/08/2025-31/08/2025"/>
    <x v="28"/>
    <x v="28"/>
    <x v="11"/>
    <x v="0"/>
    <x v="3"/>
    <x v="173"/>
    <x v="173"/>
    <x v="143"/>
    <x v="143"/>
    <x v="23"/>
    <x v="21"/>
    <x v="2"/>
    <x v="604"/>
    <x v="11"/>
    <x v="27"/>
  </r>
  <r>
    <s v="SUPER"/>
    <s v="HO"/>
    <s v="04/09/2025"/>
    <s v="01/08/2025-31/08/2025"/>
    <x v="28"/>
    <x v="28"/>
    <x v="11"/>
    <x v="0"/>
    <x v="3"/>
    <x v="390"/>
    <x v="390"/>
    <x v="143"/>
    <x v="143"/>
    <x v="23"/>
    <x v="21"/>
    <x v="3"/>
    <x v="604"/>
    <x v="11"/>
    <x v="27"/>
  </r>
  <r>
    <s v="SUPER"/>
    <s v="HO"/>
    <s v="04/09/2025"/>
    <s v="01/08/2025-31/08/2025"/>
    <x v="28"/>
    <x v="28"/>
    <x v="11"/>
    <x v="0"/>
    <x v="3"/>
    <x v="59"/>
    <x v="59"/>
    <x v="143"/>
    <x v="143"/>
    <x v="23"/>
    <x v="21"/>
    <x v="4"/>
    <x v="604"/>
    <x v="11"/>
    <x v="27"/>
  </r>
  <r>
    <s v="SUPER"/>
    <s v="HO"/>
    <s v="04/09/2025"/>
    <s v="01/08/2025-31/08/2025"/>
    <x v="28"/>
    <x v="28"/>
    <x v="11"/>
    <x v="0"/>
    <x v="3"/>
    <x v="234"/>
    <x v="234"/>
    <x v="143"/>
    <x v="143"/>
    <x v="23"/>
    <x v="21"/>
    <x v="5"/>
    <x v="604"/>
    <x v="11"/>
    <x v="27"/>
  </r>
  <r>
    <s v="SUPER"/>
    <s v="HO"/>
    <s v="04/09/2025"/>
    <s v="01/08/2025-31/08/2025"/>
    <x v="28"/>
    <x v="28"/>
    <x v="11"/>
    <x v="0"/>
    <x v="3"/>
    <x v="231"/>
    <x v="231"/>
    <x v="143"/>
    <x v="143"/>
    <x v="23"/>
    <x v="21"/>
    <x v="6"/>
    <x v="604"/>
    <x v="11"/>
    <x v="27"/>
  </r>
  <r>
    <s v="SUPER"/>
    <s v="HO"/>
    <s v="04/09/2025"/>
    <s v="01/08/2025-31/08/2025"/>
    <x v="28"/>
    <x v="28"/>
    <x v="11"/>
    <x v="0"/>
    <x v="3"/>
    <x v="390"/>
    <x v="390"/>
    <x v="143"/>
    <x v="143"/>
    <x v="23"/>
    <x v="21"/>
    <x v="7"/>
    <x v="604"/>
    <x v="11"/>
    <x v="27"/>
  </r>
  <r>
    <s v="SUPER"/>
    <s v="HO"/>
    <s v="04/09/2025"/>
    <s v="01/08/2025-31/08/2025"/>
    <x v="89"/>
    <x v="89"/>
    <x v="21"/>
    <x v="0"/>
    <x v="2"/>
    <x v="177"/>
    <x v="177"/>
    <x v="83"/>
    <x v="83"/>
    <x v="21"/>
    <x v="2"/>
    <x v="0"/>
    <x v="605"/>
    <x v="11"/>
    <x v="88"/>
  </r>
  <r>
    <s v="SUPER"/>
    <s v="HO"/>
    <s v="04/09/2025"/>
    <s v="01/08/2025-31/08/2025"/>
    <x v="89"/>
    <x v="89"/>
    <x v="21"/>
    <x v="0"/>
    <x v="2"/>
    <x v="197"/>
    <x v="197"/>
    <x v="83"/>
    <x v="83"/>
    <x v="21"/>
    <x v="2"/>
    <x v="1"/>
    <x v="605"/>
    <x v="11"/>
    <x v="88"/>
  </r>
  <r>
    <s v="SUPER"/>
    <s v="HO"/>
    <s v="04/09/2025"/>
    <s v="01/08/2025-31/08/2025"/>
    <x v="28"/>
    <x v="28"/>
    <x v="11"/>
    <x v="0"/>
    <x v="3"/>
    <x v="423"/>
    <x v="423"/>
    <x v="1"/>
    <x v="1"/>
    <x v="23"/>
    <x v="21"/>
    <x v="0"/>
    <x v="606"/>
    <x v="25"/>
    <x v="27"/>
  </r>
  <r>
    <s v="SUPER"/>
    <s v="HO"/>
    <s v="04/09/2025"/>
    <s v="01/08/2025-31/08/2025"/>
    <x v="27"/>
    <x v="27"/>
    <x v="16"/>
    <x v="0"/>
    <x v="1"/>
    <x v="7"/>
    <x v="7"/>
    <x v="23"/>
    <x v="23"/>
    <x v="19"/>
    <x v="5"/>
    <x v="0"/>
    <x v="607"/>
    <x v="3"/>
    <x v="26"/>
  </r>
  <r>
    <s v="SUPER"/>
    <s v="HO"/>
    <s v="04/09/2025"/>
    <s v="01/08/2025-31/08/2025"/>
    <x v="27"/>
    <x v="27"/>
    <x v="16"/>
    <x v="0"/>
    <x v="1"/>
    <x v="53"/>
    <x v="53"/>
    <x v="23"/>
    <x v="23"/>
    <x v="19"/>
    <x v="5"/>
    <x v="1"/>
    <x v="607"/>
    <x v="3"/>
    <x v="26"/>
  </r>
  <r>
    <s v="SUPER"/>
    <s v="HO"/>
    <s v="04/09/2025"/>
    <s v="01/08/2025-31/08/2025"/>
    <x v="29"/>
    <x v="29"/>
    <x v="9"/>
    <x v="0"/>
    <x v="3"/>
    <x v="34"/>
    <x v="34"/>
    <x v="24"/>
    <x v="24"/>
    <x v="27"/>
    <x v="3"/>
    <x v="0"/>
    <x v="608"/>
    <x v="11"/>
    <x v="28"/>
  </r>
  <r>
    <s v="SUPER"/>
    <s v="HO"/>
    <s v="04/09/2025"/>
    <s v="01/08/2025-31/08/2025"/>
    <x v="11"/>
    <x v="11"/>
    <x v="1"/>
    <x v="0"/>
    <x v="0"/>
    <x v="161"/>
    <x v="161"/>
    <x v="9"/>
    <x v="9"/>
    <x v="12"/>
    <x v="21"/>
    <x v="0"/>
    <x v="609"/>
    <x v="1"/>
    <x v="10"/>
  </r>
  <r>
    <s v="SUPER"/>
    <s v="HO"/>
    <s v="04/09/2025"/>
    <s v="01/08/2025-31/08/2025"/>
    <x v="92"/>
    <x v="92"/>
    <x v="11"/>
    <x v="0"/>
    <x v="3"/>
    <x v="5"/>
    <x v="5"/>
    <x v="1"/>
    <x v="1"/>
    <x v="19"/>
    <x v="5"/>
    <x v="0"/>
    <x v="610"/>
    <x v="3"/>
    <x v="91"/>
  </r>
  <r>
    <s v="SUPER"/>
    <s v="HO"/>
    <s v="04/09/2025"/>
    <s v="01/08/2025-31/08/2025"/>
    <x v="68"/>
    <x v="68"/>
    <x v="6"/>
    <x v="0"/>
    <x v="0"/>
    <x v="152"/>
    <x v="152"/>
    <x v="135"/>
    <x v="135"/>
    <x v="18"/>
    <x v="15"/>
    <x v="0"/>
    <x v="611"/>
    <x v="22"/>
    <x v="67"/>
  </r>
  <r>
    <s v="SUPER"/>
    <s v="HO"/>
    <s v="04/09/2025"/>
    <s v="01/08/2025-31/08/2025"/>
    <x v="75"/>
    <x v="75"/>
    <x v="9"/>
    <x v="0"/>
    <x v="3"/>
    <x v="113"/>
    <x v="113"/>
    <x v="1"/>
    <x v="1"/>
    <x v="27"/>
    <x v="4"/>
    <x v="0"/>
    <x v="612"/>
    <x v="3"/>
    <x v="74"/>
  </r>
  <r>
    <s v="SUPER"/>
    <s v="HO"/>
    <s v="04/09/2025"/>
    <s v="01/08/2025-31/08/2025"/>
    <x v="22"/>
    <x v="22"/>
    <x v="14"/>
    <x v="0"/>
    <x v="3"/>
    <x v="393"/>
    <x v="393"/>
    <x v="1"/>
    <x v="1"/>
    <x v="27"/>
    <x v="3"/>
    <x v="0"/>
    <x v="613"/>
    <x v="11"/>
    <x v="21"/>
  </r>
  <r>
    <s v="SUPER"/>
    <s v="HO"/>
    <s v="04/09/2025"/>
    <s v="01/08/2025-31/08/2025"/>
    <x v="102"/>
    <x v="102"/>
    <x v="9"/>
    <x v="0"/>
    <x v="3"/>
    <x v="424"/>
    <x v="424"/>
    <x v="100"/>
    <x v="100"/>
    <x v="24"/>
    <x v="2"/>
    <x v="0"/>
    <x v="614"/>
    <x v="11"/>
    <x v="101"/>
  </r>
  <r>
    <s v="SUPER"/>
    <s v="HO"/>
    <s v="04/09/2025"/>
    <s v="01/08/2025-31/08/2025"/>
    <x v="102"/>
    <x v="102"/>
    <x v="9"/>
    <x v="0"/>
    <x v="3"/>
    <x v="82"/>
    <x v="82"/>
    <x v="100"/>
    <x v="100"/>
    <x v="24"/>
    <x v="2"/>
    <x v="1"/>
    <x v="614"/>
    <x v="11"/>
    <x v="101"/>
  </r>
  <r>
    <s v="SUPER"/>
    <s v="HO"/>
    <s v="04/09/2025"/>
    <s v="01/08/2025-31/08/2025"/>
    <x v="102"/>
    <x v="102"/>
    <x v="9"/>
    <x v="0"/>
    <x v="3"/>
    <x v="114"/>
    <x v="114"/>
    <x v="100"/>
    <x v="100"/>
    <x v="24"/>
    <x v="2"/>
    <x v="2"/>
    <x v="614"/>
    <x v="11"/>
    <x v="101"/>
  </r>
  <r>
    <s v="SUPER"/>
    <s v="HO"/>
    <s v="04/09/2025"/>
    <s v="01/08/2025-31/08/2025"/>
    <x v="22"/>
    <x v="22"/>
    <x v="14"/>
    <x v="0"/>
    <x v="3"/>
    <x v="160"/>
    <x v="160"/>
    <x v="1"/>
    <x v="1"/>
    <x v="27"/>
    <x v="3"/>
    <x v="0"/>
    <x v="615"/>
    <x v="1"/>
    <x v="21"/>
  </r>
  <r>
    <s v="SUPER"/>
    <s v="HO"/>
    <s v="04/09/2025"/>
    <s v="01/08/2025-31/08/2025"/>
    <x v="60"/>
    <x v="60"/>
    <x v="21"/>
    <x v="0"/>
    <x v="2"/>
    <x v="354"/>
    <x v="354"/>
    <x v="1"/>
    <x v="1"/>
    <x v="12"/>
    <x v="21"/>
    <x v="0"/>
    <x v="616"/>
    <x v="11"/>
    <x v="59"/>
  </r>
  <r>
    <s v="SUPER"/>
    <s v="HO"/>
    <s v="04/09/2025"/>
    <s v="01/08/2025-31/08/2025"/>
    <x v="60"/>
    <x v="60"/>
    <x v="21"/>
    <x v="0"/>
    <x v="2"/>
    <x v="356"/>
    <x v="356"/>
    <x v="1"/>
    <x v="1"/>
    <x v="12"/>
    <x v="21"/>
    <x v="1"/>
    <x v="616"/>
    <x v="11"/>
    <x v="59"/>
  </r>
  <r>
    <s v="SUPER"/>
    <s v="HO"/>
    <s v="04/09/2025"/>
    <s v="01/08/2025-31/08/2025"/>
    <x v="60"/>
    <x v="60"/>
    <x v="21"/>
    <x v="0"/>
    <x v="2"/>
    <x v="22"/>
    <x v="22"/>
    <x v="1"/>
    <x v="1"/>
    <x v="12"/>
    <x v="0"/>
    <x v="0"/>
    <x v="617"/>
    <x v="3"/>
    <x v="59"/>
  </r>
  <r>
    <s v="SUPER"/>
    <s v="HO"/>
    <s v="04/09/2025"/>
    <s v="01/08/2025-31/08/2025"/>
    <x v="6"/>
    <x v="6"/>
    <x v="5"/>
    <x v="0"/>
    <x v="2"/>
    <x v="425"/>
    <x v="425"/>
    <x v="3"/>
    <x v="3"/>
    <x v="19"/>
    <x v="5"/>
    <x v="0"/>
    <x v="618"/>
    <x v="3"/>
    <x v="5"/>
  </r>
  <r>
    <s v="SUPER"/>
    <s v="HO"/>
    <s v="04/09/2025"/>
    <s v="01/08/2025-31/08/2025"/>
    <x v="6"/>
    <x v="6"/>
    <x v="5"/>
    <x v="0"/>
    <x v="2"/>
    <x v="111"/>
    <x v="111"/>
    <x v="3"/>
    <x v="3"/>
    <x v="19"/>
    <x v="5"/>
    <x v="1"/>
    <x v="618"/>
    <x v="3"/>
    <x v="5"/>
  </r>
  <r>
    <s v="SUPER"/>
    <s v="HO"/>
    <s v="04/09/2025"/>
    <s v="01/08/2025-31/08/2025"/>
    <x v="22"/>
    <x v="22"/>
    <x v="14"/>
    <x v="0"/>
    <x v="3"/>
    <x v="379"/>
    <x v="379"/>
    <x v="45"/>
    <x v="45"/>
    <x v="14"/>
    <x v="28"/>
    <x v="0"/>
    <x v="619"/>
    <x v="11"/>
    <x v="21"/>
  </r>
  <r>
    <s v="SUPER"/>
    <s v="HO"/>
    <s v="04/09/2025"/>
    <s v="01/08/2025-31/08/2025"/>
    <x v="22"/>
    <x v="22"/>
    <x v="14"/>
    <x v="0"/>
    <x v="3"/>
    <x v="211"/>
    <x v="211"/>
    <x v="45"/>
    <x v="45"/>
    <x v="14"/>
    <x v="28"/>
    <x v="1"/>
    <x v="619"/>
    <x v="11"/>
    <x v="21"/>
  </r>
  <r>
    <s v="SUPER"/>
    <s v="HO"/>
    <s v="04/09/2025"/>
    <s v="01/08/2025-31/08/2025"/>
    <x v="22"/>
    <x v="22"/>
    <x v="14"/>
    <x v="0"/>
    <x v="3"/>
    <x v="169"/>
    <x v="169"/>
    <x v="45"/>
    <x v="45"/>
    <x v="14"/>
    <x v="28"/>
    <x v="2"/>
    <x v="619"/>
    <x v="11"/>
    <x v="21"/>
  </r>
  <r>
    <s v="SUPER"/>
    <s v="HO"/>
    <s v="04/09/2025"/>
    <s v="01/08/2025-31/08/2025"/>
    <x v="45"/>
    <x v="45"/>
    <x v="14"/>
    <x v="0"/>
    <x v="3"/>
    <x v="197"/>
    <x v="197"/>
    <x v="1"/>
    <x v="1"/>
    <x v="24"/>
    <x v="2"/>
    <x v="0"/>
    <x v="620"/>
    <x v="11"/>
    <x v="44"/>
  </r>
  <r>
    <s v="SUPER"/>
    <s v="HO"/>
    <s v="04/09/2025"/>
    <s v="01/08/2025-31/08/2025"/>
    <x v="107"/>
    <x v="107"/>
    <x v="12"/>
    <x v="0"/>
    <x v="3"/>
    <x v="31"/>
    <x v="31"/>
    <x v="1"/>
    <x v="1"/>
    <x v="12"/>
    <x v="21"/>
    <x v="0"/>
    <x v="621"/>
    <x v="10"/>
    <x v="106"/>
  </r>
  <r>
    <s v="SUPER"/>
    <s v="HO"/>
    <s v="04/09/2025"/>
    <s v="01/08/2025-31/08/2025"/>
    <x v="89"/>
    <x v="89"/>
    <x v="21"/>
    <x v="0"/>
    <x v="2"/>
    <x v="426"/>
    <x v="426"/>
    <x v="83"/>
    <x v="83"/>
    <x v="24"/>
    <x v="2"/>
    <x v="0"/>
    <x v="622"/>
    <x v="4"/>
    <x v="88"/>
  </r>
  <r>
    <s v="SUPER"/>
    <s v="HO"/>
    <s v="04/09/2025"/>
    <s v="01/08/2025-31/08/2025"/>
    <x v="89"/>
    <x v="89"/>
    <x v="21"/>
    <x v="0"/>
    <x v="2"/>
    <x v="263"/>
    <x v="263"/>
    <x v="83"/>
    <x v="83"/>
    <x v="24"/>
    <x v="2"/>
    <x v="1"/>
    <x v="622"/>
    <x v="4"/>
    <x v="88"/>
  </r>
  <r>
    <s v="SUPER"/>
    <s v="HO"/>
    <s v="04/09/2025"/>
    <s v="01/08/2025-31/08/2025"/>
    <x v="89"/>
    <x v="89"/>
    <x v="21"/>
    <x v="0"/>
    <x v="2"/>
    <x v="260"/>
    <x v="260"/>
    <x v="83"/>
    <x v="83"/>
    <x v="24"/>
    <x v="2"/>
    <x v="2"/>
    <x v="622"/>
    <x v="4"/>
    <x v="88"/>
  </r>
  <r>
    <s v="SUPER"/>
    <s v="HO"/>
    <s v="04/09/2025"/>
    <s v="01/08/2025-31/08/2025"/>
    <x v="26"/>
    <x v="26"/>
    <x v="15"/>
    <x v="0"/>
    <x v="0"/>
    <x v="29"/>
    <x v="29"/>
    <x v="51"/>
    <x v="51"/>
    <x v="12"/>
    <x v="21"/>
    <x v="0"/>
    <x v="623"/>
    <x v="4"/>
    <x v="25"/>
  </r>
  <r>
    <s v="SUPER"/>
    <s v="HO"/>
    <s v="04/09/2025"/>
    <s v="01/08/2025-31/08/2025"/>
    <x v="26"/>
    <x v="26"/>
    <x v="15"/>
    <x v="0"/>
    <x v="0"/>
    <x v="33"/>
    <x v="33"/>
    <x v="51"/>
    <x v="51"/>
    <x v="12"/>
    <x v="21"/>
    <x v="1"/>
    <x v="623"/>
    <x v="4"/>
    <x v="25"/>
  </r>
  <r>
    <s v="SUPER"/>
    <s v="HO"/>
    <s v="04/09/2025"/>
    <s v="01/08/2025-31/08/2025"/>
    <x v="26"/>
    <x v="26"/>
    <x v="15"/>
    <x v="0"/>
    <x v="0"/>
    <x v="46"/>
    <x v="46"/>
    <x v="51"/>
    <x v="51"/>
    <x v="12"/>
    <x v="21"/>
    <x v="2"/>
    <x v="623"/>
    <x v="4"/>
    <x v="25"/>
  </r>
  <r>
    <s v="SUPER"/>
    <s v="HO"/>
    <s v="04/09/2025"/>
    <s v="01/08/2025-31/08/2025"/>
    <x v="116"/>
    <x v="116"/>
    <x v="25"/>
    <x v="0"/>
    <x v="2"/>
    <x v="64"/>
    <x v="64"/>
    <x v="118"/>
    <x v="118"/>
    <x v="12"/>
    <x v="21"/>
    <x v="0"/>
    <x v="624"/>
    <x v="1"/>
    <x v="115"/>
  </r>
  <r>
    <s v="SUPER"/>
    <s v="HO"/>
    <s v="04/09/2025"/>
    <s v="01/08/2025-31/08/2025"/>
    <x v="4"/>
    <x v="4"/>
    <x v="4"/>
    <x v="0"/>
    <x v="2"/>
    <x v="427"/>
    <x v="427"/>
    <x v="1"/>
    <x v="1"/>
    <x v="19"/>
    <x v="14"/>
    <x v="0"/>
    <x v="625"/>
    <x v="24"/>
    <x v="3"/>
  </r>
  <r>
    <s v="SUPER"/>
    <s v="HO"/>
    <s v="04/09/2025"/>
    <s v="01/08/2025-31/08/2025"/>
    <x v="11"/>
    <x v="11"/>
    <x v="1"/>
    <x v="0"/>
    <x v="0"/>
    <x v="392"/>
    <x v="392"/>
    <x v="9"/>
    <x v="9"/>
    <x v="25"/>
    <x v="2"/>
    <x v="0"/>
    <x v="626"/>
    <x v="4"/>
    <x v="10"/>
  </r>
  <r>
    <s v="SUPER"/>
    <s v="HO"/>
    <s v="04/09/2025"/>
    <s v="01/08/2025-31/08/2025"/>
    <x v="92"/>
    <x v="92"/>
    <x v="11"/>
    <x v="0"/>
    <x v="3"/>
    <x v="5"/>
    <x v="5"/>
    <x v="1"/>
    <x v="1"/>
    <x v="20"/>
    <x v="4"/>
    <x v="0"/>
    <x v="627"/>
    <x v="3"/>
    <x v="91"/>
  </r>
  <r>
    <s v="SUPER"/>
    <s v="HO"/>
    <s v="04/09/2025"/>
    <s v="01/08/2025-31/08/2025"/>
    <x v="92"/>
    <x v="92"/>
    <x v="11"/>
    <x v="0"/>
    <x v="3"/>
    <x v="6"/>
    <x v="6"/>
    <x v="91"/>
    <x v="91"/>
    <x v="20"/>
    <x v="4"/>
    <x v="0"/>
    <x v="628"/>
    <x v="4"/>
    <x v="91"/>
  </r>
  <r>
    <s v="SUPER"/>
    <s v="HO"/>
    <s v="04/09/2025"/>
    <s v="01/08/2025-31/08/2025"/>
    <x v="92"/>
    <x v="92"/>
    <x v="11"/>
    <x v="0"/>
    <x v="3"/>
    <x v="6"/>
    <x v="6"/>
    <x v="91"/>
    <x v="91"/>
    <x v="20"/>
    <x v="4"/>
    <x v="1"/>
    <x v="628"/>
    <x v="4"/>
    <x v="91"/>
  </r>
  <r>
    <s v="SUPER"/>
    <s v="HO"/>
    <s v="04/09/2025"/>
    <s v="01/08/2025-31/08/2025"/>
    <x v="22"/>
    <x v="22"/>
    <x v="14"/>
    <x v="0"/>
    <x v="3"/>
    <x v="5"/>
    <x v="5"/>
    <x v="46"/>
    <x v="46"/>
    <x v="20"/>
    <x v="4"/>
    <x v="0"/>
    <x v="629"/>
    <x v="3"/>
    <x v="21"/>
  </r>
  <r>
    <s v="SUPER"/>
    <s v="HO"/>
    <s v="04/09/2025"/>
    <s v="01/08/2025-31/08/2025"/>
    <x v="26"/>
    <x v="26"/>
    <x v="15"/>
    <x v="0"/>
    <x v="0"/>
    <x v="164"/>
    <x v="164"/>
    <x v="51"/>
    <x v="51"/>
    <x v="20"/>
    <x v="4"/>
    <x v="0"/>
    <x v="630"/>
    <x v="3"/>
    <x v="25"/>
  </r>
  <r>
    <s v="SUPER"/>
    <s v="HO"/>
    <s v="04/09/2025"/>
    <s v="01/08/2025-31/08/2025"/>
    <x v="26"/>
    <x v="26"/>
    <x v="15"/>
    <x v="0"/>
    <x v="0"/>
    <x v="159"/>
    <x v="159"/>
    <x v="51"/>
    <x v="51"/>
    <x v="20"/>
    <x v="4"/>
    <x v="1"/>
    <x v="630"/>
    <x v="4"/>
    <x v="25"/>
  </r>
  <r>
    <s v="SUPER"/>
    <s v="HO"/>
    <s v="04/09/2025"/>
    <s v="01/08/2025-31/08/2025"/>
    <x v="22"/>
    <x v="22"/>
    <x v="14"/>
    <x v="0"/>
    <x v="3"/>
    <x v="160"/>
    <x v="160"/>
    <x v="46"/>
    <x v="46"/>
    <x v="20"/>
    <x v="4"/>
    <x v="0"/>
    <x v="631"/>
    <x v="3"/>
    <x v="21"/>
  </r>
  <r>
    <s v="SUPER"/>
    <s v="HO"/>
    <s v="04/09/2025"/>
    <s v="01/08/2025-31/08/2025"/>
    <x v="80"/>
    <x v="80"/>
    <x v="10"/>
    <x v="0"/>
    <x v="0"/>
    <x v="228"/>
    <x v="228"/>
    <x v="115"/>
    <x v="115"/>
    <x v="25"/>
    <x v="2"/>
    <x v="0"/>
    <x v="632"/>
    <x v="11"/>
    <x v="79"/>
  </r>
  <r>
    <s v="SUPER"/>
    <s v="HO"/>
    <s v="04/09/2025"/>
    <s v="01/08/2025-31/08/2025"/>
    <x v="80"/>
    <x v="80"/>
    <x v="10"/>
    <x v="0"/>
    <x v="0"/>
    <x v="389"/>
    <x v="389"/>
    <x v="115"/>
    <x v="115"/>
    <x v="25"/>
    <x v="2"/>
    <x v="1"/>
    <x v="632"/>
    <x v="11"/>
    <x v="79"/>
  </r>
  <r>
    <s v="SUPER"/>
    <s v="HO"/>
    <s v="04/09/2025"/>
    <s v="01/08/2025-31/08/2025"/>
    <x v="80"/>
    <x v="80"/>
    <x v="10"/>
    <x v="0"/>
    <x v="0"/>
    <x v="197"/>
    <x v="197"/>
    <x v="115"/>
    <x v="115"/>
    <x v="25"/>
    <x v="2"/>
    <x v="2"/>
    <x v="632"/>
    <x v="11"/>
    <x v="79"/>
  </r>
  <r>
    <s v="SUPER"/>
    <s v="HO"/>
    <s v="04/09/2025"/>
    <s v="01/08/2025-31/08/2025"/>
    <x v="80"/>
    <x v="80"/>
    <x v="10"/>
    <x v="0"/>
    <x v="0"/>
    <x v="137"/>
    <x v="137"/>
    <x v="115"/>
    <x v="115"/>
    <x v="25"/>
    <x v="2"/>
    <x v="3"/>
    <x v="632"/>
    <x v="11"/>
    <x v="79"/>
  </r>
  <r>
    <s v="SUPER"/>
    <s v="HO"/>
    <s v="04/09/2025"/>
    <s v="01/08/2025-31/08/2025"/>
    <x v="86"/>
    <x v="86"/>
    <x v="14"/>
    <x v="0"/>
    <x v="3"/>
    <x v="82"/>
    <x v="82"/>
    <x v="45"/>
    <x v="45"/>
    <x v="25"/>
    <x v="2"/>
    <x v="0"/>
    <x v="633"/>
    <x v="11"/>
    <x v="85"/>
  </r>
  <r>
    <s v="SUPER"/>
    <s v="HO"/>
    <s v="04/09/2025"/>
    <s v="01/08/2025-31/08/2025"/>
    <x v="86"/>
    <x v="86"/>
    <x v="14"/>
    <x v="0"/>
    <x v="3"/>
    <x v="393"/>
    <x v="393"/>
    <x v="45"/>
    <x v="45"/>
    <x v="25"/>
    <x v="2"/>
    <x v="1"/>
    <x v="633"/>
    <x v="11"/>
    <x v="85"/>
  </r>
  <r>
    <s v="SUPER"/>
    <s v="HO"/>
    <s v="04/09/2025"/>
    <s v="01/08/2025-31/08/2025"/>
    <x v="86"/>
    <x v="86"/>
    <x v="14"/>
    <x v="0"/>
    <x v="3"/>
    <x v="393"/>
    <x v="393"/>
    <x v="45"/>
    <x v="45"/>
    <x v="25"/>
    <x v="2"/>
    <x v="2"/>
    <x v="633"/>
    <x v="11"/>
    <x v="85"/>
  </r>
  <r>
    <s v="SUPER"/>
    <s v="HO"/>
    <s v="04/09/2025"/>
    <s v="01/08/2025-31/08/2025"/>
    <x v="86"/>
    <x v="86"/>
    <x v="14"/>
    <x v="0"/>
    <x v="3"/>
    <x v="379"/>
    <x v="379"/>
    <x v="45"/>
    <x v="45"/>
    <x v="25"/>
    <x v="2"/>
    <x v="3"/>
    <x v="633"/>
    <x v="11"/>
    <x v="85"/>
  </r>
  <r>
    <s v="SUPER"/>
    <s v="HO"/>
    <s v="04/09/2025"/>
    <s v="01/08/2025-31/08/2025"/>
    <x v="64"/>
    <x v="64"/>
    <x v="15"/>
    <x v="0"/>
    <x v="0"/>
    <x v="53"/>
    <x v="53"/>
    <x v="120"/>
    <x v="120"/>
    <x v="25"/>
    <x v="2"/>
    <x v="0"/>
    <x v="634"/>
    <x v="4"/>
    <x v="63"/>
  </r>
  <r>
    <s v="SUPER"/>
    <s v="HO"/>
    <s v="04/09/2025"/>
    <s v="01/08/2025-31/08/2025"/>
    <x v="64"/>
    <x v="64"/>
    <x v="15"/>
    <x v="0"/>
    <x v="0"/>
    <x v="428"/>
    <x v="428"/>
    <x v="120"/>
    <x v="120"/>
    <x v="25"/>
    <x v="2"/>
    <x v="1"/>
    <x v="634"/>
    <x v="4"/>
    <x v="63"/>
  </r>
  <r>
    <s v="SUPER"/>
    <s v="HO"/>
    <s v="04/09/2025"/>
    <s v="01/08/2025-31/08/2025"/>
    <x v="64"/>
    <x v="64"/>
    <x v="15"/>
    <x v="0"/>
    <x v="0"/>
    <x v="272"/>
    <x v="272"/>
    <x v="120"/>
    <x v="120"/>
    <x v="25"/>
    <x v="2"/>
    <x v="2"/>
    <x v="634"/>
    <x v="4"/>
    <x v="63"/>
  </r>
  <r>
    <s v="SUPER"/>
    <s v="HO"/>
    <s v="04/09/2025"/>
    <s v="01/08/2025-31/08/2025"/>
    <x v="64"/>
    <x v="64"/>
    <x v="15"/>
    <x v="0"/>
    <x v="0"/>
    <x v="429"/>
    <x v="429"/>
    <x v="120"/>
    <x v="120"/>
    <x v="25"/>
    <x v="2"/>
    <x v="3"/>
    <x v="634"/>
    <x v="4"/>
    <x v="63"/>
  </r>
  <r>
    <s v="SUPER"/>
    <s v="HO"/>
    <s v="04/09/2025"/>
    <s v="01/08/2025-31/08/2025"/>
    <x v="88"/>
    <x v="88"/>
    <x v="9"/>
    <x v="0"/>
    <x v="3"/>
    <x v="6"/>
    <x v="6"/>
    <x v="144"/>
    <x v="144"/>
    <x v="20"/>
    <x v="3"/>
    <x v="0"/>
    <x v="635"/>
    <x v="11"/>
    <x v="87"/>
  </r>
  <r>
    <s v="SUPER"/>
    <s v="HO"/>
    <s v="04/09/2025"/>
    <s v="01/08/2025-31/08/2025"/>
    <x v="88"/>
    <x v="88"/>
    <x v="9"/>
    <x v="0"/>
    <x v="3"/>
    <x v="430"/>
    <x v="430"/>
    <x v="144"/>
    <x v="144"/>
    <x v="20"/>
    <x v="3"/>
    <x v="1"/>
    <x v="635"/>
    <x v="11"/>
    <x v="87"/>
  </r>
  <r>
    <s v="SUPER"/>
    <s v="HO"/>
    <s v="04/09/2025"/>
    <s v="01/08/2025-31/08/2025"/>
    <x v="60"/>
    <x v="60"/>
    <x v="21"/>
    <x v="0"/>
    <x v="2"/>
    <x v="22"/>
    <x v="22"/>
    <x v="1"/>
    <x v="1"/>
    <x v="29"/>
    <x v="5"/>
    <x v="0"/>
    <x v="636"/>
    <x v="3"/>
    <x v="59"/>
  </r>
  <r>
    <s v="SUPER"/>
    <s v="HO"/>
    <s v="04/09/2025"/>
    <s v="01/08/2025-31/08/2025"/>
    <x v="88"/>
    <x v="88"/>
    <x v="9"/>
    <x v="0"/>
    <x v="3"/>
    <x v="419"/>
    <x v="419"/>
    <x v="45"/>
    <x v="45"/>
    <x v="18"/>
    <x v="28"/>
    <x v="0"/>
    <x v="637"/>
    <x v="4"/>
    <x v="87"/>
  </r>
  <r>
    <s v="SUPER"/>
    <s v="HO"/>
    <s v="04/09/2025"/>
    <s v="01/08/2025-31/08/2025"/>
    <x v="31"/>
    <x v="31"/>
    <x v="17"/>
    <x v="0"/>
    <x v="3"/>
    <x v="30"/>
    <x v="30"/>
    <x v="42"/>
    <x v="42"/>
    <x v="13"/>
    <x v="1"/>
    <x v="0"/>
    <x v="638"/>
    <x v="10"/>
    <x v="30"/>
  </r>
  <r>
    <s v="SUPER"/>
    <s v="HO"/>
    <s v="04/09/2025"/>
    <s v="01/08/2025-31/08/2025"/>
    <x v="110"/>
    <x v="110"/>
    <x v="15"/>
    <x v="0"/>
    <x v="0"/>
    <x v="275"/>
    <x v="275"/>
    <x v="145"/>
    <x v="145"/>
    <x v="19"/>
    <x v="14"/>
    <x v="0"/>
    <x v="639"/>
    <x v="26"/>
    <x v="109"/>
  </r>
  <r>
    <s v="SUPER"/>
    <s v="HO"/>
    <s v="04/09/2025"/>
    <s v="01/08/2025-31/08/2025"/>
    <x v="31"/>
    <x v="31"/>
    <x v="17"/>
    <x v="0"/>
    <x v="3"/>
    <x v="86"/>
    <x v="86"/>
    <x v="42"/>
    <x v="42"/>
    <x v="13"/>
    <x v="1"/>
    <x v="0"/>
    <x v="640"/>
    <x v="3"/>
    <x v="30"/>
  </r>
  <r>
    <s v="SUPER"/>
    <s v="HO"/>
    <s v="04/09/2025"/>
    <s v="01/08/2025-31/08/2025"/>
    <x v="22"/>
    <x v="22"/>
    <x v="14"/>
    <x v="0"/>
    <x v="3"/>
    <x v="373"/>
    <x v="373"/>
    <x v="46"/>
    <x v="46"/>
    <x v="22"/>
    <x v="4"/>
    <x v="0"/>
    <x v="641"/>
    <x v="4"/>
    <x v="21"/>
  </r>
  <r>
    <s v="SUPER"/>
    <s v="HO"/>
    <s v="04/09/2025"/>
    <s v="01/08/2025-31/08/2025"/>
    <x v="22"/>
    <x v="22"/>
    <x v="14"/>
    <x v="0"/>
    <x v="3"/>
    <x v="374"/>
    <x v="374"/>
    <x v="46"/>
    <x v="46"/>
    <x v="22"/>
    <x v="4"/>
    <x v="1"/>
    <x v="641"/>
    <x v="4"/>
    <x v="21"/>
  </r>
  <r>
    <s v="SUPER"/>
    <s v="HO"/>
    <s v="04/09/2025"/>
    <s v="01/08/2025-31/08/2025"/>
    <x v="6"/>
    <x v="6"/>
    <x v="5"/>
    <x v="0"/>
    <x v="2"/>
    <x v="4"/>
    <x v="4"/>
    <x v="3"/>
    <x v="3"/>
    <x v="22"/>
    <x v="4"/>
    <x v="0"/>
    <x v="642"/>
    <x v="3"/>
    <x v="5"/>
  </r>
  <r>
    <s v="SUPER"/>
    <s v="HO"/>
    <s v="04/09/2025"/>
    <s v="01/08/2025-31/08/2025"/>
    <x v="65"/>
    <x v="65"/>
    <x v="22"/>
    <x v="0"/>
    <x v="2"/>
    <x v="99"/>
    <x v="99"/>
    <x v="1"/>
    <x v="1"/>
    <x v="22"/>
    <x v="3"/>
    <x v="0"/>
    <x v="643"/>
    <x v="11"/>
    <x v="64"/>
  </r>
  <r>
    <s v="SUPER"/>
    <s v="HO"/>
    <s v="04/09/2025"/>
    <s v="01/08/2025-31/08/2025"/>
    <x v="65"/>
    <x v="65"/>
    <x v="22"/>
    <x v="0"/>
    <x v="2"/>
    <x v="111"/>
    <x v="111"/>
    <x v="1"/>
    <x v="1"/>
    <x v="22"/>
    <x v="3"/>
    <x v="1"/>
    <x v="643"/>
    <x v="11"/>
    <x v="64"/>
  </r>
  <r>
    <s v="SUPER"/>
    <s v="HO"/>
    <s v="04/09/2025"/>
    <s v="01/08/2025-31/08/2025"/>
    <x v="65"/>
    <x v="65"/>
    <x v="22"/>
    <x v="0"/>
    <x v="2"/>
    <x v="100"/>
    <x v="100"/>
    <x v="1"/>
    <x v="1"/>
    <x v="22"/>
    <x v="3"/>
    <x v="2"/>
    <x v="643"/>
    <x v="11"/>
    <x v="64"/>
  </r>
  <r>
    <s v="SUPER"/>
    <s v="HO"/>
    <s v="04/09/2025"/>
    <s v="01/08/2025-31/08/2025"/>
    <x v="75"/>
    <x v="75"/>
    <x v="9"/>
    <x v="0"/>
    <x v="3"/>
    <x v="2"/>
    <x v="2"/>
    <x v="1"/>
    <x v="1"/>
    <x v="14"/>
    <x v="21"/>
    <x v="0"/>
    <x v="644"/>
    <x v="1"/>
    <x v="74"/>
  </r>
  <r>
    <s v="SUPER"/>
    <s v="HO"/>
    <s v="04/09/2025"/>
    <s v="01/08/2025-31/08/2025"/>
    <x v="75"/>
    <x v="75"/>
    <x v="9"/>
    <x v="0"/>
    <x v="3"/>
    <x v="38"/>
    <x v="38"/>
    <x v="1"/>
    <x v="1"/>
    <x v="14"/>
    <x v="21"/>
    <x v="1"/>
    <x v="644"/>
    <x v="1"/>
    <x v="74"/>
  </r>
  <r>
    <s v="SUPER"/>
    <s v="HO"/>
    <s v="04/09/2025"/>
    <s v="01/08/2025-31/08/2025"/>
    <x v="75"/>
    <x v="75"/>
    <x v="9"/>
    <x v="0"/>
    <x v="3"/>
    <x v="2"/>
    <x v="2"/>
    <x v="1"/>
    <x v="1"/>
    <x v="14"/>
    <x v="21"/>
    <x v="2"/>
    <x v="644"/>
    <x v="1"/>
    <x v="74"/>
  </r>
  <r>
    <s v="SUPER"/>
    <s v="HO"/>
    <s v="04/09/2025"/>
    <s v="01/08/2025-31/08/2025"/>
    <x v="86"/>
    <x v="86"/>
    <x v="14"/>
    <x v="0"/>
    <x v="3"/>
    <x v="36"/>
    <x v="36"/>
    <x v="57"/>
    <x v="57"/>
    <x v="22"/>
    <x v="3"/>
    <x v="0"/>
    <x v="645"/>
    <x v="11"/>
    <x v="85"/>
  </r>
  <r>
    <s v="SUPER"/>
    <s v="HO"/>
    <s v="04/09/2025"/>
    <s v="01/08/2025-31/08/2025"/>
    <x v="86"/>
    <x v="86"/>
    <x v="14"/>
    <x v="0"/>
    <x v="3"/>
    <x v="244"/>
    <x v="244"/>
    <x v="57"/>
    <x v="57"/>
    <x v="22"/>
    <x v="3"/>
    <x v="1"/>
    <x v="645"/>
    <x v="11"/>
    <x v="85"/>
  </r>
  <r>
    <s v="SUPER"/>
    <s v="HO"/>
    <s v="04/09/2025"/>
    <s v="01/08/2025-31/08/2025"/>
    <x v="86"/>
    <x v="86"/>
    <x v="14"/>
    <x v="0"/>
    <x v="3"/>
    <x v="35"/>
    <x v="35"/>
    <x v="57"/>
    <x v="57"/>
    <x v="22"/>
    <x v="3"/>
    <x v="2"/>
    <x v="645"/>
    <x v="11"/>
    <x v="85"/>
  </r>
  <r>
    <s v="SUPER"/>
    <s v="HO"/>
    <s v="04/09/2025"/>
    <s v="01/08/2025-31/08/2025"/>
    <x v="86"/>
    <x v="86"/>
    <x v="14"/>
    <x v="0"/>
    <x v="3"/>
    <x v="431"/>
    <x v="431"/>
    <x v="57"/>
    <x v="57"/>
    <x v="22"/>
    <x v="3"/>
    <x v="3"/>
    <x v="645"/>
    <x v="11"/>
    <x v="85"/>
  </r>
  <r>
    <s v="SUPER"/>
    <s v="HO"/>
    <s v="04/09/2025"/>
    <s v="01/08/2025-31/08/2025"/>
    <x v="86"/>
    <x v="86"/>
    <x v="14"/>
    <x v="0"/>
    <x v="3"/>
    <x v="34"/>
    <x v="34"/>
    <x v="57"/>
    <x v="57"/>
    <x v="22"/>
    <x v="3"/>
    <x v="4"/>
    <x v="645"/>
    <x v="11"/>
    <x v="85"/>
  </r>
  <r>
    <s v="SUPER"/>
    <s v="HO"/>
    <s v="04/09/2025"/>
    <s v="01/08/2025-31/08/2025"/>
    <x v="86"/>
    <x v="86"/>
    <x v="14"/>
    <x v="0"/>
    <x v="3"/>
    <x v="249"/>
    <x v="249"/>
    <x v="57"/>
    <x v="57"/>
    <x v="22"/>
    <x v="3"/>
    <x v="5"/>
    <x v="645"/>
    <x v="11"/>
    <x v="85"/>
  </r>
  <r>
    <s v="SUPER"/>
    <s v="HO"/>
    <s v="04/09/2025"/>
    <s v="01/08/2025-31/08/2025"/>
    <x v="65"/>
    <x v="65"/>
    <x v="22"/>
    <x v="0"/>
    <x v="2"/>
    <x v="240"/>
    <x v="240"/>
    <x v="1"/>
    <x v="1"/>
    <x v="14"/>
    <x v="0"/>
    <x v="0"/>
    <x v="646"/>
    <x v="3"/>
    <x v="64"/>
  </r>
  <r>
    <s v="SUPER"/>
    <s v="HO"/>
    <s v="04/09/2025"/>
    <s v="01/08/2025-31/08/2025"/>
    <x v="40"/>
    <x v="40"/>
    <x v="11"/>
    <x v="0"/>
    <x v="3"/>
    <x v="211"/>
    <x v="211"/>
    <x v="1"/>
    <x v="1"/>
    <x v="26"/>
    <x v="2"/>
    <x v="0"/>
    <x v="647"/>
    <x v="11"/>
    <x v="39"/>
  </r>
  <r>
    <s v="SUPER"/>
    <s v="HO"/>
    <s v="04/09/2025"/>
    <s v="01/08/2025-31/08/2025"/>
    <x v="40"/>
    <x v="40"/>
    <x v="11"/>
    <x v="0"/>
    <x v="3"/>
    <x v="197"/>
    <x v="197"/>
    <x v="1"/>
    <x v="1"/>
    <x v="26"/>
    <x v="2"/>
    <x v="1"/>
    <x v="647"/>
    <x v="11"/>
    <x v="39"/>
  </r>
  <r>
    <s v="SUPER"/>
    <s v="HO"/>
    <s v="04/09/2025"/>
    <s v="01/08/2025-31/08/2025"/>
    <x v="40"/>
    <x v="40"/>
    <x v="11"/>
    <x v="0"/>
    <x v="3"/>
    <x v="51"/>
    <x v="51"/>
    <x v="1"/>
    <x v="1"/>
    <x v="26"/>
    <x v="2"/>
    <x v="2"/>
    <x v="647"/>
    <x v="11"/>
    <x v="39"/>
  </r>
  <r>
    <s v="SUPER"/>
    <s v="HO"/>
    <s v="04/09/2025"/>
    <s v="01/08/2025-31/08/2025"/>
    <x v="55"/>
    <x v="55"/>
    <x v="20"/>
    <x v="0"/>
    <x v="2"/>
    <x v="432"/>
    <x v="432"/>
    <x v="146"/>
    <x v="146"/>
    <x v="19"/>
    <x v="15"/>
    <x v="0"/>
    <x v="648"/>
    <x v="4"/>
    <x v="54"/>
  </r>
  <r>
    <s v="SUPER"/>
    <s v="HO"/>
    <s v="04/09/2025"/>
    <s v="01/08/2025-31/08/2025"/>
    <x v="101"/>
    <x v="101"/>
    <x v="17"/>
    <x v="0"/>
    <x v="3"/>
    <x v="8"/>
    <x v="8"/>
    <x v="1"/>
    <x v="1"/>
    <x v="26"/>
    <x v="2"/>
    <x v="0"/>
    <x v="649"/>
    <x v="1"/>
    <x v="100"/>
  </r>
  <r>
    <s v="SUPER"/>
    <s v="HO"/>
    <s v="04/09/2025"/>
    <s v="01/08/2025-31/08/2025"/>
    <x v="101"/>
    <x v="101"/>
    <x v="17"/>
    <x v="0"/>
    <x v="3"/>
    <x v="64"/>
    <x v="64"/>
    <x v="1"/>
    <x v="1"/>
    <x v="26"/>
    <x v="2"/>
    <x v="1"/>
    <x v="649"/>
    <x v="1"/>
    <x v="100"/>
  </r>
  <r>
    <s v="SUPER"/>
    <s v="HO"/>
    <s v="04/09/2025"/>
    <s v="01/08/2025-31/08/2025"/>
    <x v="55"/>
    <x v="55"/>
    <x v="20"/>
    <x v="0"/>
    <x v="2"/>
    <x v="122"/>
    <x v="122"/>
    <x v="146"/>
    <x v="146"/>
    <x v="19"/>
    <x v="15"/>
    <x v="0"/>
    <x v="650"/>
    <x v="22"/>
    <x v="54"/>
  </r>
  <r>
    <s v="SUPER"/>
    <s v="HO"/>
    <s v="04/09/2025"/>
    <s v="01/08/2025-31/08/2025"/>
    <x v="55"/>
    <x v="55"/>
    <x v="20"/>
    <x v="0"/>
    <x v="2"/>
    <x v="433"/>
    <x v="433"/>
    <x v="146"/>
    <x v="146"/>
    <x v="19"/>
    <x v="15"/>
    <x v="1"/>
    <x v="650"/>
    <x v="22"/>
    <x v="54"/>
  </r>
  <r>
    <s v="SUPER"/>
    <s v="HO"/>
    <s v="04/09/2025"/>
    <s v="01/08/2025-31/08/2025"/>
    <x v="69"/>
    <x v="69"/>
    <x v="14"/>
    <x v="0"/>
    <x v="3"/>
    <x v="197"/>
    <x v="197"/>
    <x v="1"/>
    <x v="1"/>
    <x v="26"/>
    <x v="2"/>
    <x v="0"/>
    <x v="651"/>
    <x v="11"/>
    <x v="68"/>
  </r>
  <r>
    <s v="SUPER"/>
    <s v="HO"/>
    <s v="04/09/2025"/>
    <s v="01/08/2025-31/08/2025"/>
    <x v="54"/>
    <x v="54"/>
    <x v="14"/>
    <x v="0"/>
    <x v="3"/>
    <x v="29"/>
    <x v="29"/>
    <x v="68"/>
    <x v="68"/>
    <x v="26"/>
    <x v="2"/>
    <x v="0"/>
    <x v="652"/>
    <x v="3"/>
    <x v="53"/>
  </r>
  <r>
    <s v="SUPER"/>
    <s v="HO"/>
    <s v="04/09/2025"/>
    <s v="01/08/2025-31/08/2025"/>
    <x v="54"/>
    <x v="54"/>
    <x v="14"/>
    <x v="0"/>
    <x v="3"/>
    <x v="12"/>
    <x v="12"/>
    <x v="68"/>
    <x v="68"/>
    <x v="26"/>
    <x v="2"/>
    <x v="1"/>
    <x v="652"/>
    <x v="3"/>
    <x v="53"/>
  </r>
  <r>
    <s v="SUPER"/>
    <s v="HO"/>
    <s v="04/09/2025"/>
    <s v="01/08/2025-31/08/2025"/>
    <x v="53"/>
    <x v="53"/>
    <x v="11"/>
    <x v="0"/>
    <x v="3"/>
    <x v="177"/>
    <x v="177"/>
    <x v="77"/>
    <x v="77"/>
    <x v="26"/>
    <x v="2"/>
    <x v="0"/>
    <x v="653"/>
    <x v="11"/>
    <x v="52"/>
  </r>
  <r>
    <s v="SUPER"/>
    <s v="HO"/>
    <s v="04/09/2025"/>
    <s v="01/08/2025-31/08/2025"/>
    <x v="53"/>
    <x v="53"/>
    <x v="11"/>
    <x v="0"/>
    <x v="3"/>
    <x v="11"/>
    <x v="11"/>
    <x v="77"/>
    <x v="77"/>
    <x v="26"/>
    <x v="2"/>
    <x v="1"/>
    <x v="653"/>
    <x v="11"/>
    <x v="52"/>
  </r>
  <r>
    <s v="SUPER"/>
    <s v="HO"/>
    <s v="04/09/2025"/>
    <s v="01/08/2025-31/08/2025"/>
    <x v="53"/>
    <x v="53"/>
    <x v="11"/>
    <x v="0"/>
    <x v="3"/>
    <x v="177"/>
    <x v="177"/>
    <x v="77"/>
    <x v="77"/>
    <x v="26"/>
    <x v="2"/>
    <x v="2"/>
    <x v="653"/>
    <x v="11"/>
    <x v="52"/>
  </r>
  <r>
    <s v="SUPER"/>
    <s v="HO"/>
    <s v="04/09/2025"/>
    <s v="01/08/2025-31/08/2025"/>
    <x v="6"/>
    <x v="6"/>
    <x v="5"/>
    <x v="0"/>
    <x v="2"/>
    <x v="389"/>
    <x v="389"/>
    <x v="1"/>
    <x v="1"/>
    <x v="28"/>
    <x v="5"/>
    <x v="0"/>
    <x v="654"/>
    <x v="3"/>
    <x v="5"/>
  </r>
  <r>
    <s v="SUPER"/>
    <s v="HO"/>
    <s v="04/09/2025"/>
    <s v="01/08/2025-31/08/2025"/>
    <x v="4"/>
    <x v="4"/>
    <x v="4"/>
    <x v="0"/>
    <x v="2"/>
    <x v="35"/>
    <x v="35"/>
    <x v="147"/>
    <x v="147"/>
    <x v="22"/>
    <x v="3"/>
    <x v="0"/>
    <x v="655"/>
    <x v="11"/>
    <x v="3"/>
  </r>
  <r>
    <s v="SUPER"/>
    <s v="HO"/>
    <s v="04/09/2025"/>
    <s v="01/08/2025-31/08/2025"/>
    <x v="4"/>
    <x v="4"/>
    <x v="4"/>
    <x v="0"/>
    <x v="2"/>
    <x v="249"/>
    <x v="249"/>
    <x v="147"/>
    <x v="147"/>
    <x v="22"/>
    <x v="3"/>
    <x v="1"/>
    <x v="655"/>
    <x v="11"/>
    <x v="3"/>
  </r>
  <r>
    <s v="SUPER"/>
    <s v="HO"/>
    <s v="04/09/2025"/>
    <s v="01/08/2025-31/08/2025"/>
    <x v="4"/>
    <x v="4"/>
    <x v="4"/>
    <x v="0"/>
    <x v="2"/>
    <x v="63"/>
    <x v="63"/>
    <x v="147"/>
    <x v="147"/>
    <x v="22"/>
    <x v="3"/>
    <x v="2"/>
    <x v="655"/>
    <x v="11"/>
    <x v="3"/>
  </r>
  <r>
    <s v="SUPER"/>
    <s v="HO"/>
    <s v="04/09/2025"/>
    <s v="01/08/2025-31/08/2025"/>
    <x v="10"/>
    <x v="10"/>
    <x v="9"/>
    <x v="0"/>
    <x v="3"/>
    <x v="23"/>
    <x v="23"/>
    <x v="1"/>
    <x v="1"/>
    <x v="13"/>
    <x v="1"/>
    <x v="0"/>
    <x v="656"/>
    <x v="1"/>
    <x v="9"/>
  </r>
  <r>
    <s v="SUPER"/>
    <s v="HO"/>
    <s v="04/09/2025"/>
    <s v="01/08/2025-31/08/2025"/>
    <x v="115"/>
    <x v="115"/>
    <x v="19"/>
    <x v="0"/>
    <x v="1"/>
    <x v="160"/>
    <x v="160"/>
    <x v="1"/>
    <x v="1"/>
    <x v="14"/>
    <x v="21"/>
    <x v="0"/>
    <x v="657"/>
    <x v="10"/>
    <x v="114"/>
  </r>
  <r>
    <s v="SUPER"/>
    <s v="HO"/>
    <s v="04/09/2025"/>
    <s v="01/08/2025-31/08/2025"/>
    <x v="60"/>
    <x v="60"/>
    <x v="21"/>
    <x v="0"/>
    <x v="2"/>
    <x v="240"/>
    <x v="240"/>
    <x v="1"/>
    <x v="1"/>
    <x v="28"/>
    <x v="5"/>
    <x v="0"/>
    <x v="658"/>
    <x v="3"/>
    <x v="59"/>
  </r>
  <r>
    <s v="SUPER"/>
    <s v="HO"/>
    <s v="04/09/2025"/>
    <s v="01/08/2025-31/08/2025"/>
    <x v="26"/>
    <x v="26"/>
    <x v="15"/>
    <x v="0"/>
    <x v="0"/>
    <x v="434"/>
    <x v="434"/>
    <x v="51"/>
    <x v="51"/>
    <x v="21"/>
    <x v="4"/>
    <x v="0"/>
    <x v="659"/>
    <x v="3"/>
    <x v="25"/>
  </r>
  <r>
    <s v="SUPER"/>
    <s v="HO"/>
    <s v="04/09/2025"/>
    <s v="01/08/2025-31/08/2025"/>
    <x v="26"/>
    <x v="26"/>
    <x v="15"/>
    <x v="0"/>
    <x v="0"/>
    <x v="435"/>
    <x v="435"/>
    <x v="51"/>
    <x v="51"/>
    <x v="21"/>
    <x v="4"/>
    <x v="1"/>
    <x v="659"/>
    <x v="4"/>
    <x v="25"/>
  </r>
  <r>
    <s v="SUPER"/>
    <s v="HO"/>
    <s v="04/09/2025"/>
    <s v="01/08/2025-31/08/2025"/>
    <x v="26"/>
    <x v="26"/>
    <x v="15"/>
    <x v="0"/>
    <x v="0"/>
    <x v="46"/>
    <x v="46"/>
    <x v="51"/>
    <x v="51"/>
    <x v="21"/>
    <x v="4"/>
    <x v="2"/>
    <x v="659"/>
    <x v="3"/>
    <x v="25"/>
  </r>
  <r>
    <s v="SUPER"/>
    <s v="HO"/>
    <s v="04/09/2025"/>
    <s v="01/08/2025-31/08/2025"/>
    <x v="83"/>
    <x v="83"/>
    <x v="5"/>
    <x v="0"/>
    <x v="2"/>
    <x v="12"/>
    <x v="12"/>
    <x v="72"/>
    <x v="72"/>
    <x v="24"/>
    <x v="4"/>
    <x v="0"/>
    <x v="660"/>
    <x v="3"/>
    <x v="82"/>
  </r>
  <r>
    <s v="SUPER"/>
    <s v="HO"/>
    <s v="04/09/2025"/>
    <s v="01/08/2025-31/08/2025"/>
    <x v="83"/>
    <x v="83"/>
    <x v="5"/>
    <x v="0"/>
    <x v="2"/>
    <x v="29"/>
    <x v="29"/>
    <x v="72"/>
    <x v="72"/>
    <x v="24"/>
    <x v="4"/>
    <x v="1"/>
    <x v="660"/>
    <x v="3"/>
    <x v="82"/>
  </r>
  <r>
    <s v="SUPER"/>
    <s v="HO"/>
    <s v="04/09/2025"/>
    <s v="01/08/2025-31/08/2025"/>
    <x v="22"/>
    <x v="22"/>
    <x v="14"/>
    <x v="0"/>
    <x v="3"/>
    <x v="36"/>
    <x v="36"/>
    <x v="112"/>
    <x v="112"/>
    <x v="14"/>
    <x v="21"/>
    <x v="0"/>
    <x v="661"/>
    <x v="11"/>
    <x v="21"/>
  </r>
  <r>
    <s v="SUPER"/>
    <s v="HO"/>
    <s v="04/09/2025"/>
    <s v="01/08/2025-31/08/2025"/>
    <x v="22"/>
    <x v="22"/>
    <x v="14"/>
    <x v="0"/>
    <x v="3"/>
    <x v="393"/>
    <x v="393"/>
    <x v="112"/>
    <x v="112"/>
    <x v="14"/>
    <x v="21"/>
    <x v="1"/>
    <x v="661"/>
    <x v="11"/>
    <x v="21"/>
  </r>
  <r>
    <s v="SUPER"/>
    <s v="HO"/>
    <s v="04/09/2025"/>
    <s v="01/08/2025-31/08/2025"/>
    <x v="60"/>
    <x v="60"/>
    <x v="21"/>
    <x v="0"/>
    <x v="2"/>
    <x v="111"/>
    <x v="111"/>
    <x v="1"/>
    <x v="1"/>
    <x v="21"/>
    <x v="3"/>
    <x v="0"/>
    <x v="662"/>
    <x v="11"/>
    <x v="59"/>
  </r>
  <r>
    <s v="SUPER"/>
    <s v="HO"/>
    <s v="04/09/2025"/>
    <s v="01/08/2025-31/08/2025"/>
    <x v="60"/>
    <x v="60"/>
    <x v="21"/>
    <x v="0"/>
    <x v="2"/>
    <x v="8"/>
    <x v="8"/>
    <x v="1"/>
    <x v="1"/>
    <x v="21"/>
    <x v="3"/>
    <x v="1"/>
    <x v="662"/>
    <x v="11"/>
    <x v="59"/>
  </r>
  <r>
    <s v="SUPER"/>
    <s v="HO"/>
    <s v="04/09/2025"/>
    <s v="01/08/2025-31/08/2025"/>
    <x v="60"/>
    <x v="60"/>
    <x v="21"/>
    <x v="0"/>
    <x v="2"/>
    <x v="356"/>
    <x v="356"/>
    <x v="1"/>
    <x v="1"/>
    <x v="21"/>
    <x v="3"/>
    <x v="2"/>
    <x v="662"/>
    <x v="11"/>
    <x v="59"/>
  </r>
  <r>
    <s v="SUPER"/>
    <s v="HO"/>
    <s v="04/09/2025"/>
    <s v="01/08/2025-31/08/2025"/>
    <x v="64"/>
    <x v="64"/>
    <x v="15"/>
    <x v="0"/>
    <x v="0"/>
    <x v="141"/>
    <x v="141"/>
    <x v="74"/>
    <x v="74"/>
    <x v="17"/>
    <x v="2"/>
    <x v="0"/>
    <x v="663"/>
    <x v="4"/>
    <x v="63"/>
  </r>
  <r>
    <s v="SUPER"/>
    <s v="HO"/>
    <s v="04/09/2025"/>
    <s v="01/08/2025-31/08/2025"/>
    <x v="64"/>
    <x v="64"/>
    <x v="15"/>
    <x v="0"/>
    <x v="0"/>
    <x v="121"/>
    <x v="121"/>
    <x v="74"/>
    <x v="74"/>
    <x v="17"/>
    <x v="2"/>
    <x v="1"/>
    <x v="663"/>
    <x v="4"/>
    <x v="63"/>
  </r>
  <r>
    <s v="SUPER"/>
    <s v="HO"/>
    <s v="04/09/2025"/>
    <s v="01/08/2025-31/08/2025"/>
    <x v="22"/>
    <x v="22"/>
    <x v="14"/>
    <x v="0"/>
    <x v="3"/>
    <x v="160"/>
    <x v="160"/>
    <x v="1"/>
    <x v="1"/>
    <x v="24"/>
    <x v="4"/>
    <x v="0"/>
    <x v="664"/>
    <x v="3"/>
    <x v="21"/>
  </r>
  <r>
    <s v="SUPER"/>
    <s v="HO"/>
    <s v="04/09/2025"/>
    <s v="01/08/2025-31/08/2025"/>
    <x v="31"/>
    <x v="31"/>
    <x v="17"/>
    <x v="0"/>
    <x v="3"/>
    <x v="81"/>
    <x v="81"/>
    <x v="1"/>
    <x v="1"/>
    <x v="16"/>
    <x v="1"/>
    <x v="0"/>
    <x v="665"/>
    <x v="10"/>
    <x v="30"/>
  </r>
  <r>
    <s v="SUPER"/>
    <s v="HO"/>
    <s v="04/09/2025"/>
    <s v="01/08/2025-31/08/2025"/>
    <x v="51"/>
    <x v="51"/>
    <x v="19"/>
    <x v="0"/>
    <x v="1"/>
    <x v="2"/>
    <x v="2"/>
    <x v="1"/>
    <x v="1"/>
    <x v="14"/>
    <x v="21"/>
    <x v="0"/>
    <x v="666"/>
    <x v="1"/>
    <x v="50"/>
  </r>
  <r>
    <s v="SUPER"/>
    <s v="HO"/>
    <s v="04/09/2025"/>
    <s v="01/08/2025-31/08/2025"/>
    <x v="60"/>
    <x v="60"/>
    <x v="21"/>
    <x v="0"/>
    <x v="2"/>
    <x v="22"/>
    <x v="22"/>
    <x v="1"/>
    <x v="1"/>
    <x v="28"/>
    <x v="5"/>
    <x v="0"/>
    <x v="667"/>
    <x v="3"/>
    <x v="59"/>
  </r>
  <r>
    <s v="SUPER"/>
    <s v="HO"/>
    <s v="04/09/2025"/>
    <s v="01/08/2025-31/08/2025"/>
    <x v="53"/>
    <x v="53"/>
    <x v="11"/>
    <x v="0"/>
    <x v="3"/>
    <x v="378"/>
    <x v="378"/>
    <x v="148"/>
    <x v="148"/>
    <x v="17"/>
    <x v="2"/>
    <x v="0"/>
    <x v="668"/>
    <x v="10"/>
    <x v="52"/>
  </r>
  <r>
    <s v="SUPER"/>
    <s v="HO"/>
    <s v="04/09/2025"/>
    <s v="01/08/2025-31/08/2025"/>
    <x v="144"/>
    <x v="144"/>
    <x v="0"/>
    <x v="0"/>
    <x v="0"/>
    <x v="436"/>
    <x v="436"/>
    <x v="149"/>
    <x v="149"/>
    <x v="29"/>
    <x v="15"/>
    <x v="0"/>
    <x v="668"/>
    <x v="16"/>
    <x v="143"/>
  </r>
  <r>
    <s v="SUPER"/>
    <s v="HO"/>
    <s v="04/09/2025"/>
    <s v="01/08/2025-31/08/2025"/>
    <x v="53"/>
    <x v="53"/>
    <x v="11"/>
    <x v="0"/>
    <x v="3"/>
    <x v="437"/>
    <x v="437"/>
    <x v="148"/>
    <x v="148"/>
    <x v="17"/>
    <x v="2"/>
    <x v="1"/>
    <x v="668"/>
    <x v="10"/>
    <x v="52"/>
  </r>
  <r>
    <s v="SUPER"/>
    <s v="HO"/>
    <s v="04/09/2025"/>
    <s v="01/08/2025-31/08/2025"/>
    <x v="144"/>
    <x v="144"/>
    <x v="0"/>
    <x v="0"/>
    <x v="0"/>
    <x v="436"/>
    <x v="436"/>
    <x v="149"/>
    <x v="149"/>
    <x v="29"/>
    <x v="15"/>
    <x v="1"/>
    <x v="668"/>
    <x v="16"/>
    <x v="143"/>
  </r>
  <r>
    <s v="SUPER"/>
    <s v="HO"/>
    <s v="04/09/2025"/>
    <s v="01/08/2025-31/08/2025"/>
    <x v="53"/>
    <x v="53"/>
    <x v="11"/>
    <x v="0"/>
    <x v="3"/>
    <x v="272"/>
    <x v="272"/>
    <x v="148"/>
    <x v="148"/>
    <x v="17"/>
    <x v="2"/>
    <x v="2"/>
    <x v="668"/>
    <x v="10"/>
    <x v="52"/>
  </r>
  <r>
    <s v="SUPER"/>
    <s v="HO"/>
    <s v="04/09/2025"/>
    <s v="01/08/2025-31/08/2025"/>
    <x v="53"/>
    <x v="53"/>
    <x v="11"/>
    <x v="0"/>
    <x v="3"/>
    <x v="53"/>
    <x v="53"/>
    <x v="148"/>
    <x v="148"/>
    <x v="17"/>
    <x v="2"/>
    <x v="3"/>
    <x v="668"/>
    <x v="10"/>
    <x v="52"/>
  </r>
  <r>
    <s v="SUPER"/>
    <s v="HO"/>
    <s v="04/09/2025"/>
    <s v="01/08/2025-31/08/2025"/>
    <x v="23"/>
    <x v="23"/>
    <x v="9"/>
    <x v="0"/>
    <x v="3"/>
    <x v="31"/>
    <x v="31"/>
    <x v="1"/>
    <x v="1"/>
    <x v="14"/>
    <x v="21"/>
    <x v="0"/>
    <x v="669"/>
    <x v="10"/>
    <x v="22"/>
  </r>
  <r>
    <s v="SUPER"/>
    <s v="HO"/>
    <s v="04/09/2025"/>
    <s v="01/08/2025-31/08/2025"/>
    <x v="23"/>
    <x v="23"/>
    <x v="9"/>
    <x v="0"/>
    <x v="3"/>
    <x v="296"/>
    <x v="296"/>
    <x v="1"/>
    <x v="1"/>
    <x v="14"/>
    <x v="21"/>
    <x v="1"/>
    <x v="669"/>
    <x v="10"/>
    <x v="22"/>
  </r>
  <r>
    <s v="SUPER"/>
    <s v="HO"/>
    <s v="04/09/2025"/>
    <s v="01/08/2025-31/08/2025"/>
    <x v="115"/>
    <x v="115"/>
    <x v="19"/>
    <x v="0"/>
    <x v="1"/>
    <x v="6"/>
    <x v="6"/>
    <x v="117"/>
    <x v="117"/>
    <x v="24"/>
    <x v="4"/>
    <x v="0"/>
    <x v="670"/>
    <x v="3"/>
    <x v="114"/>
  </r>
  <r>
    <s v="SUPER"/>
    <s v="HO"/>
    <s v="04/09/2025"/>
    <s v="01/08/2025-31/08/2025"/>
    <x v="105"/>
    <x v="105"/>
    <x v="5"/>
    <x v="0"/>
    <x v="2"/>
    <x v="29"/>
    <x v="29"/>
    <x v="1"/>
    <x v="1"/>
    <x v="16"/>
    <x v="1"/>
    <x v="0"/>
    <x v="671"/>
    <x v="3"/>
    <x v="104"/>
  </r>
  <r>
    <s v="SUPER"/>
    <s v="HO"/>
    <s v="04/09/2025"/>
    <s v="01/08/2025-31/08/2025"/>
    <x v="120"/>
    <x v="120"/>
    <x v="26"/>
    <x v="0"/>
    <x v="3"/>
    <x v="121"/>
    <x v="121"/>
    <x v="19"/>
    <x v="19"/>
    <x v="17"/>
    <x v="2"/>
    <x v="0"/>
    <x v="672"/>
    <x v="4"/>
    <x v="119"/>
  </r>
  <r>
    <s v="SUPER"/>
    <s v="HO"/>
    <s v="04/09/2025"/>
    <s v="01/08/2025-31/08/2025"/>
    <x v="120"/>
    <x v="120"/>
    <x v="26"/>
    <x v="0"/>
    <x v="3"/>
    <x v="39"/>
    <x v="39"/>
    <x v="19"/>
    <x v="19"/>
    <x v="17"/>
    <x v="2"/>
    <x v="1"/>
    <x v="672"/>
    <x v="4"/>
    <x v="119"/>
  </r>
  <r>
    <s v="SUPER"/>
    <s v="HO"/>
    <s v="04/09/2025"/>
    <s v="01/08/2025-31/08/2025"/>
    <x v="145"/>
    <x v="145"/>
    <x v="9"/>
    <x v="0"/>
    <x v="3"/>
    <x v="12"/>
    <x v="12"/>
    <x v="1"/>
    <x v="1"/>
    <x v="24"/>
    <x v="4"/>
    <x v="0"/>
    <x v="673"/>
    <x v="3"/>
    <x v="144"/>
  </r>
  <r>
    <s v="SUPER"/>
    <s v="HO"/>
    <s v="04/09/2025"/>
    <s v="01/08/2025-31/08/2025"/>
    <x v="105"/>
    <x v="105"/>
    <x v="5"/>
    <x v="0"/>
    <x v="2"/>
    <x v="29"/>
    <x v="29"/>
    <x v="1"/>
    <x v="1"/>
    <x v="30"/>
    <x v="5"/>
    <x v="0"/>
    <x v="674"/>
    <x v="3"/>
    <x v="104"/>
  </r>
  <r>
    <s v="SUPER"/>
    <s v="HO"/>
    <s v="04/09/2025"/>
    <s v="01/08/2025-31/08/2025"/>
    <x v="89"/>
    <x v="89"/>
    <x v="21"/>
    <x v="0"/>
    <x v="2"/>
    <x v="438"/>
    <x v="438"/>
    <x v="83"/>
    <x v="83"/>
    <x v="16"/>
    <x v="1"/>
    <x v="0"/>
    <x v="675"/>
    <x v="4"/>
    <x v="88"/>
  </r>
  <r>
    <s v="SUPER"/>
    <s v="HO"/>
    <s v="04/09/2025"/>
    <s v="01/08/2025-31/08/2025"/>
    <x v="6"/>
    <x v="6"/>
    <x v="5"/>
    <x v="0"/>
    <x v="2"/>
    <x v="439"/>
    <x v="439"/>
    <x v="150"/>
    <x v="150"/>
    <x v="17"/>
    <x v="2"/>
    <x v="0"/>
    <x v="676"/>
    <x v="4"/>
    <x v="5"/>
  </r>
  <r>
    <s v="SUPER"/>
    <s v="HO"/>
    <s v="04/09/2025"/>
    <s v="01/08/2025-31/08/2025"/>
    <x v="6"/>
    <x v="6"/>
    <x v="5"/>
    <x v="0"/>
    <x v="2"/>
    <x v="429"/>
    <x v="429"/>
    <x v="150"/>
    <x v="150"/>
    <x v="17"/>
    <x v="2"/>
    <x v="1"/>
    <x v="676"/>
    <x v="4"/>
    <x v="5"/>
  </r>
  <r>
    <s v="SUPER"/>
    <s v="HO"/>
    <s v="04/09/2025"/>
    <s v="01/08/2025-31/08/2025"/>
    <x v="104"/>
    <x v="104"/>
    <x v="9"/>
    <x v="0"/>
    <x v="3"/>
    <x v="440"/>
    <x v="440"/>
    <x v="98"/>
    <x v="98"/>
    <x v="17"/>
    <x v="2"/>
    <x v="0"/>
    <x v="677"/>
    <x v="4"/>
    <x v="103"/>
  </r>
  <r>
    <s v="SUPER"/>
    <s v="HO"/>
    <s v="04/09/2025"/>
    <s v="01/08/2025-31/08/2025"/>
    <x v="46"/>
    <x v="46"/>
    <x v="9"/>
    <x v="0"/>
    <x v="3"/>
    <x v="326"/>
    <x v="326"/>
    <x v="71"/>
    <x v="71"/>
    <x v="14"/>
    <x v="21"/>
    <x v="0"/>
    <x v="678"/>
    <x v="10"/>
    <x v="45"/>
  </r>
  <r>
    <s v="SUPER"/>
    <s v="HO"/>
    <s v="04/09/2025"/>
    <s v="01/08/2025-31/08/2025"/>
    <x v="11"/>
    <x v="11"/>
    <x v="1"/>
    <x v="0"/>
    <x v="0"/>
    <x v="281"/>
    <x v="281"/>
    <x v="9"/>
    <x v="9"/>
    <x v="30"/>
    <x v="5"/>
    <x v="0"/>
    <x v="679"/>
    <x v="3"/>
    <x v="10"/>
  </r>
  <r>
    <s v="SUPER"/>
    <s v="HO"/>
    <s v="04/09/2025"/>
    <s v="01/08/2025-31/08/2025"/>
    <x v="84"/>
    <x v="84"/>
    <x v="1"/>
    <x v="0"/>
    <x v="0"/>
    <x v="64"/>
    <x v="64"/>
    <x v="76"/>
    <x v="76"/>
    <x v="18"/>
    <x v="21"/>
    <x v="0"/>
    <x v="680"/>
    <x v="1"/>
    <x v="83"/>
  </r>
  <r>
    <s v="SUPER"/>
    <s v="HO"/>
    <s v="04/09/2025"/>
    <s v="01/08/2025-31/08/2025"/>
    <x v="116"/>
    <x v="116"/>
    <x v="25"/>
    <x v="0"/>
    <x v="2"/>
    <x v="2"/>
    <x v="2"/>
    <x v="118"/>
    <x v="118"/>
    <x v="18"/>
    <x v="21"/>
    <x v="0"/>
    <x v="681"/>
    <x v="1"/>
    <x v="115"/>
  </r>
  <r>
    <s v="SUPER"/>
    <s v="HO"/>
    <s v="04/09/2025"/>
    <s v="01/08/2025-31/08/2025"/>
    <x v="88"/>
    <x v="88"/>
    <x v="9"/>
    <x v="0"/>
    <x v="3"/>
    <x v="34"/>
    <x v="34"/>
    <x v="134"/>
    <x v="134"/>
    <x v="24"/>
    <x v="3"/>
    <x v="0"/>
    <x v="682"/>
    <x v="11"/>
    <x v="87"/>
  </r>
  <r>
    <s v="SUPER"/>
    <s v="HO"/>
    <s v="04/09/2025"/>
    <s v="01/08/2025-31/08/2025"/>
    <x v="88"/>
    <x v="88"/>
    <x v="9"/>
    <x v="0"/>
    <x v="3"/>
    <x v="35"/>
    <x v="35"/>
    <x v="134"/>
    <x v="134"/>
    <x v="24"/>
    <x v="3"/>
    <x v="1"/>
    <x v="682"/>
    <x v="11"/>
    <x v="87"/>
  </r>
  <r>
    <s v="SUPER"/>
    <s v="HO"/>
    <s v="04/09/2025"/>
    <s v="01/08/2025-31/08/2025"/>
    <x v="88"/>
    <x v="88"/>
    <x v="9"/>
    <x v="0"/>
    <x v="3"/>
    <x v="36"/>
    <x v="36"/>
    <x v="134"/>
    <x v="134"/>
    <x v="24"/>
    <x v="3"/>
    <x v="2"/>
    <x v="682"/>
    <x v="11"/>
    <x v="87"/>
  </r>
  <r>
    <s v="SUPER"/>
    <s v="HO"/>
    <s v="04/09/2025"/>
    <s v="01/08/2025-31/08/2025"/>
    <x v="29"/>
    <x v="29"/>
    <x v="9"/>
    <x v="0"/>
    <x v="3"/>
    <x v="34"/>
    <x v="34"/>
    <x v="24"/>
    <x v="24"/>
    <x v="24"/>
    <x v="3"/>
    <x v="0"/>
    <x v="683"/>
    <x v="11"/>
    <x v="28"/>
  </r>
  <r>
    <s v="SUPER"/>
    <s v="HO"/>
    <s v="04/09/2025"/>
    <s v="01/08/2025-31/08/2025"/>
    <x v="60"/>
    <x v="60"/>
    <x v="21"/>
    <x v="0"/>
    <x v="2"/>
    <x v="22"/>
    <x v="22"/>
    <x v="1"/>
    <x v="1"/>
    <x v="18"/>
    <x v="0"/>
    <x v="0"/>
    <x v="684"/>
    <x v="3"/>
    <x v="59"/>
  </r>
  <r>
    <s v="SUPER"/>
    <s v="HO"/>
    <s v="04/09/2025"/>
    <s v="01/08/2025-31/08/2025"/>
    <x v="60"/>
    <x v="60"/>
    <x v="21"/>
    <x v="0"/>
    <x v="2"/>
    <x v="174"/>
    <x v="174"/>
    <x v="1"/>
    <x v="1"/>
    <x v="18"/>
    <x v="0"/>
    <x v="1"/>
    <x v="684"/>
    <x v="3"/>
    <x v="59"/>
  </r>
  <r>
    <s v="SUPER"/>
    <s v="HO"/>
    <s v="04/09/2025"/>
    <s v="01/08/2025-31/08/2025"/>
    <x v="130"/>
    <x v="130"/>
    <x v="8"/>
    <x v="0"/>
    <x v="3"/>
    <x v="31"/>
    <x v="31"/>
    <x v="1"/>
    <x v="1"/>
    <x v="18"/>
    <x v="21"/>
    <x v="0"/>
    <x v="685"/>
    <x v="10"/>
    <x v="129"/>
  </r>
  <r>
    <s v="SUPER"/>
    <s v="HO"/>
    <s v="04/09/2025"/>
    <s v="01/08/2025-31/08/2025"/>
    <x v="73"/>
    <x v="73"/>
    <x v="9"/>
    <x v="0"/>
    <x v="3"/>
    <x v="35"/>
    <x v="35"/>
    <x v="84"/>
    <x v="84"/>
    <x v="24"/>
    <x v="3"/>
    <x v="0"/>
    <x v="686"/>
    <x v="11"/>
    <x v="72"/>
  </r>
  <r>
    <s v="SUPER"/>
    <s v="HO"/>
    <s v="04/09/2025"/>
    <s v="01/08/2025-31/08/2025"/>
    <x v="73"/>
    <x v="73"/>
    <x v="9"/>
    <x v="0"/>
    <x v="3"/>
    <x v="441"/>
    <x v="441"/>
    <x v="84"/>
    <x v="84"/>
    <x v="24"/>
    <x v="3"/>
    <x v="1"/>
    <x v="686"/>
    <x v="11"/>
    <x v="72"/>
  </r>
  <r>
    <s v="SUPER"/>
    <s v="HO"/>
    <s v="04/09/2025"/>
    <s v="01/08/2025-31/08/2025"/>
    <x v="73"/>
    <x v="73"/>
    <x v="9"/>
    <x v="0"/>
    <x v="3"/>
    <x v="36"/>
    <x v="36"/>
    <x v="84"/>
    <x v="84"/>
    <x v="24"/>
    <x v="3"/>
    <x v="2"/>
    <x v="686"/>
    <x v="11"/>
    <x v="72"/>
  </r>
  <r>
    <s v="SUPER"/>
    <s v="HO"/>
    <s v="04/09/2025"/>
    <s v="01/08/2025-31/08/2025"/>
    <x v="54"/>
    <x v="54"/>
    <x v="14"/>
    <x v="0"/>
    <x v="3"/>
    <x v="113"/>
    <x v="113"/>
    <x v="1"/>
    <x v="1"/>
    <x v="30"/>
    <x v="5"/>
    <x v="0"/>
    <x v="687"/>
    <x v="4"/>
    <x v="53"/>
  </r>
  <r>
    <s v="SUPER"/>
    <s v="HO"/>
    <s v="04/09/2025"/>
    <s v="01/08/2025-31/08/2025"/>
    <x v="31"/>
    <x v="31"/>
    <x v="17"/>
    <x v="0"/>
    <x v="3"/>
    <x v="160"/>
    <x v="160"/>
    <x v="42"/>
    <x v="42"/>
    <x v="18"/>
    <x v="21"/>
    <x v="0"/>
    <x v="688"/>
    <x v="1"/>
    <x v="30"/>
  </r>
  <r>
    <s v="SUPER"/>
    <s v="HO"/>
    <s v="04/09/2025"/>
    <s v="01/08/2025-31/08/2025"/>
    <x v="15"/>
    <x v="15"/>
    <x v="11"/>
    <x v="0"/>
    <x v="3"/>
    <x v="442"/>
    <x v="442"/>
    <x v="13"/>
    <x v="13"/>
    <x v="30"/>
    <x v="14"/>
    <x v="0"/>
    <x v="689"/>
    <x v="20"/>
    <x v="14"/>
  </r>
  <r>
    <s v="SUPER"/>
    <s v="HO"/>
    <s v="04/09/2025"/>
    <s v="01/08/2025-31/08/2025"/>
    <x v="82"/>
    <x v="82"/>
    <x v="11"/>
    <x v="0"/>
    <x v="3"/>
    <x v="51"/>
    <x v="51"/>
    <x v="1"/>
    <x v="1"/>
    <x v="16"/>
    <x v="6"/>
    <x v="0"/>
    <x v="690"/>
    <x v="11"/>
    <x v="81"/>
  </r>
  <r>
    <s v="SUPER"/>
    <s v="HO"/>
    <s v="04/09/2025"/>
    <s v="01/08/2025-31/08/2025"/>
    <x v="89"/>
    <x v="89"/>
    <x v="21"/>
    <x v="0"/>
    <x v="2"/>
    <x v="297"/>
    <x v="297"/>
    <x v="83"/>
    <x v="83"/>
    <x v="24"/>
    <x v="3"/>
    <x v="0"/>
    <x v="691"/>
    <x v="11"/>
    <x v="88"/>
  </r>
  <r>
    <s v="SUPER"/>
    <s v="HO"/>
    <s v="04/09/2025"/>
    <s v="01/08/2025-31/08/2025"/>
    <x v="13"/>
    <x v="13"/>
    <x v="4"/>
    <x v="0"/>
    <x v="2"/>
    <x v="443"/>
    <x v="443"/>
    <x v="11"/>
    <x v="11"/>
    <x v="25"/>
    <x v="4"/>
    <x v="0"/>
    <x v="692"/>
    <x v="3"/>
    <x v="12"/>
  </r>
  <r>
    <s v="SUPER"/>
    <s v="HO"/>
    <s v="04/09/2025"/>
    <s v="01/08/2025-31/08/2025"/>
    <x v="24"/>
    <x v="24"/>
    <x v="12"/>
    <x v="0"/>
    <x v="3"/>
    <x v="31"/>
    <x v="31"/>
    <x v="20"/>
    <x v="20"/>
    <x v="18"/>
    <x v="21"/>
    <x v="0"/>
    <x v="693"/>
    <x v="4"/>
    <x v="23"/>
  </r>
  <r>
    <s v="SUPER"/>
    <s v="HO"/>
    <s v="04/09/2025"/>
    <s v="01/08/2025-31/08/2025"/>
    <x v="121"/>
    <x v="121"/>
    <x v="9"/>
    <x v="0"/>
    <x v="3"/>
    <x v="51"/>
    <x v="51"/>
    <x v="1"/>
    <x v="1"/>
    <x v="18"/>
    <x v="21"/>
    <x v="0"/>
    <x v="694"/>
    <x v="11"/>
    <x v="120"/>
  </r>
  <r>
    <s v="SUPER"/>
    <s v="HO"/>
    <s v="04/09/2025"/>
    <s v="01/08/2025-31/08/2025"/>
    <x v="22"/>
    <x v="22"/>
    <x v="14"/>
    <x v="0"/>
    <x v="3"/>
    <x v="5"/>
    <x v="5"/>
    <x v="46"/>
    <x v="46"/>
    <x v="25"/>
    <x v="4"/>
    <x v="0"/>
    <x v="695"/>
    <x v="3"/>
    <x v="21"/>
  </r>
  <r>
    <s v="SUPER"/>
    <s v="HO"/>
    <s v="04/09/2025"/>
    <s v="01/08/2025-31/08/2025"/>
    <x v="33"/>
    <x v="33"/>
    <x v="17"/>
    <x v="0"/>
    <x v="3"/>
    <x v="5"/>
    <x v="5"/>
    <x v="1"/>
    <x v="1"/>
    <x v="25"/>
    <x v="4"/>
    <x v="0"/>
    <x v="696"/>
    <x v="3"/>
    <x v="32"/>
  </r>
  <r>
    <s v="SUPER"/>
    <s v="HO"/>
    <s v="04/09/2025"/>
    <s v="01/08/2025-31/08/2025"/>
    <x v="126"/>
    <x v="126"/>
    <x v="14"/>
    <x v="0"/>
    <x v="3"/>
    <x v="444"/>
    <x v="444"/>
    <x v="119"/>
    <x v="119"/>
    <x v="25"/>
    <x v="4"/>
    <x v="0"/>
    <x v="697"/>
    <x v="3"/>
    <x v="125"/>
  </r>
  <r>
    <s v="SUPER"/>
    <s v="HO"/>
    <s v="04/09/2025"/>
    <s v="01/08/2025-31/08/2025"/>
    <x v="126"/>
    <x v="126"/>
    <x v="14"/>
    <x v="0"/>
    <x v="3"/>
    <x v="252"/>
    <x v="252"/>
    <x v="119"/>
    <x v="119"/>
    <x v="25"/>
    <x v="4"/>
    <x v="1"/>
    <x v="697"/>
    <x v="11"/>
    <x v="125"/>
  </r>
  <r>
    <s v="SUPER"/>
    <s v="HO"/>
    <s v="04/09/2025"/>
    <s v="01/08/2025-31/08/2025"/>
    <x v="126"/>
    <x v="126"/>
    <x v="14"/>
    <x v="0"/>
    <x v="3"/>
    <x v="51"/>
    <x v="51"/>
    <x v="119"/>
    <x v="119"/>
    <x v="25"/>
    <x v="4"/>
    <x v="2"/>
    <x v="697"/>
    <x v="11"/>
    <x v="125"/>
  </r>
  <r>
    <s v="SUPER"/>
    <s v="HO"/>
    <s v="04/09/2025"/>
    <s v="01/08/2025-31/08/2025"/>
    <x v="126"/>
    <x v="126"/>
    <x v="14"/>
    <x v="0"/>
    <x v="3"/>
    <x v="197"/>
    <x v="197"/>
    <x v="119"/>
    <x v="119"/>
    <x v="25"/>
    <x v="4"/>
    <x v="3"/>
    <x v="697"/>
    <x v="11"/>
    <x v="125"/>
  </r>
  <r>
    <s v="SUPER"/>
    <s v="HO"/>
    <s v="04/09/2025"/>
    <s v="01/08/2025-31/08/2025"/>
    <x v="60"/>
    <x v="60"/>
    <x v="21"/>
    <x v="0"/>
    <x v="2"/>
    <x v="22"/>
    <x v="22"/>
    <x v="1"/>
    <x v="1"/>
    <x v="3"/>
    <x v="5"/>
    <x v="0"/>
    <x v="698"/>
    <x v="3"/>
    <x v="59"/>
  </r>
  <r>
    <s v="SUPER"/>
    <s v="HO"/>
    <s v="04/09/2025"/>
    <s v="01/08/2025-31/08/2025"/>
    <x v="64"/>
    <x v="64"/>
    <x v="15"/>
    <x v="0"/>
    <x v="0"/>
    <x v="445"/>
    <x v="445"/>
    <x v="74"/>
    <x v="74"/>
    <x v="25"/>
    <x v="4"/>
    <x v="0"/>
    <x v="699"/>
    <x v="3"/>
    <x v="63"/>
  </r>
  <r>
    <s v="SUPER"/>
    <s v="HO"/>
    <s v="04/09/2025"/>
    <s v="01/08/2025-31/08/2025"/>
    <x v="94"/>
    <x v="94"/>
    <x v="6"/>
    <x v="0"/>
    <x v="0"/>
    <x v="86"/>
    <x v="86"/>
    <x v="102"/>
    <x v="102"/>
    <x v="3"/>
    <x v="5"/>
    <x v="0"/>
    <x v="700"/>
    <x v="27"/>
    <x v="93"/>
  </r>
  <r>
    <s v="SUPER"/>
    <s v="HO"/>
    <s v="04/09/2025"/>
    <s v="01/08/2025-31/08/2025"/>
    <x v="143"/>
    <x v="143"/>
    <x v="12"/>
    <x v="0"/>
    <x v="3"/>
    <x v="0"/>
    <x v="0"/>
    <x v="139"/>
    <x v="139"/>
    <x v="18"/>
    <x v="21"/>
    <x v="0"/>
    <x v="701"/>
    <x v="10"/>
    <x v="142"/>
  </r>
  <r>
    <s v="SUPER"/>
    <s v="HO"/>
    <s v="04/09/2025"/>
    <s v="01/08/2025-31/08/2025"/>
    <x v="60"/>
    <x v="60"/>
    <x v="21"/>
    <x v="0"/>
    <x v="2"/>
    <x v="22"/>
    <x v="22"/>
    <x v="1"/>
    <x v="1"/>
    <x v="23"/>
    <x v="6"/>
    <x v="0"/>
    <x v="702"/>
    <x v="3"/>
    <x v="59"/>
  </r>
  <r>
    <s v="SUPER"/>
    <s v="HO"/>
    <s v="04/09/2025"/>
    <s v="01/08/2025-31/08/2025"/>
    <x v="60"/>
    <x v="60"/>
    <x v="21"/>
    <x v="0"/>
    <x v="2"/>
    <x v="22"/>
    <x v="22"/>
    <x v="1"/>
    <x v="1"/>
    <x v="23"/>
    <x v="6"/>
    <x v="1"/>
    <x v="702"/>
    <x v="3"/>
    <x v="59"/>
  </r>
  <r>
    <s v="SUPER"/>
    <s v="HO"/>
    <s v="04/09/2025"/>
    <s v="01/08/2025-31/08/2025"/>
    <x v="84"/>
    <x v="84"/>
    <x v="1"/>
    <x v="0"/>
    <x v="0"/>
    <x v="64"/>
    <x v="64"/>
    <x v="76"/>
    <x v="76"/>
    <x v="19"/>
    <x v="21"/>
    <x v="0"/>
    <x v="703"/>
    <x v="1"/>
    <x v="83"/>
  </r>
  <r>
    <s v="SUPER"/>
    <s v="HO"/>
    <s v="04/09/2025"/>
    <s v="01/08/2025-31/08/2025"/>
    <x v="33"/>
    <x v="33"/>
    <x v="17"/>
    <x v="0"/>
    <x v="3"/>
    <x v="446"/>
    <x v="446"/>
    <x v="10"/>
    <x v="10"/>
    <x v="26"/>
    <x v="25"/>
    <x v="0"/>
    <x v="704"/>
    <x v="0"/>
    <x v="32"/>
  </r>
  <r>
    <s v="SUPER"/>
    <s v="HO"/>
    <s v="04/09/2025"/>
    <s v="01/08/2025-31/08/2025"/>
    <x v="32"/>
    <x v="32"/>
    <x v="7"/>
    <x v="0"/>
    <x v="1"/>
    <x v="373"/>
    <x v="373"/>
    <x v="28"/>
    <x v="28"/>
    <x v="19"/>
    <x v="21"/>
    <x v="0"/>
    <x v="705"/>
    <x v="1"/>
    <x v="31"/>
  </r>
  <r>
    <s v="SUPER"/>
    <s v="HO"/>
    <s v="04/09/2025"/>
    <s v="01/08/2025-31/08/2025"/>
    <x v="32"/>
    <x v="32"/>
    <x v="7"/>
    <x v="0"/>
    <x v="1"/>
    <x v="49"/>
    <x v="49"/>
    <x v="28"/>
    <x v="28"/>
    <x v="19"/>
    <x v="21"/>
    <x v="1"/>
    <x v="705"/>
    <x v="1"/>
    <x v="31"/>
  </r>
  <r>
    <s v="SUPER"/>
    <s v="HO"/>
    <s v="04/09/2025"/>
    <s v="01/08/2025-31/08/2025"/>
    <x v="11"/>
    <x v="11"/>
    <x v="1"/>
    <x v="0"/>
    <x v="0"/>
    <x v="447"/>
    <x v="447"/>
    <x v="9"/>
    <x v="9"/>
    <x v="19"/>
    <x v="21"/>
    <x v="0"/>
    <x v="706"/>
    <x v="10"/>
    <x v="10"/>
  </r>
  <r>
    <s v="SUPER"/>
    <s v="HO"/>
    <s v="04/09/2025"/>
    <s v="01/08/2025-31/08/2025"/>
    <x v="120"/>
    <x v="120"/>
    <x v="26"/>
    <x v="0"/>
    <x v="3"/>
    <x v="64"/>
    <x v="64"/>
    <x v="6"/>
    <x v="6"/>
    <x v="19"/>
    <x v="21"/>
    <x v="0"/>
    <x v="707"/>
    <x v="4"/>
    <x v="119"/>
  </r>
  <r>
    <s v="SUPER"/>
    <s v="HO"/>
    <s v="04/09/2025"/>
    <s v="01/08/2025-31/08/2025"/>
    <x v="19"/>
    <x v="19"/>
    <x v="6"/>
    <x v="0"/>
    <x v="0"/>
    <x v="285"/>
    <x v="285"/>
    <x v="17"/>
    <x v="17"/>
    <x v="19"/>
    <x v="21"/>
    <x v="0"/>
    <x v="708"/>
    <x v="1"/>
    <x v="18"/>
  </r>
  <r>
    <s v="SUPER"/>
    <s v="HO"/>
    <s v="04/09/2025"/>
    <s v="01/08/2025-31/08/2025"/>
    <x v="105"/>
    <x v="105"/>
    <x v="5"/>
    <x v="0"/>
    <x v="2"/>
    <x v="252"/>
    <x v="252"/>
    <x v="1"/>
    <x v="1"/>
    <x v="26"/>
    <x v="3"/>
    <x v="0"/>
    <x v="709"/>
    <x v="11"/>
    <x v="104"/>
  </r>
  <r>
    <s v="SUPER"/>
    <s v="HO"/>
    <s v="04/09/2025"/>
    <s v="01/08/2025-31/08/2025"/>
    <x v="30"/>
    <x v="30"/>
    <x v="1"/>
    <x v="0"/>
    <x v="0"/>
    <x v="31"/>
    <x v="31"/>
    <x v="26"/>
    <x v="26"/>
    <x v="19"/>
    <x v="21"/>
    <x v="0"/>
    <x v="710"/>
    <x v="10"/>
    <x v="29"/>
  </r>
  <r>
    <s v="SUPER"/>
    <s v="HO"/>
    <s v="04/09/2025"/>
    <s v="01/08/2025-31/08/2025"/>
    <x v="131"/>
    <x v="131"/>
    <x v="20"/>
    <x v="0"/>
    <x v="2"/>
    <x v="411"/>
    <x v="411"/>
    <x v="1"/>
    <x v="1"/>
    <x v="23"/>
    <x v="1"/>
    <x v="0"/>
    <x v="711"/>
    <x v="11"/>
    <x v="130"/>
  </r>
  <r>
    <s v="SUPER"/>
    <s v="HO"/>
    <s v="04/09/2025"/>
    <s v="01/08/2025-31/08/2025"/>
    <x v="45"/>
    <x v="45"/>
    <x v="14"/>
    <x v="0"/>
    <x v="3"/>
    <x v="38"/>
    <x v="38"/>
    <x v="1"/>
    <x v="1"/>
    <x v="19"/>
    <x v="21"/>
    <x v="0"/>
    <x v="712"/>
    <x v="10"/>
    <x v="44"/>
  </r>
  <r>
    <s v="SUPER"/>
    <s v="HO"/>
    <s v="04/09/2025"/>
    <s v="01/08/2025-31/08/2025"/>
    <x v="45"/>
    <x v="45"/>
    <x v="14"/>
    <x v="0"/>
    <x v="3"/>
    <x v="31"/>
    <x v="31"/>
    <x v="1"/>
    <x v="1"/>
    <x v="19"/>
    <x v="21"/>
    <x v="1"/>
    <x v="712"/>
    <x v="10"/>
    <x v="44"/>
  </r>
  <r>
    <s v="SUPER"/>
    <s v="HO"/>
    <s v="04/09/2025"/>
    <s v="01/08/2025-31/08/2025"/>
    <x v="35"/>
    <x v="35"/>
    <x v="6"/>
    <x v="0"/>
    <x v="0"/>
    <x v="31"/>
    <x v="31"/>
    <x v="29"/>
    <x v="29"/>
    <x v="19"/>
    <x v="21"/>
    <x v="0"/>
    <x v="713"/>
    <x v="10"/>
    <x v="34"/>
  </r>
  <r>
    <s v="SUPER"/>
    <s v="HO"/>
    <s v="04/09/2025"/>
    <s v="01/08/2025-31/08/2025"/>
    <x v="65"/>
    <x v="65"/>
    <x v="22"/>
    <x v="0"/>
    <x v="2"/>
    <x v="174"/>
    <x v="174"/>
    <x v="1"/>
    <x v="1"/>
    <x v="19"/>
    <x v="0"/>
    <x v="0"/>
    <x v="714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19"/>
    <x v="0"/>
    <x v="1"/>
    <x v="714"/>
    <x v="3"/>
    <x v="64"/>
  </r>
  <r>
    <s v="SUPER"/>
    <s v="HO"/>
    <s v="04/09/2025"/>
    <s v="01/08/2025-31/08/2025"/>
    <x v="35"/>
    <x v="35"/>
    <x v="6"/>
    <x v="0"/>
    <x v="0"/>
    <x v="448"/>
    <x v="448"/>
    <x v="151"/>
    <x v="151"/>
    <x v="3"/>
    <x v="14"/>
    <x v="0"/>
    <x v="715"/>
    <x v="24"/>
    <x v="34"/>
  </r>
  <r>
    <s v="SUPER"/>
    <s v="HO"/>
    <s v="04/09/2025"/>
    <s v="01/08/2025-31/08/2025"/>
    <x v="35"/>
    <x v="35"/>
    <x v="6"/>
    <x v="0"/>
    <x v="0"/>
    <x v="449"/>
    <x v="449"/>
    <x v="151"/>
    <x v="151"/>
    <x v="3"/>
    <x v="14"/>
    <x v="1"/>
    <x v="715"/>
    <x v="32"/>
    <x v="34"/>
  </r>
  <r>
    <s v="SUPER"/>
    <s v="HO"/>
    <s v="04/09/2025"/>
    <s v="01/08/2025-31/08/2025"/>
    <x v="22"/>
    <x v="22"/>
    <x v="14"/>
    <x v="0"/>
    <x v="3"/>
    <x v="8"/>
    <x v="8"/>
    <x v="46"/>
    <x v="46"/>
    <x v="19"/>
    <x v="21"/>
    <x v="0"/>
    <x v="716"/>
    <x v="1"/>
    <x v="21"/>
  </r>
  <r>
    <s v="SUPER"/>
    <s v="HO"/>
    <s v="04/09/2025"/>
    <s v="01/08/2025-31/08/2025"/>
    <x v="22"/>
    <x v="22"/>
    <x v="14"/>
    <x v="0"/>
    <x v="3"/>
    <x v="64"/>
    <x v="64"/>
    <x v="46"/>
    <x v="46"/>
    <x v="19"/>
    <x v="21"/>
    <x v="1"/>
    <x v="716"/>
    <x v="1"/>
    <x v="21"/>
  </r>
  <r>
    <s v="SUPER"/>
    <s v="HO"/>
    <s v="04/09/2025"/>
    <s v="01/08/2025-31/08/2025"/>
    <x v="137"/>
    <x v="137"/>
    <x v="2"/>
    <x v="0"/>
    <x v="0"/>
    <x v="114"/>
    <x v="114"/>
    <x v="1"/>
    <x v="1"/>
    <x v="28"/>
    <x v="28"/>
    <x v="0"/>
    <x v="717"/>
    <x v="11"/>
    <x v="136"/>
  </r>
  <r>
    <s v="SUPER"/>
    <s v="HO"/>
    <s v="04/09/2025"/>
    <s v="01/08/2025-31/08/2025"/>
    <x v="14"/>
    <x v="14"/>
    <x v="5"/>
    <x v="0"/>
    <x v="2"/>
    <x v="450"/>
    <x v="450"/>
    <x v="12"/>
    <x v="12"/>
    <x v="17"/>
    <x v="4"/>
    <x v="0"/>
    <x v="718"/>
    <x v="3"/>
    <x v="13"/>
  </r>
  <r>
    <s v="SUPER"/>
    <s v="HO"/>
    <s v="04/09/2025"/>
    <s v="01/08/2025-31/08/2025"/>
    <x v="14"/>
    <x v="14"/>
    <x v="5"/>
    <x v="0"/>
    <x v="2"/>
    <x v="451"/>
    <x v="451"/>
    <x v="12"/>
    <x v="12"/>
    <x v="17"/>
    <x v="4"/>
    <x v="1"/>
    <x v="718"/>
    <x v="3"/>
    <x v="13"/>
  </r>
  <r>
    <s v="SUPER"/>
    <s v="HO"/>
    <s v="04/09/2025"/>
    <s v="01/08/2025-31/08/2025"/>
    <x v="146"/>
    <x v="146"/>
    <x v="9"/>
    <x v="0"/>
    <x v="3"/>
    <x v="160"/>
    <x v="160"/>
    <x v="1"/>
    <x v="1"/>
    <x v="26"/>
    <x v="3"/>
    <x v="0"/>
    <x v="719"/>
    <x v="1"/>
    <x v="145"/>
  </r>
  <r>
    <s v="SUPER"/>
    <s v="HO"/>
    <s v="04/09/2025"/>
    <s v="01/08/2025-31/08/2025"/>
    <x v="14"/>
    <x v="14"/>
    <x v="5"/>
    <x v="0"/>
    <x v="2"/>
    <x v="452"/>
    <x v="452"/>
    <x v="12"/>
    <x v="12"/>
    <x v="17"/>
    <x v="4"/>
    <x v="0"/>
    <x v="720"/>
    <x v="4"/>
    <x v="13"/>
  </r>
  <r>
    <s v="SUPER"/>
    <s v="HO"/>
    <s v="04/09/2025"/>
    <s v="01/08/2025-31/08/2025"/>
    <x v="144"/>
    <x v="144"/>
    <x v="0"/>
    <x v="0"/>
    <x v="0"/>
    <x v="214"/>
    <x v="214"/>
    <x v="149"/>
    <x v="149"/>
    <x v="17"/>
    <x v="4"/>
    <x v="0"/>
    <x v="721"/>
    <x v="3"/>
    <x v="143"/>
  </r>
  <r>
    <s v="SUPER"/>
    <s v="HO"/>
    <s v="04/09/2025"/>
    <s v="01/08/2025-31/08/2025"/>
    <x v="147"/>
    <x v="147"/>
    <x v="14"/>
    <x v="0"/>
    <x v="3"/>
    <x v="8"/>
    <x v="8"/>
    <x v="104"/>
    <x v="104"/>
    <x v="29"/>
    <x v="21"/>
    <x v="0"/>
    <x v="722"/>
    <x v="1"/>
    <x v="8"/>
  </r>
  <r>
    <s v="SUPER"/>
    <s v="HO"/>
    <s v="04/09/2025"/>
    <s v="01/08/2025-31/08/2025"/>
    <x v="24"/>
    <x v="24"/>
    <x v="12"/>
    <x v="0"/>
    <x v="3"/>
    <x v="30"/>
    <x v="30"/>
    <x v="20"/>
    <x v="20"/>
    <x v="23"/>
    <x v="1"/>
    <x v="0"/>
    <x v="723"/>
    <x v="10"/>
    <x v="23"/>
  </r>
  <r>
    <s v="SUPER"/>
    <s v="HO"/>
    <s v="04/09/2025"/>
    <s v="01/08/2025-31/08/2025"/>
    <x v="22"/>
    <x v="22"/>
    <x v="14"/>
    <x v="0"/>
    <x v="3"/>
    <x v="5"/>
    <x v="5"/>
    <x v="46"/>
    <x v="46"/>
    <x v="17"/>
    <x v="4"/>
    <x v="0"/>
    <x v="724"/>
    <x v="3"/>
    <x v="21"/>
  </r>
  <r>
    <s v="SUPER"/>
    <s v="HO"/>
    <s v="04/09/2025"/>
    <s v="01/08/2025-31/08/2025"/>
    <x v="18"/>
    <x v="18"/>
    <x v="12"/>
    <x v="0"/>
    <x v="3"/>
    <x v="35"/>
    <x v="35"/>
    <x v="16"/>
    <x v="16"/>
    <x v="29"/>
    <x v="21"/>
    <x v="0"/>
    <x v="725"/>
    <x v="4"/>
    <x v="17"/>
  </r>
  <r>
    <s v="SUPER"/>
    <s v="HO"/>
    <s v="04/09/2025"/>
    <s v="01/08/2025-31/08/2025"/>
    <x v="18"/>
    <x v="18"/>
    <x v="12"/>
    <x v="0"/>
    <x v="3"/>
    <x v="116"/>
    <x v="116"/>
    <x v="16"/>
    <x v="16"/>
    <x v="29"/>
    <x v="21"/>
    <x v="1"/>
    <x v="725"/>
    <x v="4"/>
    <x v="17"/>
  </r>
  <r>
    <s v="SUPER"/>
    <s v="HO"/>
    <s v="04/09/2025"/>
    <s v="01/08/2025-31/08/2025"/>
    <x v="18"/>
    <x v="18"/>
    <x v="12"/>
    <x v="0"/>
    <x v="3"/>
    <x v="63"/>
    <x v="63"/>
    <x v="16"/>
    <x v="16"/>
    <x v="29"/>
    <x v="21"/>
    <x v="2"/>
    <x v="725"/>
    <x v="4"/>
    <x v="17"/>
  </r>
  <r>
    <s v="SUPER"/>
    <s v="HO"/>
    <s v="04/09/2025"/>
    <s v="01/08/2025-31/08/2025"/>
    <x v="18"/>
    <x v="18"/>
    <x v="12"/>
    <x v="0"/>
    <x v="3"/>
    <x v="453"/>
    <x v="453"/>
    <x v="16"/>
    <x v="16"/>
    <x v="29"/>
    <x v="21"/>
    <x v="3"/>
    <x v="725"/>
    <x v="4"/>
    <x v="17"/>
  </r>
  <r>
    <s v="SUPER"/>
    <s v="HO"/>
    <s v="04/09/2025"/>
    <s v="01/08/2025-31/08/2025"/>
    <x v="92"/>
    <x v="92"/>
    <x v="11"/>
    <x v="0"/>
    <x v="3"/>
    <x v="6"/>
    <x v="6"/>
    <x v="1"/>
    <x v="1"/>
    <x v="17"/>
    <x v="4"/>
    <x v="0"/>
    <x v="726"/>
    <x v="3"/>
    <x v="91"/>
  </r>
  <r>
    <s v="SUPER"/>
    <s v="HO"/>
    <s v="04/09/2025"/>
    <s v="01/08/2025-31/08/2025"/>
    <x v="148"/>
    <x v="148"/>
    <x v="11"/>
    <x v="0"/>
    <x v="3"/>
    <x v="112"/>
    <x v="112"/>
    <x v="132"/>
    <x v="132"/>
    <x v="17"/>
    <x v="3"/>
    <x v="0"/>
    <x v="727"/>
    <x v="11"/>
    <x v="146"/>
  </r>
  <r>
    <s v="SUPER"/>
    <s v="HO"/>
    <s v="04/09/2025"/>
    <s v="01/08/2025-31/08/2025"/>
    <x v="148"/>
    <x v="148"/>
    <x v="11"/>
    <x v="0"/>
    <x v="3"/>
    <x v="253"/>
    <x v="253"/>
    <x v="132"/>
    <x v="132"/>
    <x v="17"/>
    <x v="3"/>
    <x v="1"/>
    <x v="727"/>
    <x v="11"/>
    <x v="146"/>
  </r>
  <r>
    <s v="SUPER"/>
    <s v="HO"/>
    <s v="04/09/2025"/>
    <s v="01/08/2025-31/08/2025"/>
    <x v="148"/>
    <x v="148"/>
    <x v="11"/>
    <x v="0"/>
    <x v="3"/>
    <x v="6"/>
    <x v="6"/>
    <x v="132"/>
    <x v="132"/>
    <x v="17"/>
    <x v="3"/>
    <x v="2"/>
    <x v="727"/>
    <x v="11"/>
    <x v="146"/>
  </r>
  <r>
    <s v="SUPER"/>
    <s v="HO"/>
    <s v="04/09/2025"/>
    <s v="01/08/2025-31/08/2025"/>
    <x v="148"/>
    <x v="148"/>
    <x v="11"/>
    <x v="0"/>
    <x v="3"/>
    <x v="75"/>
    <x v="75"/>
    <x v="132"/>
    <x v="132"/>
    <x v="17"/>
    <x v="3"/>
    <x v="3"/>
    <x v="727"/>
    <x v="11"/>
    <x v="146"/>
  </r>
  <r>
    <s v="SUPER"/>
    <s v="HO"/>
    <s v="04/09/2025"/>
    <s v="01/08/2025-31/08/2025"/>
    <x v="148"/>
    <x v="148"/>
    <x v="11"/>
    <x v="0"/>
    <x v="3"/>
    <x v="100"/>
    <x v="100"/>
    <x v="132"/>
    <x v="132"/>
    <x v="17"/>
    <x v="3"/>
    <x v="4"/>
    <x v="727"/>
    <x v="11"/>
    <x v="146"/>
  </r>
  <r>
    <s v="SUPER"/>
    <s v="HO"/>
    <s v="04/09/2025"/>
    <s v="01/08/2025-31/08/2025"/>
    <x v="148"/>
    <x v="148"/>
    <x v="11"/>
    <x v="0"/>
    <x v="3"/>
    <x v="101"/>
    <x v="101"/>
    <x v="132"/>
    <x v="132"/>
    <x v="17"/>
    <x v="3"/>
    <x v="5"/>
    <x v="727"/>
    <x v="11"/>
    <x v="146"/>
  </r>
  <r>
    <s v="SUPER"/>
    <s v="HO"/>
    <s v="04/09/2025"/>
    <s v="01/08/2025-31/08/2025"/>
    <x v="28"/>
    <x v="28"/>
    <x v="11"/>
    <x v="0"/>
    <x v="3"/>
    <x v="161"/>
    <x v="161"/>
    <x v="1"/>
    <x v="1"/>
    <x v="29"/>
    <x v="21"/>
    <x v="0"/>
    <x v="728"/>
    <x v="1"/>
    <x v="27"/>
  </r>
  <r>
    <s v="SUPER"/>
    <s v="HO"/>
    <s v="04/09/2025"/>
    <s v="01/08/2025-31/08/2025"/>
    <x v="28"/>
    <x v="28"/>
    <x v="11"/>
    <x v="0"/>
    <x v="3"/>
    <x v="454"/>
    <x v="454"/>
    <x v="1"/>
    <x v="1"/>
    <x v="29"/>
    <x v="21"/>
    <x v="0"/>
    <x v="729"/>
    <x v="3"/>
    <x v="27"/>
  </r>
  <r>
    <s v="SUPER"/>
    <s v="HO"/>
    <s v="04/09/2025"/>
    <s v="01/08/2025-31/08/2025"/>
    <x v="29"/>
    <x v="29"/>
    <x v="9"/>
    <x v="0"/>
    <x v="3"/>
    <x v="70"/>
    <x v="70"/>
    <x v="1"/>
    <x v="1"/>
    <x v="29"/>
    <x v="21"/>
    <x v="0"/>
    <x v="730"/>
    <x v="10"/>
    <x v="28"/>
  </r>
  <r>
    <s v="SUPER"/>
    <s v="HO"/>
    <s v="04/09/2025"/>
    <s v="01/08/2025-31/08/2025"/>
    <x v="29"/>
    <x v="29"/>
    <x v="9"/>
    <x v="0"/>
    <x v="3"/>
    <x v="285"/>
    <x v="285"/>
    <x v="1"/>
    <x v="1"/>
    <x v="29"/>
    <x v="21"/>
    <x v="1"/>
    <x v="730"/>
    <x v="10"/>
    <x v="28"/>
  </r>
  <r>
    <s v="SUPER"/>
    <s v="HO"/>
    <s v="04/09/2025"/>
    <s v="01/08/2025-31/08/2025"/>
    <x v="29"/>
    <x v="29"/>
    <x v="9"/>
    <x v="0"/>
    <x v="3"/>
    <x v="82"/>
    <x v="82"/>
    <x v="57"/>
    <x v="57"/>
    <x v="29"/>
    <x v="21"/>
    <x v="0"/>
    <x v="731"/>
    <x v="11"/>
    <x v="28"/>
  </r>
  <r>
    <s v="SUPER"/>
    <s v="HO"/>
    <s v="04/09/2025"/>
    <s v="01/08/2025-31/08/2025"/>
    <x v="29"/>
    <x v="29"/>
    <x v="9"/>
    <x v="0"/>
    <x v="3"/>
    <x v="393"/>
    <x v="393"/>
    <x v="57"/>
    <x v="57"/>
    <x v="29"/>
    <x v="21"/>
    <x v="1"/>
    <x v="731"/>
    <x v="11"/>
    <x v="28"/>
  </r>
  <r>
    <s v="SUPER"/>
    <s v="HO"/>
    <s v="04/09/2025"/>
    <s v="01/08/2025-31/08/2025"/>
    <x v="29"/>
    <x v="29"/>
    <x v="9"/>
    <x v="0"/>
    <x v="3"/>
    <x v="455"/>
    <x v="455"/>
    <x v="57"/>
    <x v="57"/>
    <x v="29"/>
    <x v="21"/>
    <x v="2"/>
    <x v="731"/>
    <x v="11"/>
    <x v="28"/>
  </r>
  <r>
    <s v="SUPER"/>
    <s v="HO"/>
    <s v="04/09/2025"/>
    <s v="01/08/2025-31/08/2025"/>
    <x v="73"/>
    <x v="73"/>
    <x v="9"/>
    <x v="0"/>
    <x v="3"/>
    <x v="82"/>
    <x v="82"/>
    <x v="45"/>
    <x v="45"/>
    <x v="17"/>
    <x v="4"/>
    <x v="0"/>
    <x v="732"/>
    <x v="11"/>
    <x v="72"/>
  </r>
  <r>
    <s v="SUPER"/>
    <s v="HO"/>
    <s v="04/09/2025"/>
    <s v="01/08/2025-31/08/2025"/>
    <x v="73"/>
    <x v="73"/>
    <x v="9"/>
    <x v="0"/>
    <x v="3"/>
    <x v="455"/>
    <x v="455"/>
    <x v="45"/>
    <x v="45"/>
    <x v="17"/>
    <x v="4"/>
    <x v="1"/>
    <x v="732"/>
    <x v="11"/>
    <x v="72"/>
  </r>
  <r>
    <s v="SUPER"/>
    <s v="HO"/>
    <s v="04/09/2025"/>
    <s v="01/08/2025-31/08/2025"/>
    <x v="73"/>
    <x v="73"/>
    <x v="9"/>
    <x v="0"/>
    <x v="3"/>
    <x v="353"/>
    <x v="353"/>
    <x v="45"/>
    <x v="45"/>
    <x v="17"/>
    <x v="4"/>
    <x v="2"/>
    <x v="732"/>
    <x v="4"/>
    <x v="72"/>
  </r>
  <r>
    <s v="SUPER"/>
    <s v="HO"/>
    <s v="04/09/2025"/>
    <s v="01/08/2025-31/08/2025"/>
    <x v="73"/>
    <x v="73"/>
    <x v="9"/>
    <x v="0"/>
    <x v="3"/>
    <x v="456"/>
    <x v="456"/>
    <x v="45"/>
    <x v="45"/>
    <x v="17"/>
    <x v="4"/>
    <x v="3"/>
    <x v="732"/>
    <x v="11"/>
    <x v="72"/>
  </r>
  <r>
    <s v="SUPER"/>
    <s v="HO"/>
    <s v="04/09/2025"/>
    <s v="01/08/2025-31/08/2025"/>
    <x v="99"/>
    <x v="99"/>
    <x v="8"/>
    <x v="0"/>
    <x v="3"/>
    <x v="41"/>
    <x v="41"/>
    <x v="1"/>
    <x v="1"/>
    <x v="20"/>
    <x v="5"/>
    <x v="0"/>
    <x v="733"/>
    <x v="25"/>
    <x v="98"/>
  </r>
  <r>
    <s v="SUPER"/>
    <s v="HO"/>
    <s v="04/09/2025"/>
    <s v="01/08/2025-31/08/2025"/>
    <x v="65"/>
    <x v="65"/>
    <x v="22"/>
    <x v="0"/>
    <x v="2"/>
    <x v="174"/>
    <x v="174"/>
    <x v="1"/>
    <x v="1"/>
    <x v="20"/>
    <x v="5"/>
    <x v="0"/>
    <x v="734"/>
    <x v="3"/>
    <x v="64"/>
  </r>
  <r>
    <s v="SUPER"/>
    <s v="HO"/>
    <s v="04/09/2025"/>
    <s v="01/08/2025-31/08/2025"/>
    <x v="65"/>
    <x v="65"/>
    <x v="22"/>
    <x v="0"/>
    <x v="2"/>
    <x v="175"/>
    <x v="175"/>
    <x v="1"/>
    <x v="1"/>
    <x v="20"/>
    <x v="5"/>
    <x v="1"/>
    <x v="734"/>
    <x v="3"/>
    <x v="64"/>
  </r>
  <r>
    <s v="SUPER"/>
    <s v="HO"/>
    <s v="04/09/2025"/>
    <s v="01/08/2025-31/08/2025"/>
    <x v="60"/>
    <x v="60"/>
    <x v="21"/>
    <x v="0"/>
    <x v="2"/>
    <x v="22"/>
    <x v="22"/>
    <x v="1"/>
    <x v="1"/>
    <x v="29"/>
    <x v="19"/>
    <x v="0"/>
    <x v="735"/>
    <x v="3"/>
    <x v="59"/>
  </r>
  <r>
    <s v="SUPER"/>
    <s v="HO"/>
    <s v="04/09/2025"/>
    <s v="01/08/2025-31/08/2025"/>
    <x v="29"/>
    <x v="29"/>
    <x v="9"/>
    <x v="0"/>
    <x v="3"/>
    <x v="34"/>
    <x v="34"/>
    <x v="24"/>
    <x v="24"/>
    <x v="17"/>
    <x v="3"/>
    <x v="0"/>
    <x v="735"/>
    <x v="11"/>
    <x v="28"/>
  </r>
  <r>
    <s v="SUPER"/>
    <s v="HO"/>
    <s v="04/09/2025"/>
    <s v="01/08/2025-31/08/2025"/>
    <x v="149"/>
    <x v="149"/>
    <x v="13"/>
    <x v="0"/>
    <x v="4"/>
    <x v="35"/>
    <x v="35"/>
    <x v="152"/>
    <x v="152"/>
    <x v="29"/>
    <x v="21"/>
    <x v="0"/>
    <x v="735"/>
    <x v="11"/>
    <x v="147"/>
  </r>
  <r>
    <s v="SUPER"/>
    <s v="HO"/>
    <s v="04/09/2025"/>
    <s v="01/08/2025-31/08/2025"/>
    <x v="149"/>
    <x v="149"/>
    <x v="13"/>
    <x v="0"/>
    <x v="4"/>
    <x v="63"/>
    <x v="63"/>
    <x v="152"/>
    <x v="152"/>
    <x v="29"/>
    <x v="21"/>
    <x v="1"/>
    <x v="735"/>
    <x v="11"/>
    <x v="147"/>
  </r>
  <r>
    <s v="SUPER"/>
    <s v="HO"/>
    <s v="04/09/2025"/>
    <s v="01/08/2025-31/08/2025"/>
    <x v="149"/>
    <x v="149"/>
    <x v="13"/>
    <x v="0"/>
    <x v="4"/>
    <x v="64"/>
    <x v="64"/>
    <x v="152"/>
    <x v="152"/>
    <x v="29"/>
    <x v="21"/>
    <x v="0"/>
    <x v="736"/>
    <x v="1"/>
    <x v="147"/>
  </r>
  <r>
    <s v="SUPER"/>
    <s v="HO"/>
    <s v="04/09/2025"/>
    <s v="01/08/2025-31/08/2025"/>
    <x v="60"/>
    <x v="60"/>
    <x v="21"/>
    <x v="0"/>
    <x v="2"/>
    <x v="22"/>
    <x v="22"/>
    <x v="1"/>
    <x v="1"/>
    <x v="20"/>
    <x v="5"/>
    <x v="0"/>
    <x v="737"/>
    <x v="3"/>
    <x v="59"/>
  </r>
  <r>
    <s v="SUPER"/>
    <s v="HO"/>
    <s v="04/09/2025"/>
    <s v="01/08/2025-31/08/2025"/>
    <x v="28"/>
    <x v="28"/>
    <x v="11"/>
    <x v="0"/>
    <x v="3"/>
    <x v="29"/>
    <x v="29"/>
    <x v="77"/>
    <x v="77"/>
    <x v="23"/>
    <x v="1"/>
    <x v="0"/>
    <x v="738"/>
    <x v="3"/>
    <x v="27"/>
  </r>
  <r>
    <s v="SUPER"/>
    <s v="HO"/>
    <s v="04/09/2025"/>
    <s v="01/08/2025-31/08/2025"/>
    <x v="77"/>
    <x v="77"/>
    <x v="10"/>
    <x v="0"/>
    <x v="0"/>
    <x v="372"/>
    <x v="372"/>
    <x v="79"/>
    <x v="79"/>
    <x v="27"/>
    <x v="15"/>
    <x v="0"/>
    <x v="739"/>
    <x v="22"/>
    <x v="76"/>
  </r>
  <r>
    <s v="SUPER"/>
    <s v="HO"/>
    <s v="04/09/2025"/>
    <s v="01/08/2025-31/08/2025"/>
    <x v="95"/>
    <x v="95"/>
    <x v="14"/>
    <x v="0"/>
    <x v="3"/>
    <x v="40"/>
    <x v="40"/>
    <x v="30"/>
    <x v="30"/>
    <x v="20"/>
    <x v="5"/>
    <x v="0"/>
    <x v="740"/>
    <x v="3"/>
    <x v="94"/>
  </r>
  <r>
    <s v="SUPER"/>
    <s v="HO"/>
    <s v="04/09/2025"/>
    <s v="01/08/2025-31/08/2025"/>
    <x v="95"/>
    <x v="95"/>
    <x v="14"/>
    <x v="0"/>
    <x v="3"/>
    <x v="113"/>
    <x v="113"/>
    <x v="30"/>
    <x v="30"/>
    <x v="20"/>
    <x v="5"/>
    <x v="1"/>
    <x v="740"/>
    <x v="3"/>
    <x v="94"/>
  </r>
  <r>
    <s v="SUPER"/>
    <s v="HO"/>
    <s v="04/09/2025"/>
    <s v="01/08/2025-31/08/2025"/>
    <x v="27"/>
    <x v="27"/>
    <x v="16"/>
    <x v="0"/>
    <x v="1"/>
    <x v="197"/>
    <x v="197"/>
    <x v="23"/>
    <x v="23"/>
    <x v="12"/>
    <x v="1"/>
    <x v="0"/>
    <x v="741"/>
    <x v="11"/>
    <x v="26"/>
  </r>
  <r>
    <s v="SUPER"/>
    <s v="HO"/>
    <s v="04/09/2025"/>
    <s v="01/08/2025-31/08/2025"/>
    <x v="76"/>
    <x v="76"/>
    <x v="14"/>
    <x v="0"/>
    <x v="3"/>
    <x v="22"/>
    <x v="22"/>
    <x v="153"/>
    <x v="153"/>
    <x v="20"/>
    <x v="5"/>
    <x v="0"/>
    <x v="741"/>
    <x v="3"/>
    <x v="75"/>
  </r>
  <r>
    <s v="SUPER"/>
    <s v="HO"/>
    <s v="04/09/2025"/>
    <s v="01/08/2025-31/08/2025"/>
    <x v="27"/>
    <x v="27"/>
    <x v="16"/>
    <x v="0"/>
    <x v="1"/>
    <x v="51"/>
    <x v="51"/>
    <x v="23"/>
    <x v="23"/>
    <x v="12"/>
    <x v="1"/>
    <x v="1"/>
    <x v="741"/>
    <x v="11"/>
    <x v="26"/>
  </r>
  <r>
    <s v="SUPER"/>
    <s v="HO"/>
    <s v="04/09/2025"/>
    <s v="01/08/2025-31/08/2025"/>
    <x v="88"/>
    <x v="88"/>
    <x v="9"/>
    <x v="0"/>
    <x v="3"/>
    <x v="30"/>
    <x v="30"/>
    <x v="1"/>
    <x v="1"/>
    <x v="12"/>
    <x v="1"/>
    <x v="0"/>
    <x v="742"/>
    <x v="10"/>
    <x v="87"/>
  </r>
  <r>
    <s v="SUPER"/>
    <s v="HO"/>
    <s v="04/09/2025"/>
    <s v="01/08/2025-31/08/2025"/>
    <x v="88"/>
    <x v="88"/>
    <x v="9"/>
    <x v="0"/>
    <x v="3"/>
    <x v="284"/>
    <x v="284"/>
    <x v="1"/>
    <x v="1"/>
    <x v="12"/>
    <x v="1"/>
    <x v="1"/>
    <x v="742"/>
    <x v="10"/>
    <x v="87"/>
  </r>
  <r>
    <s v="SUPER"/>
    <s v="HO"/>
    <s v="04/09/2025"/>
    <s v="01/08/2025-31/08/2025"/>
    <x v="89"/>
    <x v="89"/>
    <x v="21"/>
    <x v="0"/>
    <x v="2"/>
    <x v="161"/>
    <x v="161"/>
    <x v="83"/>
    <x v="83"/>
    <x v="28"/>
    <x v="21"/>
    <x v="0"/>
    <x v="743"/>
    <x v="1"/>
    <x v="88"/>
  </r>
  <r>
    <s v="SUPER"/>
    <s v="HO"/>
    <s v="04/09/2025"/>
    <s v="01/08/2025-31/08/2025"/>
    <x v="89"/>
    <x v="89"/>
    <x v="21"/>
    <x v="0"/>
    <x v="2"/>
    <x v="309"/>
    <x v="309"/>
    <x v="76"/>
    <x v="76"/>
    <x v="28"/>
    <x v="21"/>
    <x v="0"/>
    <x v="744"/>
    <x v="1"/>
    <x v="88"/>
  </r>
  <r>
    <s v="SUPER"/>
    <s v="HO"/>
    <s v="04/09/2025"/>
    <s v="01/08/2025-31/08/2025"/>
    <x v="52"/>
    <x v="52"/>
    <x v="15"/>
    <x v="0"/>
    <x v="0"/>
    <x v="197"/>
    <x v="197"/>
    <x v="1"/>
    <x v="1"/>
    <x v="28"/>
    <x v="21"/>
    <x v="0"/>
    <x v="745"/>
    <x v="11"/>
    <x v="51"/>
  </r>
  <r>
    <s v="SUPER"/>
    <s v="HO"/>
    <s v="04/09/2025"/>
    <s v="01/08/2025-31/08/2025"/>
    <x v="52"/>
    <x v="52"/>
    <x v="15"/>
    <x v="0"/>
    <x v="0"/>
    <x v="51"/>
    <x v="51"/>
    <x v="1"/>
    <x v="1"/>
    <x v="28"/>
    <x v="21"/>
    <x v="1"/>
    <x v="745"/>
    <x v="11"/>
    <x v="51"/>
  </r>
  <r>
    <s v="SUPER"/>
    <s v="HO"/>
    <s v="04/09/2025"/>
    <s v="01/08/2025-31/08/2025"/>
    <x v="28"/>
    <x v="28"/>
    <x v="11"/>
    <x v="0"/>
    <x v="3"/>
    <x v="177"/>
    <x v="177"/>
    <x v="77"/>
    <x v="77"/>
    <x v="28"/>
    <x v="21"/>
    <x v="0"/>
    <x v="746"/>
    <x v="11"/>
    <x v="27"/>
  </r>
  <r>
    <s v="SUPER"/>
    <s v="HO"/>
    <s v="04/09/2025"/>
    <s v="01/08/2025-31/08/2025"/>
    <x v="28"/>
    <x v="28"/>
    <x v="11"/>
    <x v="0"/>
    <x v="3"/>
    <x v="11"/>
    <x v="11"/>
    <x v="77"/>
    <x v="77"/>
    <x v="28"/>
    <x v="21"/>
    <x v="1"/>
    <x v="746"/>
    <x v="11"/>
    <x v="27"/>
  </r>
  <r>
    <s v="SUPER"/>
    <s v="HO"/>
    <s v="04/09/2025"/>
    <s v="01/08/2025-31/08/2025"/>
    <x v="65"/>
    <x v="65"/>
    <x v="22"/>
    <x v="0"/>
    <x v="2"/>
    <x v="240"/>
    <x v="240"/>
    <x v="1"/>
    <x v="1"/>
    <x v="30"/>
    <x v="0"/>
    <x v="0"/>
    <x v="747"/>
    <x v="3"/>
    <x v="64"/>
  </r>
  <r>
    <s v="SUPER"/>
    <s v="HO"/>
    <s v="04/09/2025"/>
    <s v="01/08/2025-31/08/2025"/>
    <x v="60"/>
    <x v="60"/>
    <x v="21"/>
    <x v="0"/>
    <x v="2"/>
    <x v="22"/>
    <x v="22"/>
    <x v="1"/>
    <x v="1"/>
    <x v="30"/>
    <x v="0"/>
    <x v="0"/>
    <x v="748"/>
    <x v="3"/>
    <x v="59"/>
  </r>
  <r>
    <s v="SUPER"/>
    <s v="HO"/>
    <s v="04/09/2025"/>
    <s v="01/08/2025-31/08/2025"/>
    <x v="84"/>
    <x v="84"/>
    <x v="1"/>
    <x v="0"/>
    <x v="0"/>
    <x v="64"/>
    <x v="64"/>
    <x v="76"/>
    <x v="76"/>
    <x v="30"/>
    <x v="21"/>
    <x v="0"/>
    <x v="749"/>
    <x v="4"/>
    <x v="83"/>
  </r>
  <r>
    <s v="SUPER"/>
    <s v="HO"/>
    <s v="04/09/2025"/>
    <s v="01/08/2025-31/08/2025"/>
    <x v="53"/>
    <x v="53"/>
    <x v="11"/>
    <x v="0"/>
    <x v="3"/>
    <x v="161"/>
    <x v="161"/>
    <x v="44"/>
    <x v="44"/>
    <x v="30"/>
    <x v="21"/>
    <x v="0"/>
    <x v="750"/>
    <x v="4"/>
    <x v="52"/>
  </r>
  <r>
    <s v="SUPER"/>
    <s v="HO"/>
    <s v="04/09/2025"/>
    <s v="01/08/2025-31/08/2025"/>
    <x v="116"/>
    <x v="116"/>
    <x v="25"/>
    <x v="0"/>
    <x v="2"/>
    <x v="2"/>
    <x v="2"/>
    <x v="118"/>
    <x v="118"/>
    <x v="30"/>
    <x v="21"/>
    <x v="0"/>
    <x v="751"/>
    <x v="1"/>
    <x v="115"/>
  </r>
  <r>
    <s v="SUPER"/>
    <s v="HO"/>
    <s v="04/09/2025"/>
    <s v="01/08/2025-31/08/2025"/>
    <x v="89"/>
    <x v="89"/>
    <x v="21"/>
    <x v="0"/>
    <x v="2"/>
    <x v="161"/>
    <x v="161"/>
    <x v="83"/>
    <x v="83"/>
    <x v="30"/>
    <x v="21"/>
    <x v="0"/>
    <x v="752"/>
    <x v="4"/>
    <x v="88"/>
  </r>
  <r>
    <s v="SUPER"/>
    <s v="HO"/>
    <s v="04/09/2025"/>
    <s v="01/08/2025-31/08/2025"/>
    <x v="56"/>
    <x v="56"/>
    <x v="20"/>
    <x v="0"/>
    <x v="2"/>
    <x v="2"/>
    <x v="2"/>
    <x v="47"/>
    <x v="47"/>
    <x v="30"/>
    <x v="21"/>
    <x v="0"/>
    <x v="753"/>
    <x v="1"/>
    <x v="55"/>
  </r>
  <r>
    <s v="SUPER"/>
    <s v="HO"/>
    <s v="04/09/2025"/>
    <s v="01/08/2025-31/08/2025"/>
    <x v="56"/>
    <x v="56"/>
    <x v="20"/>
    <x v="0"/>
    <x v="2"/>
    <x v="87"/>
    <x v="87"/>
    <x v="47"/>
    <x v="47"/>
    <x v="30"/>
    <x v="21"/>
    <x v="1"/>
    <x v="753"/>
    <x v="1"/>
    <x v="55"/>
  </r>
  <r>
    <s v="SUPER"/>
    <s v="HO"/>
    <s v="04/09/2025"/>
    <s v="01/08/2025-31/08/2025"/>
    <x v="22"/>
    <x v="22"/>
    <x v="14"/>
    <x v="0"/>
    <x v="3"/>
    <x v="5"/>
    <x v="5"/>
    <x v="46"/>
    <x v="46"/>
    <x v="30"/>
    <x v="0"/>
    <x v="0"/>
    <x v="754"/>
    <x v="3"/>
    <x v="21"/>
  </r>
  <r>
    <s v="SUPER"/>
    <s v="HO"/>
    <s v="04/09/2025"/>
    <s v="01/08/2025-31/08/2025"/>
    <x v="150"/>
    <x v="150"/>
    <x v="13"/>
    <x v="0"/>
    <x v="4"/>
    <x v="318"/>
    <x v="318"/>
    <x v="154"/>
    <x v="154"/>
    <x v="21"/>
    <x v="5"/>
    <x v="0"/>
    <x v="755"/>
    <x v="3"/>
    <x v="148"/>
  </r>
  <r>
    <s v="SUPER"/>
    <s v="HO"/>
    <s v="04/09/2025"/>
    <s v="01/08/2025-31/08/2025"/>
    <x v="130"/>
    <x v="130"/>
    <x v="8"/>
    <x v="0"/>
    <x v="3"/>
    <x v="8"/>
    <x v="8"/>
    <x v="1"/>
    <x v="1"/>
    <x v="3"/>
    <x v="21"/>
    <x v="0"/>
    <x v="756"/>
    <x v="1"/>
    <x v="129"/>
  </r>
  <r>
    <s v="SUPER"/>
    <s v="HO"/>
    <s v="04/09/2025"/>
    <s v="01/08/2025-31/08/2025"/>
    <x v="60"/>
    <x v="60"/>
    <x v="21"/>
    <x v="0"/>
    <x v="2"/>
    <x v="22"/>
    <x v="22"/>
    <x v="1"/>
    <x v="1"/>
    <x v="3"/>
    <x v="0"/>
    <x v="0"/>
    <x v="757"/>
    <x v="3"/>
    <x v="59"/>
  </r>
  <r>
    <s v="SUPER"/>
    <s v="HO"/>
    <s v="04/09/2025"/>
    <s v="01/08/2025-31/08/2025"/>
    <x v="10"/>
    <x v="10"/>
    <x v="9"/>
    <x v="0"/>
    <x v="3"/>
    <x v="75"/>
    <x v="75"/>
    <x v="7"/>
    <x v="7"/>
    <x v="3"/>
    <x v="0"/>
    <x v="0"/>
    <x v="758"/>
    <x v="3"/>
    <x v="9"/>
  </r>
  <r>
    <s v="SUPER"/>
    <s v="HO"/>
    <s v="04/09/2025"/>
    <s v="01/08/2025-31/08/2025"/>
    <x v="45"/>
    <x v="45"/>
    <x v="14"/>
    <x v="0"/>
    <x v="3"/>
    <x v="34"/>
    <x v="34"/>
    <x v="1"/>
    <x v="1"/>
    <x v="14"/>
    <x v="1"/>
    <x v="0"/>
    <x v="759"/>
    <x v="25"/>
    <x v="44"/>
  </r>
  <r>
    <s v="SUPER"/>
    <s v="HO"/>
    <s v="04/09/2025"/>
    <s v="01/08/2025-31/08/2025"/>
    <x v="45"/>
    <x v="45"/>
    <x v="14"/>
    <x v="0"/>
    <x v="3"/>
    <x v="341"/>
    <x v="341"/>
    <x v="1"/>
    <x v="1"/>
    <x v="3"/>
    <x v="21"/>
    <x v="0"/>
    <x v="760"/>
    <x v="10"/>
    <x v="44"/>
  </r>
  <r>
    <s v="SUPER"/>
    <s v="HO"/>
    <s v="04/09/2025"/>
    <s v="01/08/2025-31/08/2025"/>
    <x v="45"/>
    <x v="45"/>
    <x v="14"/>
    <x v="0"/>
    <x v="3"/>
    <x v="276"/>
    <x v="276"/>
    <x v="1"/>
    <x v="1"/>
    <x v="3"/>
    <x v="21"/>
    <x v="0"/>
    <x v="761"/>
    <x v="10"/>
    <x v="44"/>
  </r>
  <r>
    <s v="SUPER"/>
    <s v="HO"/>
    <s v="04/09/2025"/>
    <s v="01/08/2025-31/08/2025"/>
    <x v="65"/>
    <x v="65"/>
    <x v="22"/>
    <x v="0"/>
    <x v="2"/>
    <x v="174"/>
    <x v="174"/>
    <x v="1"/>
    <x v="1"/>
    <x v="24"/>
    <x v="5"/>
    <x v="0"/>
    <x v="762"/>
    <x v="3"/>
    <x v="64"/>
  </r>
  <r>
    <s v="SUPER"/>
    <s v="HO"/>
    <s v="04/09/2025"/>
    <s v="01/08/2025-31/08/2025"/>
    <x v="40"/>
    <x v="40"/>
    <x v="11"/>
    <x v="0"/>
    <x v="3"/>
    <x v="53"/>
    <x v="53"/>
    <x v="52"/>
    <x v="52"/>
    <x v="21"/>
    <x v="14"/>
    <x v="0"/>
    <x v="763"/>
    <x v="22"/>
    <x v="39"/>
  </r>
  <r>
    <s v="SUPER"/>
    <s v="HO"/>
    <s v="04/09/2025"/>
    <s v="01/08/2025-31/08/2025"/>
    <x v="40"/>
    <x v="40"/>
    <x v="11"/>
    <x v="0"/>
    <x v="3"/>
    <x v="457"/>
    <x v="457"/>
    <x v="75"/>
    <x v="75"/>
    <x v="21"/>
    <x v="14"/>
    <x v="0"/>
    <x v="764"/>
    <x v="20"/>
    <x v="39"/>
  </r>
  <r>
    <s v="SUPER"/>
    <s v="HO"/>
    <s v="04/09/2025"/>
    <s v="01/08/2025-31/08/2025"/>
    <x v="23"/>
    <x v="23"/>
    <x v="9"/>
    <x v="0"/>
    <x v="3"/>
    <x v="449"/>
    <x v="449"/>
    <x v="155"/>
    <x v="155"/>
    <x v="24"/>
    <x v="5"/>
    <x v="0"/>
    <x v="765"/>
    <x v="27"/>
    <x v="22"/>
  </r>
  <r>
    <s v="SUPER"/>
    <s v="HO"/>
    <s v="04/09/2025"/>
    <s v="01/08/2025-31/08/2025"/>
    <x v="68"/>
    <x v="68"/>
    <x v="6"/>
    <x v="0"/>
    <x v="0"/>
    <x v="6"/>
    <x v="6"/>
    <x v="56"/>
    <x v="56"/>
    <x v="24"/>
    <x v="5"/>
    <x v="0"/>
    <x v="766"/>
    <x v="3"/>
    <x v="67"/>
  </r>
  <r>
    <s v="SUPER"/>
    <s v="HO"/>
    <s v="04/09/2025"/>
    <s v="01/08/2025-31/08/2025"/>
    <x v="35"/>
    <x v="35"/>
    <x v="6"/>
    <x v="0"/>
    <x v="0"/>
    <x v="2"/>
    <x v="2"/>
    <x v="29"/>
    <x v="29"/>
    <x v="27"/>
    <x v="21"/>
    <x v="0"/>
    <x v="767"/>
    <x v="1"/>
    <x v="34"/>
  </r>
  <r>
    <s v="SUPER"/>
    <s v="HO"/>
    <s v="04/09/2025"/>
    <s v="01/08/2025-31/08/2025"/>
    <x v="56"/>
    <x v="56"/>
    <x v="20"/>
    <x v="0"/>
    <x v="2"/>
    <x v="2"/>
    <x v="2"/>
    <x v="47"/>
    <x v="47"/>
    <x v="27"/>
    <x v="21"/>
    <x v="0"/>
    <x v="768"/>
    <x v="1"/>
    <x v="55"/>
  </r>
  <r>
    <s v="SUPER"/>
    <s v="HO"/>
    <s v="04/09/2025"/>
    <s v="01/08/2025-31/08/2025"/>
    <x v="56"/>
    <x v="56"/>
    <x v="20"/>
    <x v="0"/>
    <x v="2"/>
    <x v="87"/>
    <x v="87"/>
    <x v="47"/>
    <x v="47"/>
    <x v="27"/>
    <x v="21"/>
    <x v="1"/>
    <x v="768"/>
    <x v="1"/>
    <x v="55"/>
  </r>
  <r>
    <s v="SUPER"/>
    <s v="HO"/>
    <s v="04/09/2025"/>
    <s v="01/08/2025-31/08/2025"/>
    <x v="56"/>
    <x v="56"/>
    <x v="20"/>
    <x v="0"/>
    <x v="2"/>
    <x v="2"/>
    <x v="2"/>
    <x v="47"/>
    <x v="47"/>
    <x v="27"/>
    <x v="21"/>
    <x v="2"/>
    <x v="768"/>
    <x v="1"/>
    <x v="55"/>
  </r>
  <r>
    <s v="SUPER"/>
    <s v="HO"/>
    <s v="04/09/2025"/>
    <s v="01/08/2025-31/08/2025"/>
    <x v="130"/>
    <x v="130"/>
    <x v="8"/>
    <x v="0"/>
    <x v="3"/>
    <x v="8"/>
    <x v="8"/>
    <x v="1"/>
    <x v="1"/>
    <x v="27"/>
    <x v="21"/>
    <x v="0"/>
    <x v="769"/>
    <x v="1"/>
    <x v="129"/>
  </r>
  <r>
    <s v="SUPER"/>
    <s v="HO"/>
    <s v="04/09/2025"/>
    <s v="01/08/2025-31/08/2025"/>
    <x v="40"/>
    <x v="40"/>
    <x v="11"/>
    <x v="0"/>
    <x v="3"/>
    <x v="458"/>
    <x v="458"/>
    <x v="52"/>
    <x v="52"/>
    <x v="21"/>
    <x v="15"/>
    <x v="0"/>
    <x v="770"/>
    <x v="22"/>
    <x v="39"/>
  </r>
  <r>
    <s v="SUPER"/>
    <s v="HO"/>
    <s v="04/09/2025"/>
    <s v="01/08/2025-31/08/2025"/>
    <x v="39"/>
    <x v="39"/>
    <x v="18"/>
    <x v="0"/>
    <x v="3"/>
    <x v="2"/>
    <x v="2"/>
    <x v="1"/>
    <x v="1"/>
    <x v="22"/>
    <x v="28"/>
    <x v="0"/>
    <x v="771"/>
    <x v="1"/>
    <x v="38"/>
  </r>
  <r>
    <s v="SUPER"/>
    <s v="HO"/>
    <s v="04/09/2025"/>
    <s v="01/08/2025-31/08/2025"/>
    <x v="39"/>
    <x v="39"/>
    <x v="18"/>
    <x v="0"/>
    <x v="3"/>
    <x v="285"/>
    <x v="285"/>
    <x v="1"/>
    <x v="1"/>
    <x v="22"/>
    <x v="28"/>
    <x v="0"/>
    <x v="772"/>
    <x v="1"/>
    <x v="38"/>
  </r>
  <r>
    <s v="SUPER"/>
    <s v="HO"/>
    <s v="04/09/2025"/>
    <s v="01/08/2025-31/08/2025"/>
    <x v="61"/>
    <x v="61"/>
    <x v="11"/>
    <x v="0"/>
    <x v="3"/>
    <x v="459"/>
    <x v="459"/>
    <x v="50"/>
    <x v="50"/>
    <x v="25"/>
    <x v="5"/>
    <x v="0"/>
    <x v="773"/>
    <x v="3"/>
    <x v="60"/>
  </r>
  <r>
    <s v="SUPER"/>
    <s v="HO"/>
    <s v="04/09/2025"/>
    <s v="01/08/2025-31/08/2025"/>
    <x v="60"/>
    <x v="60"/>
    <x v="21"/>
    <x v="0"/>
    <x v="2"/>
    <x v="22"/>
    <x v="22"/>
    <x v="1"/>
    <x v="1"/>
    <x v="25"/>
    <x v="5"/>
    <x v="0"/>
    <x v="774"/>
    <x v="3"/>
    <x v="59"/>
  </r>
  <r>
    <s v="SUPER"/>
    <s v="HO"/>
    <s v="04/09/2025"/>
    <s v="01/08/2025-31/08/2025"/>
    <x v="45"/>
    <x v="45"/>
    <x v="14"/>
    <x v="0"/>
    <x v="3"/>
    <x v="64"/>
    <x v="64"/>
    <x v="1"/>
    <x v="1"/>
    <x v="18"/>
    <x v="6"/>
    <x v="0"/>
    <x v="775"/>
    <x v="3"/>
    <x v="44"/>
  </r>
  <r>
    <s v="SUPER"/>
    <s v="HO"/>
    <s v="04/09/2025"/>
    <s v="01/08/2025-31/08/2025"/>
    <x v="1"/>
    <x v="1"/>
    <x v="1"/>
    <x v="0"/>
    <x v="0"/>
    <x v="460"/>
    <x v="460"/>
    <x v="114"/>
    <x v="114"/>
    <x v="24"/>
    <x v="15"/>
    <x v="0"/>
    <x v="776"/>
    <x v="22"/>
    <x v="1"/>
  </r>
  <r>
    <s v="SUPER"/>
    <s v="HO"/>
    <s v="04/09/2025"/>
    <s v="01/08/2025-31/08/2025"/>
    <x v="1"/>
    <x v="1"/>
    <x v="1"/>
    <x v="0"/>
    <x v="0"/>
    <x v="461"/>
    <x v="461"/>
    <x v="114"/>
    <x v="114"/>
    <x v="24"/>
    <x v="15"/>
    <x v="1"/>
    <x v="776"/>
    <x v="22"/>
    <x v="1"/>
  </r>
  <r>
    <s v="SUPER"/>
    <s v="HO"/>
    <s v="04/09/2025"/>
    <s v="01/08/2025-31/08/2025"/>
    <x v="65"/>
    <x v="65"/>
    <x v="22"/>
    <x v="0"/>
    <x v="2"/>
    <x v="240"/>
    <x v="240"/>
    <x v="1"/>
    <x v="1"/>
    <x v="27"/>
    <x v="0"/>
    <x v="0"/>
    <x v="777"/>
    <x v="3"/>
    <x v="64"/>
  </r>
  <r>
    <s v="SUPER"/>
    <s v="HO"/>
    <s v="04/09/2025"/>
    <s v="01/08/2025-31/08/2025"/>
    <x v="31"/>
    <x v="31"/>
    <x v="17"/>
    <x v="0"/>
    <x v="3"/>
    <x v="30"/>
    <x v="30"/>
    <x v="42"/>
    <x v="42"/>
    <x v="18"/>
    <x v="1"/>
    <x v="0"/>
    <x v="778"/>
    <x v="4"/>
    <x v="30"/>
  </r>
  <r>
    <s v="SUPER"/>
    <s v="HO"/>
    <s v="04/09/2025"/>
    <s v="01/08/2025-31/08/2025"/>
    <x v="31"/>
    <x v="31"/>
    <x v="17"/>
    <x v="0"/>
    <x v="3"/>
    <x v="277"/>
    <x v="277"/>
    <x v="42"/>
    <x v="42"/>
    <x v="18"/>
    <x v="1"/>
    <x v="1"/>
    <x v="778"/>
    <x v="4"/>
    <x v="30"/>
  </r>
  <r>
    <s v="SUPER"/>
    <s v="HO"/>
    <s v="04/09/2025"/>
    <s v="01/08/2025-31/08/2025"/>
    <x v="19"/>
    <x v="19"/>
    <x v="6"/>
    <x v="0"/>
    <x v="0"/>
    <x v="160"/>
    <x v="160"/>
    <x v="17"/>
    <x v="17"/>
    <x v="27"/>
    <x v="21"/>
    <x v="0"/>
    <x v="779"/>
    <x v="4"/>
    <x v="18"/>
  </r>
  <r>
    <s v="SUPER"/>
    <s v="HO"/>
    <s v="04/09/2025"/>
    <s v="01/08/2025-31/08/2025"/>
    <x v="11"/>
    <x v="11"/>
    <x v="1"/>
    <x v="0"/>
    <x v="0"/>
    <x v="136"/>
    <x v="136"/>
    <x v="9"/>
    <x v="9"/>
    <x v="18"/>
    <x v="1"/>
    <x v="0"/>
    <x v="780"/>
    <x v="11"/>
    <x v="10"/>
  </r>
  <r>
    <s v="SUPER"/>
    <s v="HO"/>
    <s v="04/09/2025"/>
    <s v="01/08/2025-31/08/2025"/>
    <x v="39"/>
    <x v="39"/>
    <x v="18"/>
    <x v="0"/>
    <x v="3"/>
    <x v="64"/>
    <x v="64"/>
    <x v="1"/>
    <x v="1"/>
    <x v="20"/>
    <x v="21"/>
    <x v="0"/>
    <x v="781"/>
    <x v="1"/>
    <x v="38"/>
  </r>
  <r>
    <s v="SUPER"/>
    <s v="HO"/>
    <s v="04/09/2025"/>
    <s v="01/08/2025-31/08/2025"/>
    <x v="89"/>
    <x v="89"/>
    <x v="21"/>
    <x v="0"/>
    <x v="2"/>
    <x v="161"/>
    <x v="161"/>
    <x v="83"/>
    <x v="83"/>
    <x v="20"/>
    <x v="21"/>
    <x v="0"/>
    <x v="782"/>
    <x v="1"/>
    <x v="88"/>
  </r>
  <r>
    <s v="SUPER"/>
    <s v="HO"/>
    <s v="04/09/2025"/>
    <s v="01/08/2025-31/08/2025"/>
    <x v="116"/>
    <x v="116"/>
    <x v="25"/>
    <x v="0"/>
    <x v="2"/>
    <x v="2"/>
    <x v="2"/>
    <x v="118"/>
    <x v="118"/>
    <x v="20"/>
    <x v="21"/>
    <x v="0"/>
    <x v="783"/>
    <x v="1"/>
    <x v="115"/>
  </r>
  <r>
    <s v="SUPER"/>
    <s v="HO"/>
    <s v="04/09/2025"/>
    <s v="01/08/2025-31/08/2025"/>
    <x v="84"/>
    <x v="84"/>
    <x v="1"/>
    <x v="0"/>
    <x v="0"/>
    <x v="309"/>
    <x v="309"/>
    <x v="76"/>
    <x v="76"/>
    <x v="20"/>
    <x v="21"/>
    <x v="0"/>
    <x v="784"/>
    <x v="1"/>
    <x v="83"/>
  </r>
  <r>
    <s v="SUPER"/>
    <s v="HO"/>
    <s v="04/09/2025"/>
    <s v="01/08/2025-31/08/2025"/>
    <x v="84"/>
    <x v="84"/>
    <x v="1"/>
    <x v="0"/>
    <x v="0"/>
    <x v="161"/>
    <x v="161"/>
    <x v="76"/>
    <x v="76"/>
    <x v="20"/>
    <x v="21"/>
    <x v="1"/>
    <x v="784"/>
    <x v="1"/>
    <x v="83"/>
  </r>
  <r>
    <s v="SUPER"/>
    <s v="HO"/>
    <s v="04/09/2025"/>
    <s v="01/08/2025-31/08/2025"/>
    <x v="68"/>
    <x v="68"/>
    <x v="6"/>
    <x v="0"/>
    <x v="0"/>
    <x v="53"/>
    <x v="53"/>
    <x v="56"/>
    <x v="56"/>
    <x v="25"/>
    <x v="5"/>
    <x v="0"/>
    <x v="785"/>
    <x v="25"/>
    <x v="67"/>
  </r>
  <r>
    <s v="SUPER"/>
    <s v="HO"/>
    <s v="04/09/2025"/>
    <s v="01/08/2025-31/08/2025"/>
    <x v="85"/>
    <x v="85"/>
    <x v="20"/>
    <x v="0"/>
    <x v="2"/>
    <x v="161"/>
    <x v="161"/>
    <x v="1"/>
    <x v="1"/>
    <x v="20"/>
    <x v="21"/>
    <x v="0"/>
    <x v="786"/>
    <x v="1"/>
    <x v="84"/>
  </r>
  <r>
    <s v="SUPER"/>
    <s v="HO"/>
    <s v="04/09/2025"/>
    <s v="01/08/2025-31/08/2025"/>
    <x v="10"/>
    <x v="10"/>
    <x v="9"/>
    <x v="0"/>
    <x v="3"/>
    <x v="462"/>
    <x v="462"/>
    <x v="7"/>
    <x v="7"/>
    <x v="18"/>
    <x v="1"/>
    <x v="0"/>
    <x v="787"/>
    <x v="27"/>
    <x v="9"/>
  </r>
  <r>
    <s v="SUPER"/>
    <s v="HO"/>
    <s v="04/09/2025"/>
    <s v="01/08/2025-31/08/2025"/>
    <x v="28"/>
    <x v="28"/>
    <x v="11"/>
    <x v="0"/>
    <x v="3"/>
    <x v="252"/>
    <x v="252"/>
    <x v="68"/>
    <x v="68"/>
    <x v="20"/>
    <x v="21"/>
    <x v="0"/>
    <x v="788"/>
    <x v="11"/>
    <x v="27"/>
  </r>
  <r>
    <s v="SUPER"/>
    <s v="HO"/>
    <s v="04/09/2025"/>
    <s v="01/08/2025-31/08/2025"/>
    <x v="28"/>
    <x v="28"/>
    <x v="11"/>
    <x v="0"/>
    <x v="3"/>
    <x v="338"/>
    <x v="338"/>
    <x v="68"/>
    <x v="68"/>
    <x v="20"/>
    <x v="21"/>
    <x v="1"/>
    <x v="788"/>
    <x v="11"/>
    <x v="27"/>
  </r>
  <r>
    <s v="SUPER"/>
    <s v="HO"/>
    <s v="04/09/2025"/>
    <s v="01/08/2025-31/08/2025"/>
    <x v="45"/>
    <x v="45"/>
    <x v="14"/>
    <x v="0"/>
    <x v="3"/>
    <x v="463"/>
    <x v="463"/>
    <x v="1"/>
    <x v="1"/>
    <x v="20"/>
    <x v="21"/>
    <x v="0"/>
    <x v="789"/>
    <x v="10"/>
    <x v="44"/>
  </r>
  <r>
    <s v="SUPER"/>
    <s v="HO"/>
    <s v="04/09/2025"/>
    <s v="01/08/2025-31/08/2025"/>
    <x v="65"/>
    <x v="65"/>
    <x v="22"/>
    <x v="0"/>
    <x v="2"/>
    <x v="22"/>
    <x v="22"/>
    <x v="1"/>
    <x v="1"/>
    <x v="20"/>
    <x v="0"/>
    <x v="0"/>
    <x v="790"/>
    <x v="3"/>
    <x v="64"/>
  </r>
  <r>
    <s v="SUPER"/>
    <s v="HO"/>
    <s v="04/09/2025"/>
    <s v="01/08/2025-31/08/2025"/>
    <x v="60"/>
    <x v="60"/>
    <x v="21"/>
    <x v="0"/>
    <x v="2"/>
    <x v="22"/>
    <x v="22"/>
    <x v="1"/>
    <x v="1"/>
    <x v="20"/>
    <x v="0"/>
    <x v="0"/>
    <x v="791"/>
    <x v="3"/>
    <x v="59"/>
  </r>
  <r>
    <s v="SUPER"/>
    <s v="HO"/>
    <s v="04/09/2025"/>
    <s v="01/08/2025-31/08/2025"/>
    <x v="95"/>
    <x v="95"/>
    <x v="14"/>
    <x v="0"/>
    <x v="3"/>
    <x v="64"/>
    <x v="64"/>
    <x v="1"/>
    <x v="1"/>
    <x v="20"/>
    <x v="0"/>
    <x v="0"/>
    <x v="792"/>
    <x v="3"/>
    <x v="94"/>
  </r>
  <r>
    <s v="SUPER"/>
    <s v="HO"/>
    <s v="04/09/2025"/>
    <s v="01/08/2025-31/08/2025"/>
    <x v="95"/>
    <x v="95"/>
    <x v="14"/>
    <x v="0"/>
    <x v="3"/>
    <x v="40"/>
    <x v="40"/>
    <x v="1"/>
    <x v="1"/>
    <x v="20"/>
    <x v="0"/>
    <x v="1"/>
    <x v="792"/>
    <x v="3"/>
    <x v="94"/>
  </r>
  <r>
    <s v="SUPER"/>
    <s v="HO"/>
    <s v="04/09/2025"/>
    <s v="01/08/2025-31/08/2025"/>
    <x v="95"/>
    <x v="95"/>
    <x v="14"/>
    <x v="0"/>
    <x v="3"/>
    <x v="64"/>
    <x v="64"/>
    <x v="1"/>
    <x v="1"/>
    <x v="20"/>
    <x v="0"/>
    <x v="0"/>
    <x v="793"/>
    <x v="3"/>
    <x v="94"/>
  </r>
  <r>
    <s v="SUPER"/>
    <s v="HO"/>
    <s v="04/09/2025"/>
    <s v="01/08/2025-31/08/2025"/>
    <x v="27"/>
    <x v="27"/>
    <x v="16"/>
    <x v="0"/>
    <x v="1"/>
    <x v="64"/>
    <x v="64"/>
    <x v="76"/>
    <x v="76"/>
    <x v="22"/>
    <x v="21"/>
    <x v="0"/>
    <x v="794"/>
    <x v="4"/>
    <x v="26"/>
  </r>
  <r>
    <s v="SUPER"/>
    <s v="HO"/>
    <s v="04/09/2025"/>
    <s v="01/08/2025-31/08/2025"/>
    <x v="60"/>
    <x v="60"/>
    <x v="21"/>
    <x v="0"/>
    <x v="2"/>
    <x v="240"/>
    <x v="240"/>
    <x v="1"/>
    <x v="1"/>
    <x v="20"/>
    <x v="0"/>
    <x v="0"/>
    <x v="795"/>
    <x v="3"/>
    <x v="59"/>
  </r>
  <r>
    <s v="SUPER"/>
    <s v="HO"/>
    <s v="04/09/2025"/>
    <s v="01/08/2025-31/08/2025"/>
    <x v="60"/>
    <x v="60"/>
    <x v="21"/>
    <x v="0"/>
    <x v="2"/>
    <x v="240"/>
    <x v="240"/>
    <x v="1"/>
    <x v="1"/>
    <x v="20"/>
    <x v="0"/>
    <x v="0"/>
    <x v="796"/>
    <x v="3"/>
    <x v="59"/>
  </r>
  <r>
    <s v="SUPER"/>
    <s v="HO"/>
    <s v="04/09/2025"/>
    <s v="01/08/2025-31/08/2025"/>
    <x v="56"/>
    <x v="56"/>
    <x v="20"/>
    <x v="0"/>
    <x v="2"/>
    <x v="2"/>
    <x v="2"/>
    <x v="47"/>
    <x v="47"/>
    <x v="22"/>
    <x v="21"/>
    <x v="0"/>
    <x v="797"/>
    <x v="1"/>
    <x v="55"/>
  </r>
  <r>
    <s v="SUPER"/>
    <s v="HO"/>
    <s v="04/09/2025"/>
    <s v="01/08/2025-31/08/2025"/>
    <x v="56"/>
    <x v="56"/>
    <x v="20"/>
    <x v="0"/>
    <x v="2"/>
    <x v="87"/>
    <x v="87"/>
    <x v="47"/>
    <x v="47"/>
    <x v="22"/>
    <x v="21"/>
    <x v="1"/>
    <x v="797"/>
    <x v="1"/>
    <x v="55"/>
  </r>
  <r>
    <s v="SUPER"/>
    <s v="HO"/>
    <s v="04/09/2025"/>
    <s v="01/08/2025-31/08/2025"/>
    <x v="116"/>
    <x v="116"/>
    <x v="25"/>
    <x v="0"/>
    <x v="2"/>
    <x v="2"/>
    <x v="2"/>
    <x v="118"/>
    <x v="118"/>
    <x v="22"/>
    <x v="21"/>
    <x v="0"/>
    <x v="798"/>
    <x v="4"/>
    <x v="115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0"/>
    <x v="799"/>
    <x v="26"/>
    <x v="106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1"/>
    <x v="799"/>
    <x v="26"/>
    <x v="106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2"/>
    <x v="799"/>
    <x v="26"/>
    <x v="106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3"/>
    <x v="799"/>
    <x v="26"/>
    <x v="106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4"/>
    <x v="799"/>
    <x v="26"/>
    <x v="106"/>
  </r>
  <r>
    <s v="SUPER"/>
    <s v="HO"/>
    <s v="04/09/2025"/>
    <s v="01/08/2025-31/08/2025"/>
    <x v="107"/>
    <x v="107"/>
    <x v="12"/>
    <x v="0"/>
    <x v="3"/>
    <x v="318"/>
    <x v="318"/>
    <x v="105"/>
    <x v="105"/>
    <x v="26"/>
    <x v="14"/>
    <x v="5"/>
    <x v="799"/>
    <x v="26"/>
    <x v="106"/>
  </r>
  <r>
    <s v="SUPER"/>
    <s v="HO"/>
    <s v="04/09/2025"/>
    <s v="01/08/2025-31/08/2025"/>
    <x v="107"/>
    <x v="107"/>
    <x v="12"/>
    <x v="0"/>
    <x v="3"/>
    <x v="404"/>
    <x v="404"/>
    <x v="105"/>
    <x v="105"/>
    <x v="26"/>
    <x v="14"/>
    <x v="6"/>
    <x v="799"/>
    <x v="26"/>
    <x v="106"/>
  </r>
  <r>
    <s v="SUPER"/>
    <s v="HO"/>
    <s v="04/09/2025"/>
    <s v="01/08/2025-31/08/2025"/>
    <x v="54"/>
    <x v="54"/>
    <x v="14"/>
    <x v="0"/>
    <x v="3"/>
    <x v="318"/>
    <x v="318"/>
    <x v="156"/>
    <x v="156"/>
    <x v="25"/>
    <x v="15"/>
    <x v="0"/>
    <x v="800"/>
    <x v="12"/>
    <x v="53"/>
  </r>
  <r>
    <s v="SUPER"/>
    <s v="HO"/>
    <s v="04/09/2025"/>
    <s v="01/08/2025-31/08/2025"/>
    <x v="54"/>
    <x v="54"/>
    <x v="14"/>
    <x v="0"/>
    <x v="3"/>
    <x v="318"/>
    <x v="318"/>
    <x v="156"/>
    <x v="156"/>
    <x v="25"/>
    <x v="15"/>
    <x v="1"/>
    <x v="800"/>
    <x v="12"/>
    <x v="53"/>
  </r>
  <r>
    <s v="SUPER"/>
    <s v="HO"/>
    <s v="04/09/2025"/>
    <s v="01/08/2025-31/08/2025"/>
    <x v="54"/>
    <x v="54"/>
    <x v="14"/>
    <x v="0"/>
    <x v="3"/>
    <x v="318"/>
    <x v="318"/>
    <x v="156"/>
    <x v="156"/>
    <x v="25"/>
    <x v="15"/>
    <x v="2"/>
    <x v="800"/>
    <x v="12"/>
    <x v="53"/>
  </r>
  <r>
    <s v="SUPER"/>
    <s v="HO"/>
    <s v="04/09/2025"/>
    <s v="01/08/2025-31/08/2025"/>
    <x v="54"/>
    <x v="54"/>
    <x v="14"/>
    <x v="0"/>
    <x v="3"/>
    <x v="318"/>
    <x v="318"/>
    <x v="156"/>
    <x v="156"/>
    <x v="25"/>
    <x v="15"/>
    <x v="3"/>
    <x v="800"/>
    <x v="12"/>
    <x v="53"/>
  </r>
  <r>
    <s v="SUPER"/>
    <s v="HO"/>
    <s v="04/09/2025"/>
    <s v="01/08/2025-31/08/2025"/>
    <x v="54"/>
    <x v="54"/>
    <x v="14"/>
    <x v="0"/>
    <x v="3"/>
    <x v="76"/>
    <x v="76"/>
    <x v="156"/>
    <x v="156"/>
    <x v="25"/>
    <x v="15"/>
    <x v="4"/>
    <x v="800"/>
    <x v="12"/>
    <x v="53"/>
  </r>
  <r>
    <s v="SUPER"/>
    <s v="HO"/>
    <s v="04/09/2025"/>
    <s v="01/08/2025-31/08/2025"/>
    <x v="34"/>
    <x v="34"/>
    <x v="17"/>
    <x v="0"/>
    <x v="3"/>
    <x v="464"/>
    <x v="464"/>
    <x v="1"/>
    <x v="1"/>
    <x v="26"/>
    <x v="14"/>
    <x v="0"/>
    <x v="801"/>
    <x v="20"/>
    <x v="33"/>
  </r>
  <r>
    <s v="SUPER"/>
    <s v="HO"/>
    <s v="04/09/2025"/>
    <s v="01/08/2025-31/08/2025"/>
    <x v="46"/>
    <x v="46"/>
    <x v="9"/>
    <x v="0"/>
    <x v="3"/>
    <x v="341"/>
    <x v="341"/>
    <x v="71"/>
    <x v="71"/>
    <x v="22"/>
    <x v="21"/>
    <x v="0"/>
    <x v="802"/>
    <x v="4"/>
    <x v="45"/>
  </r>
  <r>
    <s v="SUPER"/>
    <s v="HO"/>
    <s v="04/09/2025"/>
    <s v="01/08/2025-31/08/2025"/>
    <x v="131"/>
    <x v="131"/>
    <x v="20"/>
    <x v="0"/>
    <x v="2"/>
    <x v="161"/>
    <x v="161"/>
    <x v="1"/>
    <x v="1"/>
    <x v="22"/>
    <x v="21"/>
    <x v="0"/>
    <x v="803"/>
    <x v="1"/>
    <x v="130"/>
  </r>
  <r>
    <s v="SUPER"/>
    <s v="HO"/>
    <s v="04/09/2025"/>
    <s v="01/08/2025-31/08/2025"/>
    <x v="89"/>
    <x v="89"/>
    <x v="21"/>
    <x v="0"/>
    <x v="2"/>
    <x v="161"/>
    <x v="161"/>
    <x v="83"/>
    <x v="83"/>
    <x v="22"/>
    <x v="21"/>
    <x v="0"/>
    <x v="804"/>
    <x v="4"/>
    <x v="88"/>
  </r>
  <r>
    <s v="SUPER"/>
    <s v="HO"/>
    <s v="04/09/2025"/>
    <s v="01/08/2025-31/08/2025"/>
    <x v="82"/>
    <x v="82"/>
    <x v="11"/>
    <x v="0"/>
    <x v="3"/>
    <x v="51"/>
    <x v="51"/>
    <x v="1"/>
    <x v="1"/>
    <x v="19"/>
    <x v="6"/>
    <x v="0"/>
    <x v="805"/>
    <x v="11"/>
    <x v="81"/>
  </r>
  <r>
    <s v="SUPER"/>
    <s v="HO"/>
    <s v="04/09/2025"/>
    <s v="01/08/2025-31/08/2025"/>
    <x v="24"/>
    <x v="24"/>
    <x v="12"/>
    <x v="0"/>
    <x v="3"/>
    <x v="160"/>
    <x v="160"/>
    <x v="20"/>
    <x v="20"/>
    <x v="19"/>
    <x v="1"/>
    <x v="0"/>
    <x v="806"/>
    <x v="10"/>
    <x v="23"/>
  </r>
  <r>
    <s v="SUPER"/>
    <s v="HO"/>
    <s v="04/09/2025"/>
    <s v="01/08/2025-31/08/2025"/>
    <x v="31"/>
    <x v="31"/>
    <x v="17"/>
    <x v="0"/>
    <x v="3"/>
    <x v="122"/>
    <x v="122"/>
    <x v="42"/>
    <x v="42"/>
    <x v="26"/>
    <x v="15"/>
    <x v="0"/>
    <x v="807"/>
    <x v="22"/>
    <x v="30"/>
  </r>
  <r>
    <s v="SUPER"/>
    <s v="HO"/>
    <s v="04/09/2025"/>
    <s v="01/08/2025-31/08/2025"/>
    <x v="117"/>
    <x v="117"/>
    <x v="9"/>
    <x v="0"/>
    <x v="3"/>
    <x v="439"/>
    <x v="439"/>
    <x v="1"/>
    <x v="1"/>
    <x v="22"/>
    <x v="21"/>
    <x v="0"/>
    <x v="808"/>
    <x v="11"/>
    <x v="116"/>
  </r>
  <r>
    <s v="SUPER"/>
    <s v="HO"/>
    <s v="04/09/2025"/>
    <s v="01/08/2025-31/08/2025"/>
    <x v="117"/>
    <x v="117"/>
    <x v="9"/>
    <x v="0"/>
    <x v="3"/>
    <x v="465"/>
    <x v="465"/>
    <x v="1"/>
    <x v="1"/>
    <x v="22"/>
    <x v="21"/>
    <x v="1"/>
    <x v="808"/>
    <x v="11"/>
    <x v="116"/>
  </r>
  <r>
    <s v="SUPER"/>
    <s v="HO"/>
    <s v="04/09/2025"/>
    <s v="01/08/2025-31/08/2025"/>
    <x v="117"/>
    <x v="117"/>
    <x v="9"/>
    <x v="0"/>
    <x v="3"/>
    <x v="466"/>
    <x v="466"/>
    <x v="1"/>
    <x v="1"/>
    <x v="22"/>
    <x v="21"/>
    <x v="2"/>
    <x v="808"/>
    <x v="11"/>
    <x v="116"/>
  </r>
  <r>
    <s v="SUPER"/>
    <s v="HO"/>
    <s v="04/09/2025"/>
    <s v="01/08/2025-31/08/2025"/>
    <x v="117"/>
    <x v="117"/>
    <x v="9"/>
    <x v="0"/>
    <x v="3"/>
    <x v="318"/>
    <x v="318"/>
    <x v="1"/>
    <x v="1"/>
    <x v="22"/>
    <x v="21"/>
    <x v="3"/>
    <x v="808"/>
    <x v="11"/>
    <x v="116"/>
  </r>
  <r>
    <s v="SUPER"/>
    <s v="HO"/>
    <s v="04/09/2025"/>
    <s v="01/08/2025-31/08/2025"/>
    <x v="117"/>
    <x v="117"/>
    <x v="9"/>
    <x v="0"/>
    <x v="3"/>
    <x v="44"/>
    <x v="44"/>
    <x v="1"/>
    <x v="1"/>
    <x v="22"/>
    <x v="21"/>
    <x v="4"/>
    <x v="808"/>
    <x v="11"/>
    <x v="116"/>
  </r>
  <r>
    <s v="SUPER"/>
    <s v="HO"/>
    <s v="04/09/2025"/>
    <s v="01/08/2025-31/08/2025"/>
    <x v="60"/>
    <x v="60"/>
    <x v="21"/>
    <x v="0"/>
    <x v="2"/>
    <x v="22"/>
    <x v="22"/>
    <x v="1"/>
    <x v="1"/>
    <x v="22"/>
    <x v="0"/>
    <x v="0"/>
    <x v="809"/>
    <x v="3"/>
    <x v="59"/>
  </r>
  <r>
    <s v="SUPER"/>
    <s v="HO"/>
    <s v="04/09/2025"/>
    <s v="01/08/2025-31/08/2025"/>
    <x v="65"/>
    <x v="65"/>
    <x v="22"/>
    <x v="0"/>
    <x v="2"/>
    <x v="467"/>
    <x v="467"/>
    <x v="1"/>
    <x v="1"/>
    <x v="22"/>
    <x v="0"/>
    <x v="0"/>
    <x v="810"/>
    <x v="3"/>
    <x v="64"/>
  </r>
  <r>
    <s v="SUPER"/>
    <s v="HO"/>
    <s v="04/09/2025"/>
    <s v="01/08/2025-31/08/2025"/>
    <x v="65"/>
    <x v="65"/>
    <x v="22"/>
    <x v="0"/>
    <x v="2"/>
    <x v="468"/>
    <x v="468"/>
    <x v="1"/>
    <x v="1"/>
    <x v="22"/>
    <x v="0"/>
    <x v="1"/>
    <x v="810"/>
    <x v="3"/>
    <x v="64"/>
  </r>
  <r>
    <s v="SUPER"/>
    <s v="HO"/>
    <s v="04/09/2025"/>
    <s v="01/08/2025-31/08/2025"/>
    <x v="105"/>
    <x v="105"/>
    <x v="5"/>
    <x v="0"/>
    <x v="2"/>
    <x v="29"/>
    <x v="29"/>
    <x v="1"/>
    <x v="1"/>
    <x v="22"/>
    <x v="0"/>
    <x v="0"/>
    <x v="811"/>
    <x v="3"/>
    <x v="104"/>
  </r>
  <r>
    <s v="SUPER"/>
    <s v="HO"/>
    <s v="04/09/2025"/>
    <s v="01/08/2025-31/08/2025"/>
    <x v="89"/>
    <x v="89"/>
    <x v="21"/>
    <x v="0"/>
    <x v="2"/>
    <x v="161"/>
    <x v="161"/>
    <x v="83"/>
    <x v="83"/>
    <x v="21"/>
    <x v="21"/>
    <x v="0"/>
    <x v="812"/>
    <x v="4"/>
    <x v="88"/>
  </r>
  <r>
    <s v="SUPER"/>
    <s v="HO"/>
    <s v="04/09/2025"/>
    <s v="01/08/2025-31/08/2025"/>
    <x v="85"/>
    <x v="85"/>
    <x v="20"/>
    <x v="0"/>
    <x v="2"/>
    <x v="161"/>
    <x v="161"/>
    <x v="1"/>
    <x v="1"/>
    <x v="21"/>
    <x v="21"/>
    <x v="0"/>
    <x v="813"/>
    <x v="1"/>
    <x v="84"/>
  </r>
  <r>
    <s v="SUPER"/>
    <s v="HO"/>
    <s v="04/09/2025"/>
    <s v="01/08/2025-31/08/2025"/>
    <x v="8"/>
    <x v="8"/>
    <x v="7"/>
    <x v="0"/>
    <x v="1"/>
    <x v="8"/>
    <x v="8"/>
    <x v="5"/>
    <x v="5"/>
    <x v="21"/>
    <x v="21"/>
    <x v="0"/>
    <x v="814"/>
    <x v="1"/>
    <x v="7"/>
  </r>
  <r>
    <s v="SUPER"/>
    <s v="HO"/>
    <s v="04/09/2025"/>
    <s v="01/08/2025-31/08/2025"/>
    <x v="60"/>
    <x v="60"/>
    <x v="21"/>
    <x v="0"/>
    <x v="2"/>
    <x v="22"/>
    <x v="22"/>
    <x v="1"/>
    <x v="1"/>
    <x v="21"/>
    <x v="0"/>
    <x v="0"/>
    <x v="815"/>
    <x v="3"/>
    <x v="59"/>
  </r>
  <r>
    <s v="SUPER"/>
    <s v="HO"/>
    <s v="04/09/2025"/>
    <s v="01/08/2025-31/08/2025"/>
    <x v="11"/>
    <x v="11"/>
    <x v="1"/>
    <x v="0"/>
    <x v="0"/>
    <x v="52"/>
    <x v="52"/>
    <x v="9"/>
    <x v="9"/>
    <x v="21"/>
    <x v="21"/>
    <x v="0"/>
    <x v="816"/>
    <x v="10"/>
    <x v="10"/>
  </r>
  <r>
    <s v="SUPER"/>
    <s v="HO"/>
    <s v="04/09/2025"/>
    <s v="01/08/2025-31/08/2025"/>
    <x v="19"/>
    <x v="19"/>
    <x v="6"/>
    <x v="0"/>
    <x v="0"/>
    <x v="160"/>
    <x v="160"/>
    <x v="17"/>
    <x v="17"/>
    <x v="21"/>
    <x v="21"/>
    <x v="0"/>
    <x v="817"/>
    <x v="1"/>
    <x v="18"/>
  </r>
  <r>
    <s v="SUPER"/>
    <s v="HO"/>
    <s v="04/09/2025"/>
    <s v="01/08/2025-31/08/2025"/>
    <x v="19"/>
    <x v="19"/>
    <x v="6"/>
    <x v="0"/>
    <x v="0"/>
    <x v="160"/>
    <x v="160"/>
    <x v="17"/>
    <x v="17"/>
    <x v="21"/>
    <x v="21"/>
    <x v="1"/>
    <x v="817"/>
    <x v="1"/>
    <x v="18"/>
  </r>
  <r>
    <s v="SUPER"/>
    <s v="HO"/>
    <s v="04/09/2025"/>
    <s v="01/08/2025-31/08/2025"/>
    <x v="116"/>
    <x v="116"/>
    <x v="25"/>
    <x v="0"/>
    <x v="2"/>
    <x v="2"/>
    <x v="2"/>
    <x v="118"/>
    <x v="118"/>
    <x v="21"/>
    <x v="21"/>
    <x v="0"/>
    <x v="818"/>
    <x v="4"/>
    <x v="115"/>
  </r>
  <r>
    <s v="SUPER"/>
    <s v="HO"/>
    <s v="04/09/2025"/>
    <s v="01/08/2025-31/08/2025"/>
    <x v="54"/>
    <x v="54"/>
    <x v="14"/>
    <x v="0"/>
    <x v="3"/>
    <x v="469"/>
    <x v="469"/>
    <x v="1"/>
    <x v="1"/>
    <x v="21"/>
    <x v="21"/>
    <x v="0"/>
    <x v="819"/>
    <x v="10"/>
    <x v="53"/>
  </r>
  <r>
    <s v="SUPER"/>
    <s v="HO"/>
    <s v="04/09/2025"/>
    <s v="01/08/2025-31/08/2025"/>
    <x v="11"/>
    <x v="11"/>
    <x v="1"/>
    <x v="0"/>
    <x v="0"/>
    <x v="470"/>
    <x v="470"/>
    <x v="9"/>
    <x v="9"/>
    <x v="21"/>
    <x v="21"/>
    <x v="0"/>
    <x v="820"/>
    <x v="10"/>
    <x v="10"/>
  </r>
  <r>
    <s v="SUPER"/>
    <s v="HO"/>
    <s v="04/09/2025"/>
    <s v="01/08/2025-31/08/2025"/>
    <x v="19"/>
    <x v="19"/>
    <x v="6"/>
    <x v="0"/>
    <x v="0"/>
    <x v="30"/>
    <x v="30"/>
    <x v="17"/>
    <x v="17"/>
    <x v="29"/>
    <x v="1"/>
    <x v="0"/>
    <x v="821"/>
    <x v="10"/>
    <x v="18"/>
  </r>
  <r>
    <s v="SUPER"/>
    <s v="HO"/>
    <s v="04/09/2025"/>
    <s v="01/08/2025-31/08/2025"/>
    <x v="8"/>
    <x v="8"/>
    <x v="7"/>
    <x v="0"/>
    <x v="1"/>
    <x v="113"/>
    <x v="113"/>
    <x v="5"/>
    <x v="5"/>
    <x v="24"/>
    <x v="21"/>
    <x v="0"/>
    <x v="822"/>
    <x v="1"/>
    <x v="7"/>
  </r>
  <r>
    <s v="SUPER"/>
    <s v="HO"/>
    <s v="04/09/2025"/>
    <s v="01/08/2025-31/08/2025"/>
    <x v="8"/>
    <x v="8"/>
    <x v="7"/>
    <x v="0"/>
    <x v="1"/>
    <x v="8"/>
    <x v="8"/>
    <x v="5"/>
    <x v="5"/>
    <x v="24"/>
    <x v="21"/>
    <x v="1"/>
    <x v="822"/>
    <x v="1"/>
    <x v="7"/>
  </r>
  <r>
    <s v="SUPER"/>
    <s v="HO"/>
    <s v="04/09/2025"/>
    <s v="01/08/2025-31/08/2025"/>
    <x v="8"/>
    <x v="8"/>
    <x v="7"/>
    <x v="0"/>
    <x v="1"/>
    <x v="38"/>
    <x v="38"/>
    <x v="5"/>
    <x v="5"/>
    <x v="24"/>
    <x v="21"/>
    <x v="2"/>
    <x v="822"/>
    <x v="1"/>
    <x v="7"/>
  </r>
  <r>
    <s v="SUPER"/>
    <s v="HO"/>
    <s v="04/09/2025"/>
    <s v="01/08/2025-31/08/2025"/>
    <x v="116"/>
    <x v="116"/>
    <x v="25"/>
    <x v="0"/>
    <x v="2"/>
    <x v="2"/>
    <x v="2"/>
    <x v="118"/>
    <x v="118"/>
    <x v="24"/>
    <x v="21"/>
    <x v="0"/>
    <x v="823"/>
    <x v="1"/>
    <x v="115"/>
  </r>
  <r>
    <s v="SUPER"/>
    <s v="HO"/>
    <s v="04/09/2025"/>
    <s v="01/08/2025-31/08/2025"/>
    <x v="131"/>
    <x v="131"/>
    <x v="20"/>
    <x v="0"/>
    <x v="2"/>
    <x v="2"/>
    <x v="2"/>
    <x v="1"/>
    <x v="1"/>
    <x v="24"/>
    <x v="21"/>
    <x v="0"/>
    <x v="824"/>
    <x v="1"/>
    <x v="130"/>
  </r>
  <r>
    <s v="SUPER"/>
    <s v="HO"/>
    <s v="04/09/2025"/>
    <s v="01/08/2025-31/08/2025"/>
    <x v="89"/>
    <x v="89"/>
    <x v="21"/>
    <x v="0"/>
    <x v="2"/>
    <x v="161"/>
    <x v="161"/>
    <x v="83"/>
    <x v="83"/>
    <x v="24"/>
    <x v="21"/>
    <x v="0"/>
    <x v="825"/>
    <x v="1"/>
    <x v="88"/>
  </r>
  <r>
    <s v="SUPER"/>
    <s v="HO"/>
    <s v="04/09/2025"/>
    <s v="01/08/2025-31/08/2025"/>
    <x v="126"/>
    <x v="126"/>
    <x v="14"/>
    <x v="0"/>
    <x v="3"/>
    <x v="64"/>
    <x v="64"/>
    <x v="1"/>
    <x v="1"/>
    <x v="24"/>
    <x v="21"/>
    <x v="0"/>
    <x v="826"/>
    <x v="1"/>
    <x v="125"/>
  </r>
  <r>
    <s v="SUPER"/>
    <s v="HO"/>
    <s v="04/09/2025"/>
    <s v="01/08/2025-31/08/2025"/>
    <x v="6"/>
    <x v="6"/>
    <x v="5"/>
    <x v="0"/>
    <x v="2"/>
    <x v="389"/>
    <x v="389"/>
    <x v="1"/>
    <x v="1"/>
    <x v="24"/>
    <x v="0"/>
    <x v="0"/>
    <x v="827"/>
    <x v="3"/>
    <x v="5"/>
  </r>
  <r>
    <s v="SUPER"/>
    <s v="HO"/>
    <s v="04/09/2025"/>
    <s v="01/08/2025-31/08/2025"/>
    <x v="65"/>
    <x v="65"/>
    <x v="22"/>
    <x v="0"/>
    <x v="2"/>
    <x v="240"/>
    <x v="240"/>
    <x v="1"/>
    <x v="1"/>
    <x v="24"/>
    <x v="0"/>
    <x v="0"/>
    <x v="828"/>
    <x v="4"/>
    <x v="64"/>
  </r>
  <r>
    <s v="SUPER"/>
    <s v="HO"/>
    <s v="04/09/2025"/>
    <s v="01/08/2025-31/08/2025"/>
    <x v="114"/>
    <x v="114"/>
    <x v="13"/>
    <x v="0"/>
    <x v="4"/>
    <x v="6"/>
    <x v="6"/>
    <x v="116"/>
    <x v="116"/>
    <x v="29"/>
    <x v="1"/>
    <x v="0"/>
    <x v="829"/>
    <x v="3"/>
    <x v="113"/>
  </r>
  <r>
    <s v="SUPER"/>
    <s v="HO"/>
    <s v="04/09/2025"/>
    <s v="01/08/2025-31/08/2025"/>
    <x v="49"/>
    <x v="49"/>
    <x v="11"/>
    <x v="0"/>
    <x v="3"/>
    <x v="113"/>
    <x v="113"/>
    <x v="1"/>
    <x v="1"/>
    <x v="24"/>
    <x v="21"/>
    <x v="0"/>
    <x v="830"/>
    <x v="1"/>
    <x v="48"/>
  </r>
  <r>
    <s v="SUPER"/>
    <s v="HO"/>
    <s v="04/09/2025"/>
    <s v="01/08/2025-31/08/2025"/>
    <x v="45"/>
    <x v="45"/>
    <x v="14"/>
    <x v="0"/>
    <x v="3"/>
    <x v="396"/>
    <x v="396"/>
    <x v="1"/>
    <x v="1"/>
    <x v="29"/>
    <x v="1"/>
    <x v="0"/>
    <x v="831"/>
    <x v="10"/>
    <x v="44"/>
  </r>
  <r>
    <s v="SUPER"/>
    <s v="HO"/>
    <s v="04/09/2025"/>
    <s v="01/08/2025-31/08/2025"/>
    <x v="19"/>
    <x v="19"/>
    <x v="6"/>
    <x v="0"/>
    <x v="0"/>
    <x v="285"/>
    <x v="285"/>
    <x v="17"/>
    <x v="17"/>
    <x v="24"/>
    <x v="21"/>
    <x v="0"/>
    <x v="832"/>
    <x v="4"/>
    <x v="18"/>
  </r>
  <r>
    <s v="SUPER"/>
    <s v="HO"/>
    <s v="04/09/2025"/>
    <s v="01/08/2025-31/08/2025"/>
    <x v="28"/>
    <x v="28"/>
    <x v="11"/>
    <x v="0"/>
    <x v="3"/>
    <x v="378"/>
    <x v="378"/>
    <x v="77"/>
    <x v="77"/>
    <x v="24"/>
    <x v="21"/>
    <x v="0"/>
    <x v="833"/>
    <x v="10"/>
    <x v="27"/>
  </r>
  <r>
    <s v="SUPER"/>
    <s v="HO"/>
    <s v="04/09/2025"/>
    <s v="01/08/2025-31/08/2025"/>
    <x v="24"/>
    <x v="24"/>
    <x v="12"/>
    <x v="0"/>
    <x v="3"/>
    <x v="378"/>
    <x v="378"/>
    <x v="20"/>
    <x v="20"/>
    <x v="24"/>
    <x v="21"/>
    <x v="0"/>
    <x v="834"/>
    <x v="10"/>
    <x v="23"/>
  </r>
  <r>
    <s v="SUPER"/>
    <s v="HO"/>
    <s v="04/09/2025"/>
    <s v="01/08/2025-31/08/2025"/>
    <x v="22"/>
    <x v="22"/>
    <x v="14"/>
    <x v="0"/>
    <x v="3"/>
    <x v="167"/>
    <x v="167"/>
    <x v="46"/>
    <x v="46"/>
    <x v="24"/>
    <x v="21"/>
    <x v="0"/>
    <x v="835"/>
    <x v="10"/>
    <x v="21"/>
  </r>
  <r>
    <s v="SUPER"/>
    <s v="HO"/>
    <s v="04/09/2025"/>
    <s v="01/08/2025-31/08/2025"/>
    <x v="8"/>
    <x v="8"/>
    <x v="7"/>
    <x v="0"/>
    <x v="1"/>
    <x v="471"/>
    <x v="471"/>
    <x v="5"/>
    <x v="5"/>
    <x v="24"/>
    <x v="21"/>
    <x v="0"/>
    <x v="836"/>
    <x v="10"/>
    <x v="7"/>
  </r>
  <r>
    <s v="SUPER"/>
    <s v="HO"/>
    <s v="04/09/2025"/>
    <s v="01/08/2025-31/08/2025"/>
    <x v="8"/>
    <x v="8"/>
    <x v="7"/>
    <x v="0"/>
    <x v="1"/>
    <x v="5"/>
    <x v="5"/>
    <x v="5"/>
    <x v="5"/>
    <x v="24"/>
    <x v="21"/>
    <x v="1"/>
    <x v="836"/>
    <x v="10"/>
    <x v="7"/>
  </r>
  <r>
    <s v="SUPER"/>
    <s v="HO"/>
    <s v="04/09/2025"/>
    <s v="01/08/2025-31/08/2025"/>
    <x v="8"/>
    <x v="8"/>
    <x v="7"/>
    <x v="0"/>
    <x v="1"/>
    <x v="472"/>
    <x v="472"/>
    <x v="5"/>
    <x v="5"/>
    <x v="24"/>
    <x v="21"/>
    <x v="2"/>
    <x v="836"/>
    <x v="10"/>
    <x v="7"/>
  </r>
  <r>
    <s v="SUPER"/>
    <s v="HO"/>
    <s v="04/09/2025"/>
    <s v="01/08/2025-31/08/2025"/>
    <x v="60"/>
    <x v="60"/>
    <x v="21"/>
    <x v="0"/>
    <x v="2"/>
    <x v="281"/>
    <x v="281"/>
    <x v="1"/>
    <x v="1"/>
    <x v="25"/>
    <x v="0"/>
    <x v="0"/>
    <x v="837"/>
    <x v="3"/>
    <x v="59"/>
  </r>
  <r>
    <s v="SUPER"/>
    <s v="HO"/>
    <s v="04/09/2025"/>
    <s v="01/08/2025-31/08/2025"/>
    <x v="74"/>
    <x v="74"/>
    <x v="2"/>
    <x v="0"/>
    <x v="0"/>
    <x v="38"/>
    <x v="38"/>
    <x v="1"/>
    <x v="1"/>
    <x v="24"/>
    <x v="21"/>
    <x v="0"/>
    <x v="838"/>
    <x v="1"/>
    <x v="73"/>
  </r>
  <r>
    <s v="SUPER"/>
    <s v="HO"/>
    <s v="04/09/2025"/>
    <s v="01/08/2025-31/08/2025"/>
    <x v="74"/>
    <x v="74"/>
    <x v="2"/>
    <x v="0"/>
    <x v="0"/>
    <x v="161"/>
    <x v="161"/>
    <x v="1"/>
    <x v="1"/>
    <x v="24"/>
    <x v="21"/>
    <x v="1"/>
    <x v="838"/>
    <x v="1"/>
    <x v="73"/>
  </r>
  <r>
    <s v="SUPER"/>
    <s v="HO"/>
    <s v="04/09/2025"/>
    <s v="01/08/2025-31/08/2025"/>
    <x v="104"/>
    <x v="104"/>
    <x v="9"/>
    <x v="0"/>
    <x v="3"/>
    <x v="160"/>
    <x v="160"/>
    <x v="98"/>
    <x v="98"/>
    <x v="24"/>
    <x v="21"/>
    <x v="0"/>
    <x v="839"/>
    <x v="1"/>
    <x v="103"/>
  </r>
  <r>
    <s v="SUPER"/>
    <s v="HO"/>
    <s v="04/09/2025"/>
    <s v="01/08/2025-31/08/2025"/>
    <x v="45"/>
    <x v="45"/>
    <x v="14"/>
    <x v="0"/>
    <x v="3"/>
    <x v="30"/>
    <x v="30"/>
    <x v="1"/>
    <x v="1"/>
    <x v="28"/>
    <x v="1"/>
    <x v="0"/>
    <x v="840"/>
    <x v="10"/>
    <x v="44"/>
  </r>
  <r>
    <s v="SUPER"/>
    <s v="HO"/>
    <s v="04/09/2025"/>
    <s v="01/08/2025-31/08/2025"/>
    <x v="23"/>
    <x v="23"/>
    <x v="9"/>
    <x v="0"/>
    <x v="3"/>
    <x v="197"/>
    <x v="197"/>
    <x v="1"/>
    <x v="1"/>
    <x v="24"/>
    <x v="21"/>
    <x v="0"/>
    <x v="841"/>
    <x v="11"/>
    <x v="22"/>
  </r>
  <r>
    <s v="SUPER"/>
    <s v="HO"/>
    <s v="04/09/2025"/>
    <s v="01/08/2025-31/08/2025"/>
    <x v="23"/>
    <x v="23"/>
    <x v="9"/>
    <x v="0"/>
    <x v="3"/>
    <x v="40"/>
    <x v="40"/>
    <x v="1"/>
    <x v="1"/>
    <x v="24"/>
    <x v="21"/>
    <x v="1"/>
    <x v="841"/>
    <x v="3"/>
    <x v="22"/>
  </r>
  <r>
    <s v="SUPER"/>
    <s v="HO"/>
    <s v="04/09/2025"/>
    <s v="01/08/2025-31/08/2025"/>
    <x v="105"/>
    <x v="105"/>
    <x v="5"/>
    <x v="0"/>
    <x v="2"/>
    <x v="29"/>
    <x v="29"/>
    <x v="1"/>
    <x v="1"/>
    <x v="25"/>
    <x v="0"/>
    <x v="0"/>
    <x v="842"/>
    <x v="3"/>
    <x v="104"/>
  </r>
  <r>
    <s v="SUPER"/>
    <s v="HO"/>
    <s v="04/09/2025"/>
    <s v="01/08/2025-31/08/2025"/>
    <x v="60"/>
    <x v="60"/>
    <x v="21"/>
    <x v="0"/>
    <x v="2"/>
    <x v="240"/>
    <x v="240"/>
    <x v="1"/>
    <x v="1"/>
    <x v="25"/>
    <x v="0"/>
    <x v="0"/>
    <x v="843"/>
    <x v="3"/>
    <x v="59"/>
  </r>
  <r>
    <s v="SUPER"/>
    <s v="HO"/>
    <s v="04/09/2025"/>
    <s v="01/08/2025-31/08/2025"/>
    <x v="66"/>
    <x v="66"/>
    <x v="14"/>
    <x v="0"/>
    <x v="3"/>
    <x v="315"/>
    <x v="315"/>
    <x v="57"/>
    <x v="57"/>
    <x v="28"/>
    <x v="1"/>
    <x v="0"/>
    <x v="844"/>
    <x v="10"/>
    <x v="65"/>
  </r>
  <r>
    <s v="SUPER"/>
    <s v="HO"/>
    <s v="04/09/2025"/>
    <s v="01/08/2025-31/08/2025"/>
    <x v="102"/>
    <x v="102"/>
    <x v="9"/>
    <x v="0"/>
    <x v="3"/>
    <x v="30"/>
    <x v="30"/>
    <x v="1"/>
    <x v="1"/>
    <x v="28"/>
    <x v="1"/>
    <x v="0"/>
    <x v="845"/>
    <x v="10"/>
    <x v="101"/>
  </r>
  <r>
    <s v="SUPER"/>
    <s v="HO"/>
    <s v="04/09/2025"/>
    <s v="01/08/2025-31/08/2025"/>
    <x v="7"/>
    <x v="7"/>
    <x v="6"/>
    <x v="0"/>
    <x v="0"/>
    <x v="29"/>
    <x v="29"/>
    <x v="4"/>
    <x v="4"/>
    <x v="26"/>
    <x v="28"/>
    <x v="0"/>
    <x v="846"/>
    <x v="11"/>
    <x v="6"/>
  </r>
  <r>
    <s v="SUPER"/>
    <s v="HO"/>
    <s v="04/09/2025"/>
    <s v="01/08/2025-31/08/2025"/>
    <x v="85"/>
    <x v="85"/>
    <x v="20"/>
    <x v="0"/>
    <x v="2"/>
    <x v="161"/>
    <x v="161"/>
    <x v="1"/>
    <x v="1"/>
    <x v="25"/>
    <x v="21"/>
    <x v="0"/>
    <x v="847"/>
    <x v="1"/>
    <x v="84"/>
  </r>
  <r>
    <s v="SUPER"/>
    <s v="HO"/>
    <s v="04/09/2025"/>
    <s v="01/08/2025-31/08/2025"/>
    <x v="51"/>
    <x v="51"/>
    <x v="19"/>
    <x v="0"/>
    <x v="1"/>
    <x v="30"/>
    <x v="30"/>
    <x v="1"/>
    <x v="1"/>
    <x v="28"/>
    <x v="1"/>
    <x v="0"/>
    <x v="848"/>
    <x v="10"/>
    <x v="50"/>
  </r>
  <r>
    <s v="SUPER"/>
    <s v="HO"/>
    <s v="04/09/2025"/>
    <s v="01/08/2025-31/08/2025"/>
    <x v="88"/>
    <x v="88"/>
    <x v="9"/>
    <x v="0"/>
    <x v="3"/>
    <x v="38"/>
    <x v="38"/>
    <x v="1"/>
    <x v="1"/>
    <x v="25"/>
    <x v="21"/>
    <x v="0"/>
    <x v="849"/>
    <x v="1"/>
    <x v="87"/>
  </r>
  <r>
    <s v="SUPER"/>
    <s v="HO"/>
    <s v="04/09/2025"/>
    <s v="01/08/2025-31/08/2025"/>
    <x v="146"/>
    <x v="146"/>
    <x v="9"/>
    <x v="0"/>
    <x v="3"/>
    <x v="111"/>
    <x v="111"/>
    <x v="1"/>
    <x v="1"/>
    <x v="26"/>
    <x v="28"/>
    <x v="0"/>
    <x v="850"/>
    <x v="10"/>
    <x v="145"/>
  </r>
  <r>
    <s v="SUPER"/>
    <s v="HO"/>
    <s v="04/09/2025"/>
    <s v="01/08/2025-31/08/2025"/>
    <x v="68"/>
    <x v="68"/>
    <x v="6"/>
    <x v="0"/>
    <x v="0"/>
    <x v="473"/>
    <x v="473"/>
    <x v="56"/>
    <x v="56"/>
    <x v="17"/>
    <x v="15"/>
    <x v="0"/>
    <x v="851"/>
    <x v="22"/>
    <x v="67"/>
  </r>
  <r>
    <s v="SUPER"/>
    <s v="HO"/>
    <s v="04/09/2025"/>
    <s v="01/08/2025-31/08/2025"/>
    <x v="68"/>
    <x v="68"/>
    <x v="6"/>
    <x v="0"/>
    <x v="0"/>
    <x v="310"/>
    <x v="310"/>
    <x v="56"/>
    <x v="56"/>
    <x v="17"/>
    <x v="15"/>
    <x v="1"/>
    <x v="851"/>
    <x v="22"/>
    <x v="67"/>
  </r>
  <r>
    <s v="SUPER"/>
    <s v="HO"/>
    <s v="04/09/2025"/>
    <s v="01/08/2025-31/08/2025"/>
    <x v="15"/>
    <x v="15"/>
    <x v="11"/>
    <x v="0"/>
    <x v="3"/>
    <x v="474"/>
    <x v="474"/>
    <x v="13"/>
    <x v="13"/>
    <x v="28"/>
    <x v="1"/>
    <x v="0"/>
    <x v="852"/>
    <x v="3"/>
    <x v="14"/>
  </r>
  <r>
    <s v="SUPER"/>
    <s v="HO"/>
    <s v="04/09/2025"/>
    <s v="01/08/2025-31/08/2025"/>
    <x v="102"/>
    <x v="102"/>
    <x v="9"/>
    <x v="0"/>
    <x v="3"/>
    <x v="121"/>
    <x v="121"/>
    <x v="141"/>
    <x v="141"/>
    <x v="28"/>
    <x v="1"/>
    <x v="0"/>
    <x v="853"/>
    <x v="11"/>
    <x v="101"/>
  </r>
  <r>
    <s v="SUPER"/>
    <s v="HO"/>
    <s v="04/09/2025"/>
    <s v="01/08/2025-31/08/2025"/>
    <x v="32"/>
    <x v="32"/>
    <x v="7"/>
    <x v="0"/>
    <x v="1"/>
    <x v="396"/>
    <x v="396"/>
    <x v="28"/>
    <x v="28"/>
    <x v="25"/>
    <x v="21"/>
    <x v="0"/>
    <x v="854"/>
    <x v="4"/>
    <x v="31"/>
  </r>
  <r>
    <s v="SUPER"/>
    <s v="HO"/>
    <s v="04/09/2025"/>
    <s v="01/08/2025-31/08/2025"/>
    <x v="32"/>
    <x v="32"/>
    <x v="7"/>
    <x v="0"/>
    <x v="1"/>
    <x v="70"/>
    <x v="70"/>
    <x v="28"/>
    <x v="28"/>
    <x v="25"/>
    <x v="21"/>
    <x v="1"/>
    <x v="854"/>
    <x v="1"/>
    <x v="31"/>
  </r>
  <r>
    <s v="SUPER"/>
    <s v="HO"/>
    <s v="04/09/2025"/>
    <s v="01/08/2025-31/08/2025"/>
    <x v="110"/>
    <x v="110"/>
    <x v="15"/>
    <x v="0"/>
    <x v="0"/>
    <x v="53"/>
    <x v="53"/>
    <x v="145"/>
    <x v="145"/>
    <x v="25"/>
    <x v="21"/>
    <x v="0"/>
    <x v="855"/>
    <x v="4"/>
    <x v="109"/>
  </r>
  <r>
    <s v="SUPER"/>
    <s v="HO"/>
    <s v="04/09/2025"/>
    <s v="01/08/2025-31/08/2025"/>
    <x v="110"/>
    <x v="110"/>
    <x v="15"/>
    <x v="0"/>
    <x v="0"/>
    <x v="378"/>
    <x v="378"/>
    <x v="145"/>
    <x v="145"/>
    <x v="25"/>
    <x v="21"/>
    <x v="1"/>
    <x v="855"/>
    <x v="4"/>
    <x v="109"/>
  </r>
  <r>
    <s v="SUPER"/>
    <s v="HO"/>
    <s v="04/09/2025"/>
    <s v="01/08/2025-31/08/2025"/>
    <x v="84"/>
    <x v="84"/>
    <x v="1"/>
    <x v="0"/>
    <x v="0"/>
    <x v="449"/>
    <x v="449"/>
    <x v="76"/>
    <x v="76"/>
    <x v="30"/>
    <x v="1"/>
    <x v="0"/>
    <x v="856"/>
    <x v="4"/>
    <x v="83"/>
  </r>
  <r>
    <s v="SUPER"/>
    <s v="HO"/>
    <s v="04/09/2025"/>
    <s v="01/08/2025-31/08/2025"/>
    <x v="84"/>
    <x v="84"/>
    <x v="1"/>
    <x v="0"/>
    <x v="0"/>
    <x v="307"/>
    <x v="307"/>
    <x v="76"/>
    <x v="76"/>
    <x v="30"/>
    <x v="1"/>
    <x v="1"/>
    <x v="856"/>
    <x v="4"/>
    <x v="83"/>
  </r>
  <r>
    <s v="SUPER"/>
    <s v="HO"/>
    <s v="04/09/2025"/>
    <s v="01/08/2025-31/08/2025"/>
    <x v="53"/>
    <x v="53"/>
    <x v="11"/>
    <x v="0"/>
    <x v="3"/>
    <x v="389"/>
    <x v="389"/>
    <x v="44"/>
    <x v="44"/>
    <x v="30"/>
    <x v="1"/>
    <x v="0"/>
    <x v="857"/>
    <x v="3"/>
    <x v="52"/>
  </r>
  <r>
    <s v="SUPER"/>
    <s v="HO"/>
    <s v="04/09/2025"/>
    <s v="01/08/2025-31/08/2025"/>
    <x v="53"/>
    <x v="53"/>
    <x v="11"/>
    <x v="0"/>
    <x v="3"/>
    <x v="4"/>
    <x v="4"/>
    <x v="44"/>
    <x v="44"/>
    <x v="30"/>
    <x v="1"/>
    <x v="1"/>
    <x v="857"/>
    <x v="3"/>
    <x v="52"/>
  </r>
  <r>
    <s v="SUPER"/>
    <s v="HO"/>
    <s v="04/09/2025"/>
    <s v="01/08/2025-31/08/2025"/>
    <x v="53"/>
    <x v="53"/>
    <x v="11"/>
    <x v="0"/>
    <x v="3"/>
    <x v="4"/>
    <x v="4"/>
    <x v="44"/>
    <x v="44"/>
    <x v="30"/>
    <x v="1"/>
    <x v="2"/>
    <x v="857"/>
    <x v="3"/>
    <x v="52"/>
  </r>
  <r>
    <s v="SUPER"/>
    <s v="HO"/>
    <s v="04/09/2025"/>
    <s v="01/08/2025-31/08/2025"/>
    <x v="85"/>
    <x v="85"/>
    <x v="20"/>
    <x v="0"/>
    <x v="2"/>
    <x v="161"/>
    <x v="161"/>
    <x v="1"/>
    <x v="1"/>
    <x v="26"/>
    <x v="21"/>
    <x v="0"/>
    <x v="858"/>
    <x v="1"/>
    <x v="84"/>
  </r>
  <r>
    <s v="SUPER"/>
    <s v="HO"/>
    <s v="04/09/2025"/>
    <s v="01/08/2025-31/08/2025"/>
    <x v="10"/>
    <x v="10"/>
    <x v="9"/>
    <x v="0"/>
    <x v="3"/>
    <x v="51"/>
    <x v="51"/>
    <x v="1"/>
    <x v="1"/>
    <x v="17"/>
    <x v="28"/>
    <x v="0"/>
    <x v="859"/>
    <x v="11"/>
    <x v="9"/>
  </r>
  <r>
    <s v="SUPER"/>
    <s v="HO"/>
    <s v="04/09/2025"/>
    <s v="01/08/2025-31/08/2025"/>
    <x v="89"/>
    <x v="89"/>
    <x v="21"/>
    <x v="0"/>
    <x v="2"/>
    <x v="2"/>
    <x v="2"/>
    <x v="83"/>
    <x v="83"/>
    <x v="26"/>
    <x v="21"/>
    <x v="0"/>
    <x v="860"/>
    <x v="1"/>
    <x v="88"/>
  </r>
  <r>
    <s v="SUPER"/>
    <s v="HO"/>
    <s v="04/09/2025"/>
    <s v="01/08/2025-31/08/2025"/>
    <x v="60"/>
    <x v="60"/>
    <x v="21"/>
    <x v="0"/>
    <x v="2"/>
    <x v="22"/>
    <x v="22"/>
    <x v="1"/>
    <x v="1"/>
    <x v="17"/>
    <x v="0"/>
    <x v="0"/>
    <x v="861"/>
    <x v="3"/>
    <x v="59"/>
  </r>
  <r>
    <s v="SUPER"/>
    <s v="HO"/>
    <s v="04/09/2025"/>
    <s v="01/08/2025-31/08/2025"/>
    <x v="6"/>
    <x v="6"/>
    <x v="5"/>
    <x v="0"/>
    <x v="2"/>
    <x v="298"/>
    <x v="298"/>
    <x v="3"/>
    <x v="3"/>
    <x v="17"/>
    <x v="0"/>
    <x v="0"/>
    <x v="862"/>
    <x v="3"/>
    <x v="5"/>
  </r>
  <r>
    <s v="SUPER"/>
    <s v="HO"/>
    <s v="04/09/2025"/>
    <s v="01/08/2025-31/08/2025"/>
    <x v="6"/>
    <x v="6"/>
    <x v="5"/>
    <x v="0"/>
    <x v="2"/>
    <x v="299"/>
    <x v="299"/>
    <x v="3"/>
    <x v="3"/>
    <x v="17"/>
    <x v="0"/>
    <x v="1"/>
    <x v="862"/>
    <x v="3"/>
    <x v="5"/>
  </r>
  <r>
    <s v="SUPER"/>
    <s v="HO"/>
    <s v="04/09/2025"/>
    <s v="01/08/2025-31/08/2025"/>
    <x v="6"/>
    <x v="6"/>
    <x v="5"/>
    <x v="0"/>
    <x v="2"/>
    <x v="376"/>
    <x v="376"/>
    <x v="3"/>
    <x v="3"/>
    <x v="17"/>
    <x v="0"/>
    <x v="2"/>
    <x v="862"/>
    <x v="3"/>
    <x v="5"/>
  </r>
  <r>
    <s v="SUPER"/>
    <s v="HO"/>
    <s v="04/09/2025"/>
    <s v="01/08/2025-31/08/2025"/>
    <x v="35"/>
    <x v="35"/>
    <x v="6"/>
    <x v="0"/>
    <x v="0"/>
    <x v="8"/>
    <x v="8"/>
    <x v="29"/>
    <x v="29"/>
    <x v="26"/>
    <x v="21"/>
    <x v="0"/>
    <x v="863"/>
    <x v="1"/>
    <x v="34"/>
  </r>
  <r>
    <s v="SUPER"/>
    <s v="HO"/>
    <s v="04/09/2025"/>
    <s v="01/08/2025-31/08/2025"/>
    <x v="19"/>
    <x v="19"/>
    <x v="6"/>
    <x v="0"/>
    <x v="0"/>
    <x v="8"/>
    <x v="8"/>
    <x v="1"/>
    <x v="1"/>
    <x v="26"/>
    <x v="21"/>
    <x v="0"/>
    <x v="864"/>
    <x v="1"/>
    <x v="18"/>
  </r>
  <r>
    <s v="SUPER"/>
    <s v="HO"/>
    <s v="04/09/2025"/>
    <s v="01/08/2025-31/08/2025"/>
    <x v="116"/>
    <x v="116"/>
    <x v="25"/>
    <x v="0"/>
    <x v="2"/>
    <x v="341"/>
    <x v="341"/>
    <x v="118"/>
    <x v="118"/>
    <x v="30"/>
    <x v="1"/>
    <x v="0"/>
    <x v="865"/>
    <x v="10"/>
    <x v="115"/>
  </r>
  <r>
    <s v="SUPER"/>
    <s v="HO"/>
    <s v="04/09/2025"/>
    <s v="01/08/2025-31/08/2025"/>
    <x v="116"/>
    <x v="116"/>
    <x v="25"/>
    <x v="0"/>
    <x v="2"/>
    <x v="440"/>
    <x v="440"/>
    <x v="118"/>
    <x v="118"/>
    <x v="30"/>
    <x v="1"/>
    <x v="1"/>
    <x v="865"/>
    <x v="10"/>
    <x v="115"/>
  </r>
  <r>
    <s v="SUPER"/>
    <s v="HO"/>
    <s v="04/09/2025"/>
    <s v="01/08/2025-31/08/2025"/>
    <x v="128"/>
    <x v="128"/>
    <x v="14"/>
    <x v="0"/>
    <x v="3"/>
    <x v="6"/>
    <x v="6"/>
    <x v="130"/>
    <x v="130"/>
    <x v="17"/>
    <x v="0"/>
    <x v="0"/>
    <x v="866"/>
    <x v="4"/>
    <x v="127"/>
  </r>
  <r>
    <s v="SUPER"/>
    <s v="HO"/>
    <s v="04/09/2025"/>
    <s v="01/08/2025-31/08/2025"/>
    <x v="128"/>
    <x v="128"/>
    <x v="14"/>
    <x v="0"/>
    <x v="3"/>
    <x v="40"/>
    <x v="40"/>
    <x v="130"/>
    <x v="130"/>
    <x v="17"/>
    <x v="0"/>
    <x v="1"/>
    <x v="866"/>
    <x v="4"/>
    <x v="127"/>
  </r>
  <r>
    <s v="SUPER"/>
    <s v="HO"/>
    <s v="04/09/2025"/>
    <s v="01/08/2025-31/08/2025"/>
    <x v="60"/>
    <x v="60"/>
    <x v="21"/>
    <x v="0"/>
    <x v="2"/>
    <x v="99"/>
    <x v="99"/>
    <x v="1"/>
    <x v="1"/>
    <x v="17"/>
    <x v="21"/>
    <x v="0"/>
    <x v="867"/>
    <x v="11"/>
    <x v="59"/>
  </r>
  <r>
    <s v="SUPER"/>
    <s v="HO"/>
    <s v="04/09/2025"/>
    <s v="01/08/2025-31/08/2025"/>
    <x v="60"/>
    <x v="60"/>
    <x v="21"/>
    <x v="0"/>
    <x v="2"/>
    <x v="111"/>
    <x v="111"/>
    <x v="1"/>
    <x v="1"/>
    <x v="17"/>
    <x v="21"/>
    <x v="1"/>
    <x v="867"/>
    <x v="11"/>
    <x v="59"/>
  </r>
  <r>
    <s v="SUPER"/>
    <s v="HO"/>
    <s v="04/09/2025"/>
    <s v="01/08/2025-31/08/2025"/>
    <x v="60"/>
    <x v="60"/>
    <x v="21"/>
    <x v="0"/>
    <x v="2"/>
    <x v="101"/>
    <x v="101"/>
    <x v="1"/>
    <x v="1"/>
    <x v="17"/>
    <x v="21"/>
    <x v="2"/>
    <x v="867"/>
    <x v="4"/>
    <x v="59"/>
  </r>
  <r>
    <s v="SUPER"/>
    <s v="HO"/>
    <s v="04/09/2025"/>
    <s v="01/08/2025-31/08/2025"/>
    <x v="60"/>
    <x v="60"/>
    <x v="21"/>
    <x v="0"/>
    <x v="2"/>
    <x v="100"/>
    <x v="100"/>
    <x v="1"/>
    <x v="1"/>
    <x v="17"/>
    <x v="21"/>
    <x v="3"/>
    <x v="867"/>
    <x v="11"/>
    <x v="59"/>
  </r>
  <r>
    <s v="SUPER"/>
    <s v="HO"/>
    <s v="04/09/2025"/>
    <s v="01/08/2025-31/08/2025"/>
    <x v="51"/>
    <x v="51"/>
    <x v="19"/>
    <x v="0"/>
    <x v="1"/>
    <x v="160"/>
    <x v="160"/>
    <x v="1"/>
    <x v="1"/>
    <x v="17"/>
    <x v="21"/>
    <x v="0"/>
    <x v="868"/>
    <x v="1"/>
    <x v="50"/>
  </r>
  <r>
    <s v="SUPER"/>
    <s v="HO"/>
    <s v="04/09/2025"/>
    <s v="01/08/2025-31/08/2025"/>
    <x v="116"/>
    <x v="116"/>
    <x v="25"/>
    <x v="0"/>
    <x v="2"/>
    <x v="2"/>
    <x v="2"/>
    <x v="118"/>
    <x v="118"/>
    <x v="17"/>
    <x v="21"/>
    <x v="0"/>
    <x v="869"/>
    <x v="1"/>
    <x v="115"/>
  </r>
  <r>
    <s v="SUPER"/>
    <s v="HO"/>
    <s v="04/09/2025"/>
    <s v="01/08/2025-31/08/2025"/>
    <x v="120"/>
    <x v="120"/>
    <x v="26"/>
    <x v="0"/>
    <x v="3"/>
    <x v="378"/>
    <x v="378"/>
    <x v="57"/>
    <x v="57"/>
    <x v="17"/>
    <x v="21"/>
    <x v="0"/>
    <x v="870"/>
    <x v="10"/>
    <x v="119"/>
  </r>
  <r>
    <s v="SUPER"/>
    <s v="HO"/>
    <s v="04/09/2025"/>
    <s v="01/08/2025-31/08/2025"/>
    <x v="120"/>
    <x v="120"/>
    <x v="26"/>
    <x v="0"/>
    <x v="3"/>
    <x v="239"/>
    <x v="239"/>
    <x v="19"/>
    <x v="19"/>
    <x v="17"/>
    <x v="21"/>
    <x v="0"/>
    <x v="871"/>
    <x v="10"/>
    <x v="119"/>
  </r>
  <r>
    <s v="SUPER"/>
    <s v="HO"/>
    <s v="04/09/2025"/>
    <s v="01/08/2025-31/08/2025"/>
    <x v="120"/>
    <x v="120"/>
    <x v="26"/>
    <x v="0"/>
    <x v="3"/>
    <x v="161"/>
    <x v="161"/>
    <x v="1"/>
    <x v="1"/>
    <x v="17"/>
    <x v="0"/>
    <x v="0"/>
    <x v="872"/>
    <x v="3"/>
    <x v="119"/>
  </r>
  <r>
    <s v="SUPER"/>
    <s v="HO"/>
    <s v="04/09/2025"/>
    <s v="01/08/2025-31/08/2025"/>
    <x v="52"/>
    <x v="52"/>
    <x v="15"/>
    <x v="0"/>
    <x v="0"/>
    <x v="475"/>
    <x v="475"/>
    <x v="69"/>
    <x v="69"/>
    <x v="17"/>
    <x v="0"/>
    <x v="0"/>
    <x v="873"/>
    <x v="4"/>
    <x v="51"/>
  </r>
  <r>
    <s v="SUPER"/>
    <s v="HO"/>
    <s v="04/09/2025"/>
    <s v="01/08/2025-31/08/2025"/>
    <x v="151"/>
    <x v="151"/>
    <x v="1"/>
    <x v="0"/>
    <x v="0"/>
    <x v="7"/>
    <x v="7"/>
    <x v="1"/>
    <x v="1"/>
    <x v="3"/>
    <x v="1"/>
    <x v="0"/>
    <x v="874"/>
    <x v="1"/>
    <x v="149"/>
  </r>
  <r>
    <s v="SUPER"/>
    <s v="HO"/>
    <s v="04/09/2025"/>
    <s v="01/08/2025-31/08/2025"/>
    <x v="43"/>
    <x v="43"/>
    <x v="16"/>
    <x v="0"/>
    <x v="1"/>
    <x v="54"/>
    <x v="54"/>
    <x v="36"/>
    <x v="36"/>
    <x v="3"/>
    <x v="1"/>
    <x v="0"/>
    <x v="875"/>
    <x v="27"/>
    <x v="42"/>
  </r>
  <r>
    <s v="SUPER"/>
    <s v="HO"/>
    <s v="04/09/2025"/>
    <s v="01/08/2025-31/08/2025"/>
    <x v="64"/>
    <x v="64"/>
    <x v="15"/>
    <x v="0"/>
    <x v="0"/>
    <x v="429"/>
    <x v="429"/>
    <x v="120"/>
    <x v="120"/>
    <x v="3"/>
    <x v="1"/>
    <x v="0"/>
    <x v="876"/>
    <x v="10"/>
    <x v="63"/>
  </r>
  <r>
    <s v="SUPER"/>
    <s v="HO"/>
    <s v="04/09/2025"/>
    <s v="01/08/2025-31/08/2025"/>
    <x v="64"/>
    <x v="64"/>
    <x v="15"/>
    <x v="0"/>
    <x v="0"/>
    <x v="53"/>
    <x v="53"/>
    <x v="120"/>
    <x v="120"/>
    <x v="3"/>
    <x v="1"/>
    <x v="1"/>
    <x v="876"/>
    <x v="10"/>
    <x v="63"/>
  </r>
  <r>
    <s v="SUPER"/>
    <s v="HO"/>
    <s v="04/09/2025"/>
    <s v="01/08/2025-31/08/2025"/>
    <x v="130"/>
    <x v="130"/>
    <x v="8"/>
    <x v="0"/>
    <x v="3"/>
    <x v="476"/>
    <x v="476"/>
    <x v="1"/>
    <x v="1"/>
    <x v="27"/>
    <x v="1"/>
    <x v="0"/>
    <x v="877"/>
    <x v="3"/>
    <x v="129"/>
  </r>
  <r>
    <s v="SUPER"/>
    <s v="HO"/>
    <s v="04/09/2025"/>
    <s v="01/08/2025-31/08/2025"/>
    <x v="45"/>
    <x v="45"/>
    <x v="14"/>
    <x v="0"/>
    <x v="3"/>
    <x v="47"/>
    <x v="47"/>
    <x v="37"/>
    <x v="37"/>
    <x v="27"/>
    <x v="1"/>
    <x v="0"/>
    <x v="878"/>
    <x v="11"/>
    <x v="44"/>
  </r>
  <r>
    <s v="SUPER"/>
    <s v="HO"/>
    <s v="04/09/2025"/>
    <s v="01/08/2025-31/08/2025"/>
    <x v="127"/>
    <x v="127"/>
    <x v="15"/>
    <x v="0"/>
    <x v="0"/>
    <x v="464"/>
    <x v="464"/>
    <x v="92"/>
    <x v="92"/>
    <x v="20"/>
    <x v="1"/>
    <x v="0"/>
    <x v="879"/>
    <x v="10"/>
    <x v="126"/>
  </r>
  <r>
    <s v="SUPER"/>
    <s v="HO"/>
    <s v="04/09/2025"/>
    <s v="01/08/2025-31/08/2025"/>
    <x v="127"/>
    <x v="127"/>
    <x v="15"/>
    <x v="0"/>
    <x v="0"/>
    <x v="272"/>
    <x v="272"/>
    <x v="92"/>
    <x v="92"/>
    <x v="20"/>
    <x v="1"/>
    <x v="1"/>
    <x v="879"/>
    <x v="10"/>
    <x v="126"/>
  </r>
  <r>
    <s v="SUPER"/>
    <s v="HO"/>
    <s v="04/09/2025"/>
    <s v="01/08/2025-31/08/2025"/>
    <x v="127"/>
    <x v="127"/>
    <x v="15"/>
    <x v="0"/>
    <x v="0"/>
    <x v="53"/>
    <x v="53"/>
    <x v="92"/>
    <x v="92"/>
    <x v="20"/>
    <x v="1"/>
    <x v="2"/>
    <x v="879"/>
    <x v="10"/>
    <x v="126"/>
  </r>
  <r>
    <s v="SUPER"/>
    <s v="HO"/>
    <s v="04/09/2025"/>
    <s v="01/08/2025-31/08/2025"/>
    <x v="40"/>
    <x v="40"/>
    <x v="11"/>
    <x v="0"/>
    <x v="3"/>
    <x v="136"/>
    <x v="136"/>
    <x v="1"/>
    <x v="1"/>
    <x v="22"/>
    <x v="1"/>
    <x v="0"/>
    <x v="880"/>
    <x v="11"/>
    <x v="39"/>
  </r>
  <r>
    <s v="SUPER"/>
    <s v="HO"/>
    <s v="04/09/2025"/>
    <s v="01/08/2025-31/08/2025"/>
    <x v="40"/>
    <x v="40"/>
    <x v="11"/>
    <x v="0"/>
    <x v="3"/>
    <x v="51"/>
    <x v="51"/>
    <x v="1"/>
    <x v="1"/>
    <x v="22"/>
    <x v="1"/>
    <x v="1"/>
    <x v="880"/>
    <x v="11"/>
    <x v="39"/>
  </r>
  <r>
    <s v="SUPER"/>
    <s v="HO"/>
    <s v="04/09/2025"/>
    <s v="01/08/2025-31/08/2025"/>
    <x v="6"/>
    <x v="6"/>
    <x v="5"/>
    <x v="0"/>
    <x v="2"/>
    <x v="4"/>
    <x v="4"/>
    <x v="3"/>
    <x v="3"/>
    <x v="21"/>
    <x v="1"/>
    <x v="0"/>
    <x v="881"/>
    <x v="3"/>
    <x v="5"/>
  </r>
  <r>
    <s v="SUPER"/>
    <s v="HO"/>
    <s v="04/09/2025"/>
    <s v="01/08/2025-31/08/2025"/>
    <x v="14"/>
    <x v="14"/>
    <x v="5"/>
    <x v="0"/>
    <x v="2"/>
    <x v="477"/>
    <x v="477"/>
    <x v="12"/>
    <x v="12"/>
    <x v="24"/>
    <x v="1"/>
    <x v="0"/>
    <x v="882"/>
    <x v="11"/>
    <x v="13"/>
  </r>
  <r>
    <s v="SUPER"/>
    <s v="HO"/>
    <s v="04/09/2025"/>
    <s v="01/08/2025-31/08/2025"/>
    <x v="14"/>
    <x v="14"/>
    <x v="5"/>
    <x v="0"/>
    <x v="2"/>
    <x v="478"/>
    <x v="478"/>
    <x v="12"/>
    <x v="12"/>
    <x v="24"/>
    <x v="1"/>
    <x v="1"/>
    <x v="882"/>
    <x v="11"/>
    <x v="13"/>
  </r>
  <r>
    <s v="SUPER"/>
    <s v="HO"/>
    <s v="04/09/2025"/>
    <s v="01/08/2025-31/08/2025"/>
    <x v="14"/>
    <x v="14"/>
    <x v="5"/>
    <x v="0"/>
    <x v="2"/>
    <x v="263"/>
    <x v="263"/>
    <x v="12"/>
    <x v="12"/>
    <x v="24"/>
    <x v="1"/>
    <x v="2"/>
    <x v="882"/>
    <x v="11"/>
    <x v="13"/>
  </r>
  <r>
    <s v="SUPER"/>
    <s v="HO"/>
    <s v="04/09/2025"/>
    <s v="01/08/2025-31/08/2025"/>
    <x v="14"/>
    <x v="14"/>
    <x v="5"/>
    <x v="0"/>
    <x v="2"/>
    <x v="479"/>
    <x v="479"/>
    <x v="12"/>
    <x v="12"/>
    <x v="24"/>
    <x v="1"/>
    <x v="0"/>
    <x v="883"/>
    <x v="11"/>
    <x v="13"/>
  </r>
  <r>
    <s v="SUPER"/>
    <s v="HO"/>
    <s v="04/09/2025"/>
    <s v="01/08/2025-31/08/2025"/>
    <x v="14"/>
    <x v="14"/>
    <x v="5"/>
    <x v="0"/>
    <x v="2"/>
    <x v="263"/>
    <x v="263"/>
    <x v="12"/>
    <x v="12"/>
    <x v="24"/>
    <x v="1"/>
    <x v="1"/>
    <x v="883"/>
    <x v="11"/>
    <x v="13"/>
  </r>
  <r>
    <s v="SUPER"/>
    <s v="HO"/>
    <s v="04/09/2025"/>
    <s v="01/08/2025-31/08/2025"/>
    <x v="152"/>
    <x v="152"/>
    <x v="17"/>
    <x v="0"/>
    <x v="3"/>
    <x v="480"/>
    <x v="480"/>
    <x v="1"/>
    <x v="1"/>
    <x v="24"/>
    <x v="1"/>
    <x v="0"/>
    <x v="884"/>
    <x v="3"/>
    <x v="150"/>
  </r>
  <r>
    <s v="SUPER"/>
    <s v="HO"/>
    <s v="04/09/2025"/>
    <s v="01/08/2025-31/08/2025"/>
    <x v="152"/>
    <x v="152"/>
    <x v="17"/>
    <x v="0"/>
    <x v="3"/>
    <x v="481"/>
    <x v="481"/>
    <x v="1"/>
    <x v="1"/>
    <x v="24"/>
    <x v="1"/>
    <x v="1"/>
    <x v="884"/>
    <x v="3"/>
    <x v="150"/>
  </r>
  <r>
    <s v="SUPER"/>
    <s v="HO"/>
    <s v="04/09/2025"/>
    <s v="01/08/2025-31/08/2025"/>
    <x v="16"/>
    <x v="16"/>
    <x v="12"/>
    <x v="0"/>
    <x v="3"/>
    <x v="471"/>
    <x v="471"/>
    <x v="1"/>
    <x v="1"/>
    <x v="25"/>
    <x v="1"/>
    <x v="0"/>
    <x v="885"/>
    <x v="1"/>
    <x v="15"/>
  </r>
  <r>
    <s v="SUPER"/>
    <s v="HO"/>
    <s v="04/09/2025"/>
    <s v="01/08/2025-31/08/2025"/>
    <x v="52"/>
    <x v="52"/>
    <x v="15"/>
    <x v="0"/>
    <x v="0"/>
    <x v="428"/>
    <x v="428"/>
    <x v="27"/>
    <x v="27"/>
    <x v="25"/>
    <x v="1"/>
    <x v="0"/>
    <x v="886"/>
    <x v="10"/>
    <x v="51"/>
  </r>
  <r>
    <s v="SUPER"/>
    <s v="HO"/>
    <s v="04/09/2025"/>
    <s v="01/08/2025-31/08/2025"/>
    <x v="52"/>
    <x v="52"/>
    <x v="15"/>
    <x v="0"/>
    <x v="0"/>
    <x v="272"/>
    <x v="272"/>
    <x v="27"/>
    <x v="27"/>
    <x v="25"/>
    <x v="1"/>
    <x v="1"/>
    <x v="886"/>
    <x v="10"/>
    <x v="51"/>
  </r>
  <r>
    <s v="SUPER"/>
    <s v="HO"/>
    <s v="04/09/2025"/>
    <s v="01/08/2025-31/08/2025"/>
    <x v="52"/>
    <x v="52"/>
    <x v="15"/>
    <x v="0"/>
    <x v="0"/>
    <x v="53"/>
    <x v="53"/>
    <x v="27"/>
    <x v="27"/>
    <x v="25"/>
    <x v="1"/>
    <x v="2"/>
    <x v="886"/>
    <x v="10"/>
    <x v="51"/>
  </r>
  <r>
    <s v="SUPER"/>
    <s v="HO"/>
    <s v="04/09/2025"/>
    <s v="01/08/2025-31/08/2025"/>
    <x v="52"/>
    <x v="52"/>
    <x v="15"/>
    <x v="0"/>
    <x v="0"/>
    <x v="465"/>
    <x v="465"/>
    <x v="27"/>
    <x v="27"/>
    <x v="25"/>
    <x v="1"/>
    <x v="3"/>
    <x v="886"/>
    <x v="10"/>
    <x v="51"/>
  </r>
  <r>
    <s v="SUPER"/>
    <s v="HO"/>
    <s v="04/09/2025"/>
    <s v="01/08/2025-31/08/2025"/>
    <x v="107"/>
    <x v="107"/>
    <x v="12"/>
    <x v="0"/>
    <x v="3"/>
    <x v="257"/>
    <x v="257"/>
    <x v="1"/>
    <x v="1"/>
    <x v="25"/>
    <x v="1"/>
    <x v="0"/>
    <x v="887"/>
    <x v="1"/>
    <x v="106"/>
  </r>
  <r>
    <s v="SUPER"/>
    <s v="HO"/>
    <s v="04/09/2025"/>
    <s v="01/08/2025-31/08/2025"/>
    <x v="107"/>
    <x v="107"/>
    <x v="12"/>
    <x v="0"/>
    <x v="3"/>
    <x v="378"/>
    <x v="378"/>
    <x v="1"/>
    <x v="1"/>
    <x v="25"/>
    <x v="1"/>
    <x v="0"/>
    <x v="888"/>
    <x v="10"/>
    <x v="106"/>
  </r>
  <r>
    <s v="SUPER"/>
    <s v="HO"/>
    <s v="04/09/2025"/>
    <s v="01/08/2025-31/08/2025"/>
    <x v="107"/>
    <x v="107"/>
    <x v="12"/>
    <x v="0"/>
    <x v="3"/>
    <x v="326"/>
    <x v="326"/>
    <x v="1"/>
    <x v="1"/>
    <x v="25"/>
    <x v="1"/>
    <x v="1"/>
    <x v="888"/>
    <x v="10"/>
    <x v="106"/>
  </r>
  <r>
    <s v="SUPER"/>
    <s v="HO"/>
    <s v="04/09/2025"/>
    <s v="01/08/2025-31/08/2025"/>
    <x v="89"/>
    <x v="89"/>
    <x v="21"/>
    <x v="0"/>
    <x v="2"/>
    <x v="482"/>
    <x v="482"/>
    <x v="83"/>
    <x v="83"/>
    <x v="25"/>
    <x v="1"/>
    <x v="0"/>
    <x v="889"/>
    <x v="4"/>
    <x v="88"/>
  </r>
  <r>
    <s v="SUPER"/>
    <s v="HO"/>
    <s v="04/09/2025"/>
    <s v="01/08/2025-31/08/2025"/>
    <x v="89"/>
    <x v="89"/>
    <x v="21"/>
    <x v="0"/>
    <x v="2"/>
    <x v="483"/>
    <x v="483"/>
    <x v="83"/>
    <x v="83"/>
    <x v="25"/>
    <x v="1"/>
    <x v="1"/>
    <x v="889"/>
    <x v="4"/>
    <x v="88"/>
  </r>
  <r>
    <s v="SUPER"/>
    <s v="HO"/>
    <s v="04/09/2025"/>
    <s v="01/08/2025-31/08/2025"/>
    <x v="89"/>
    <x v="89"/>
    <x v="21"/>
    <x v="0"/>
    <x v="2"/>
    <x v="484"/>
    <x v="484"/>
    <x v="83"/>
    <x v="83"/>
    <x v="25"/>
    <x v="1"/>
    <x v="2"/>
    <x v="889"/>
    <x v="4"/>
    <x v="88"/>
  </r>
  <r>
    <s v="SUPER"/>
    <s v="HO"/>
    <s v="04/09/2025"/>
    <s v="01/08/2025-31/08/2025"/>
    <x v="89"/>
    <x v="89"/>
    <x v="21"/>
    <x v="0"/>
    <x v="2"/>
    <x v="263"/>
    <x v="263"/>
    <x v="83"/>
    <x v="83"/>
    <x v="25"/>
    <x v="1"/>
    <x v="3"/>
    <x v="889"/>
    <x v="4"/>
    <x v="88"/>
  </r>
  <r>
    <s v="SUPER"/>
    <s v="HO"/>
    <s v="04/09/2025"/>
    <s v="01/08/2025-31/08/2025"/>
    <x v="126"/>
    <x v="126"/>
    <x v="14"/>
    <x v="0"/>
    <x v="3"/>
    <x v="136"/>
    <x v="136"/>
    <x v="1"/>
    <x v="1"/>
    <x v="25"/>
    <x v="1"/>
    <x v="0"/>
    <x v="890"/>
    <x v="11"/>
    <x v="125"/>
  </r>
  <r>
    <s v="SUPER"/>
    <s v="HO"/>
    <s v="04/09/2025"/>
    <s v="01/08/2025-31/08/2025"/>
    <x v="102"/>
    <x v="102"/>
    <x v="9"/>
    <x v="0"/>
    <x v="3"/>
    <x v="35"/>
    <x v="35"/>
    <x v="100"/>
    <x v="100"/>
    <x v="26"/>
    <x v="1"/>
    <x v="0"/>
    <x v="891"/>
    <x v="11"/>
    <x v="101"/>
  </r>
  <r>
    <s v="SUPER"/>
    <s v="HO"/>
    <s v="04/09/2025"/>
    <s v="01/08/2025-31/08/2025"/>
    <x v="102"/>
    <x v="102"/>
    <x v="9"/>
    <x v="0"/>
    <x v="3"/>
    <x v="485"/>
    <x v="485"/>
    <x v="100"/>
    <x v="100"/>
    <x v="26"/>
    <x v="1"/>
    <x v="1"/>
    <x v="891"/>
    <x v="11"/>
    <x v="101"/>
  </r>
  <r>
    <s v="SUPER"/>
    <s v="HO"/>
    <s v="04/09/2025"/>
    <s v="01/08/2025-31/08/2025"/>
    <x v="102"/>
    <x v="102"/>
    <x v="9"/>
    <x v="0"/>
    <x v="3"/>
    <x v="36"/>
    <x v="36"/>
    <x v="100"/>
    <x v="100"/>
    <x v="26"/>
    <x v="1"/>
    <x v="2"/>
    <x v="891"/>
    <x v="11"/>
    <x v="101"/>
  </r>
  <r>
    <s v="SUPER"/>
    <s v="HO"/>
    <s v="04/09/2025"/>
    <s v="01/08/2025-31/08/2025"/>
    <x v="102"/>
    <x v="102"/>
    <x v="9"/>
    <x v="0"/>
    <x v="3"/>
    <x v="486"/>
    <x v="486"/>
    <x v="100"/>
    <x v="100"/>
    <x v="26"/>
    <x v="1"/>
    <x v="3"/>
    <x v="891"/>
    <x v="11"/>
    <x v="101"/>
  </r>
  <r>
    <s v="SUPER"/>
    <s v="HO"/>
    <s v="04/09/2025"/>
    <s v="01/08/2025-31/08/2025"/>
    <x v="102"/>
    <x v="102"/>
    <x v="9"/>
    <x v="0"/>
    <x v="3"/>
    <x v="63"/>
    <x v="63"/>
    <x v="100"/>
    <x v="100"/>
    <x v="26"/>
    <x v="1"/>
    <x v="4"/>
    <x v="891"/>
    <x v="11"/>
    <x v="101"/>
  </r>
  <r>
    <s v="SUPER"/>
    <s v="HO"/>
    <s v="04/09/2025"/>
    <s v="01/08/2025-31/08/2025"/>
    <x v="66"/>
    <x v="66"/>
    <x v="14"/>
    <x v="0"/>
    <x v="3"/>
    <x v="334"/>
    <x v="334"/>
    <x v="21"/>
    <x v="21"/>
    <x v="26"/>
    <x v="1"/>
    <x v="0"/>
    <x v="892"/>
    <x v="4"/>
    <x v="65"/>
  </r>
  <r>
    <s v="SUPER"/>
    <s v="HO"/>
    <s v="04/09/2025"/>
    <s v="01/08/2025-31/08/2025"/>
    <x v="66"/>
    <x v="66"/>
    <x v="14"/>
    <x v="0"/>
    <x v="3"/>
    <x v="36"/>
    <x v="36"/>
    <x v="21"/>
    <x v="21"/>
    <x v="26"/>
    <x v="1"/>
    <x v="1"/>
    <x v="892"/>
    <x v="4"/>
    <x v="65"/>
  </r>
  <r>
    <s v="SUPER"/>
    <s v="HO"/>
    <s v="04/09/2025"/>
    <s v="01/08/2025-31/08/2025"/>
    <x v="66"/>
    <x v="66"/>
    <x v="14"/>
    <x v="0"/>
    <x v="3"/>
    <x v="312"/>
    <x v="312"/>
    <x v="21"/>
    <x v="21"/>
    <x v="26"/>
    <x v="1"/>
    <x v="2"/>
    <x v="892"/>
    <x v="4"/>
    <x v="65"/>
  </r>
  <r>
    <s v="SUPER"/>
    <s v="HO"/>
    <s v="04/09/2025"/>
    <s v="01/08/2025-31/08/2025"/>
    <x v="66"/>
    <x v="66"/>
    <x v="14"/>
    <x v="0"/>
    <x v="3"/>
    <x v="35"/>
    <x v="35"/>
    <x v="21"/>
    <x v="21"/>
    <x v="26"/>
    <x v="1"/>
    <x v="3"/>
    <x v="892"/>
    <x v="4"/>
    <x v="65"/>
  </r>
  <r>
    <s v="SUPER"/>
    <s v="HO"/>
    <s v="04/09/2025"/>
    <s v="01/08/2025-31/08/2025"/>
    <x v="52"/>
    <x v="52"/>
    <x v="15"/>
    <x v="0"/>
    <x v="0"/>
    <x v="169"/>
    <x v="169"/>
    <x v="3"/>
    <x v="3"/>
    <x v="17"/>
    <x v="1"/>
    <x v="0"/>
    <x v="893"/>
    <x v="10"/>
    <x v="51"/>
  </r>
  <r>
    <s v="SUPER"/>
    <s v="HO"/>
    <s v="04/09/2025"/>
    <s v="01/08/2025-31/08/2025"/>
    <x v="52"/>
    <x v="52"/>
    <x v="15"/>
    <x v="0"/>
    <x v="0"/>
    <x v="471"/>
    <x v="471"/>
    <x v="3"/>
    <x v="3"/>
    <x v="17"/>
    <x v="1"/>
    <x v="1"/>
    <x v="893"/>
    <x v="10"/>
    <x v="51"/>
  </r>
  <r>
    <s v="SUPER"/>
    <s v="HO"/>
    <s v="04/09/2025"/>
    <s v="01/08/2025-31/08/2025"/>
    <x v="52"/>
    <x v="52"/>
    <x v="15"/>
    <x v="0"/>
    <x v="0"/>
    <x v="487"/>
    <x v="487"/>
    <x v="3"/>
    <x v="3"/>
    <x v="17"/>
    <x v="1"/>
    <x v="2"/>
    <x v="893"/>
    <x v="10"/>
    <x v="51"/>
  </r>
  <r>
    <s v="SUPER"/>
    <s v="HO"/>
    <s v="04/09/2025"/>
    <s v="01/08/2025-31/08/2025"/>
    <x v="52"/>
    <x v="52"/>
    <x v="15"/>
    <x v="0"/>
    <x v="0"/>
    <x v="488"/>
    <x v="488"/>
    <x v="3"/>
    <x v="3"/>
    <x v="17"/>
    <x v="1"/>
    <x v="3"/>
    <x v="893"/>
    <x v="10"/>
    <x v="51"/>
  </r>
  <r>
    <s v="SUPER"/>
    <s v="HO"/>
    <s v="04/09/2025"/>
    <s v="01/08/2025-31/08/2025"/>
    <x v="52"/>
    <x v="52"/>
    <x v="15"/>
    <x v="0"/>
    <x v="0"/>
    <x v="487"/>
    <x v="487"/>
    <x v="3"/>
    <x v="3"/>
    <x v="17"/>
    <x v="1"/>
    <x v="4"/>
    <x v="893"/>
    <x v="10"/>
    <x v="51"/>
  </r>
  <r>
    <s v="SUPER"/>
    <s v="HO"/>
    <s v="04/09/2025"/>
    <s v="01/08/2025-31/08/2025"/>
    <x v="52"/>
    <x v="52"/>
    <x v="15"/>
    <x v="0"/>
    <x v="0"/>
    <x v="471"/>
    <x v="471"/>
    <x v="3"/>
    <x v="3"/>
    <x v="17"/>
    <x v="1"/>
    <x v="5"/>
    <x v="893"/>
    <x v="10"/>
    <x v="51"/>
  </r>
  <r>
    <s v="SUPER"/>
    <s v="HO"/>
    <s v="04/09/2025"/>
    <s v="01/08/2025-31/08/2025"/>
    <x v="52"/>
    <x v="52"/>
    <x v="15"/>
    <x v="0"/>
    <x v="0"/>
    <x v="421"/>
    <x v="421"/>
    <x v="3"/>
    <x v="3"/>
    <x v="17"/>
    <x v="1"/>
    <x v="6"/>
    <x v="893"/>
    <x v="10"/>
    <x v="51"/>
  </r>
  <r>
    <s v="SUPER"/>
    <s v="HO"/>
    <s v="04/09/2025"/>
    <s v="01/08/2025-31/08/2025"/>
    <x v="52"/>
    <x v="52"/>
    <x v="15"/>
    <x v="0"/>
    <x v="0"/>
    <x v="420"/>
    <x v="420"/>
    <x v="3"/>
    <x v="3"/>
    <x v="17"/>
    <x v="1"/>
    <x v="7"/>
    <x v="893"/>
    <x v="10"/>
    <x v="51"/>
  </r>
  <r>
    <s v="SUPER"/>
    <s v="HO"/>
    <s v="04/09/2025"/>
    <s v="01/08/2025-31/08/2025"/>
    <x v="52"/>
    <x v="52"/>
    <x v="15"/>
    <x v="0"/>
    <x v="0"/>
    <x v="488"/>
    <x v="488"/>
    <x v="3"/>
    <x v="3"/>
    <x v="17"/>
    <x v="1"/>
    <x v="8"/>
    <x v="893"/>
    <x v="10"/>
    <x v="51"/>
  </r>
  <r>
    <s v="SUPER"/>
    <s v="HO"/>
    <s v="04/09/2025"/>
    <s v="01/08/2025-31/08/2025"/>
    <x v="52"/>
    <x v="52"/>
    <x v="15"/>
    <x v="0"/>
    <x v="0"/>
    <x v="471"/>
    <x v="471"/>
    <x v="3"/>
    <x v="3"/>
    <x v="17"/>
    <x v="1"/>
    <x v="9"/>
    <x v="893"/>
    <x v="10"/>
    <x v="51"/>
  </r>
  <r>
    <s v="SUPER"/>
    <s v="HO"/>
    <s v="04/09/2025"/>
    <s v="01/08/2025-31/08/2025"/>
    <x v="52"/>
    <x v="52"/>
    <x v="15"/>
    <x v="0"/>
    <x v="0"/>
    <x v="420"/>
    <x v="420"/>
    <x v="3"/>
    <x v="3"/>
    <x v="17"/>
    <x v="1"/>
    <x v="10"/>
    <x v="893"/>
    <x v="10"/>
    <x v="51"/>
  </r>
  <r>
    <s v="SUPER"/>
    <s v="HO"/>
    <s v="04/09/2025"/>
    <s v="01/08/2025-31/08/2025"/>
    <x v="52"/>
    <x v="52"/>
    <x v="15"/>
    <x v="0"/>
    <x v="0"/>
    <x v="487"/>
    <x v="487"/>
    <x v="3"/>
    <x v="3"/>
    <x v="17"/>
    <x v="1"/>
    <x v="11"/>
    <x v="893"/>
    <x v="10"/>
    <x v="51"/>
  </r>
  <r>
    <s v="SUPER"/>
    <s v="HO"/>
    <s v="04/09/2025"/>
    <s v="01/08/2025-31/08/2025"/>
    <x v="52"/>
    <x v="52"/>
    <x v="15"/>
    <x v="0"/>
    <x v="0"/>
    <x v="419"/>
    <x v="419"/>
    <x v="3"/>
    <x v="3"/>
    <x v="17"/>
    <x v="1"/>
    <x v="12"/>
    <x v="893"/>
    <x v="10"/>
    <x v="51"/>
  </r>
  <r>
    <s v="SUPER"/>
    <s v="HO"/>
    <s v="04/09/2025"/>
    <s v="01/08/2025-31/08/2025"/>
    <x v="52"/>
    <x v="52"/>
    <x v="15"/>
    <x v="0"/>
    <x v="0"/>
    <x v="53"/>
    <x v="53"/>
    <x v="3"/>
    <x v="3"/>
    <x v="17"/>
    <x v="1"/>
    <x v="13"/>
    <x v="893"/>
    <x v="10"/>
    <x v="51"/>
  </r>
  <r>
    <s v="SUPER"/>
    <s v="HO"/>
    <s v="04/09/2025"/>
    <s v="01/08/2025-31/08/2025"/>
    <x v="52"/>
    <x v="52"/>
    <x v="15"/>
    <x v="0"/>
    <x v="0"/>
    <x v="420"/>
    <x v="420"/>
    <x v="3"/>
    <x v="3"/>
    <x v="17"/>
    <x v="1"/>
    <x v="14"/>
    <x v="893"/>
    <x v="10"/>
    <x v="51"/>
  </r>
  <r>
    <s v="SUPER"/>
    <s v="HO"/>
    <s v="04/09/2025"/>
    <s v="01/08/2025-31/08/2025"/>
    <x v="52"/>
    <x v="52"/>
    <x v="15"/>
    <x v="0"/>
    <x v="0"/>
    <x v="421"/>
    <x v="421"/>
    <x v="3"/>
    <x v="3"/>
    <x v="17"/>
    <x v="1"/>
    <x v="15"/>
    <x v="893"/>
    <x v="10"/>
    <x v="51"/>
  </r>
  <r>
    <s v="SUPER"/>
    <s v="HO"/>
    <s v="04/09/2025"/>
    <s v="01/08/2025-31/08/2025"/>
    <x v="52"/>
    <x v="52"/>
    <x v="15"/>
    <x v="0"/>
    <x v="0"/>
    <x v="309"/>
    <x v="309"/>
    <x v="3"/>
    <x v="3"/>
    <x v="17"/>
    <x v="1"/>
    <x v="16"/>
    <x v="893"/>
    <x v="10"/>
    <x v="51"/>
  </r>
  <r>
    <s v="SUPER"/>
    <s v="HO"/>
    <s v="04/09/2025"/>
    <s v="01/08/2025-31/08/2025"/>
    <x v="52"/>
    <x v="52"/>
    <x v="15"/>
    <x v="0"/>
    <x v="0"/>
    <x v="401"/>
    <x v="401"/>
    <x v="3"/>
    <x v="3"/>
    <x v="17"/>
    <x v="1"/>
    <x v="17"/>
    <x v="893"/>
    <x v="10"/>
    <x v="51"/>
  </r>
  <r>
    <s v="SUPER"/>
    <s v="HO"/>
    <s v="04/09/2025"/>
    <s v="01/08/2025-31/08/2025"/>
    <x v="52"/>
    <x v="52"/>
    <x v="15"/>
    <x v="0"/>
    <x v="0"/>
    <x v="401"/>
    <x v="401"/>
    <x v="3"/>
    <x v="3"/>
    <x v="17"/>
    <x v="1"/>
    <x v="18"/>
    <x v="893"/>
    <x v="10"/>
    <x v="51"/>
  </r>
  <r>
    <s v="SUPER"/>
    <s v="HO"/>
    <s v="04/09/2025"/>
    <s v="01/08/2025-31/08/2025"/>
    <x v="52"/>
    <x v="52"/>
    <x v="15"/>
    <x v="0"/>
    <x v="0"/>
    <x v="378"/>
    <x v="378"/>
    <x v="3"/>
    <x v="3"/>
    <x v="17"/>
    <x v="1"/>
    <x v="19"/>
    <x v="893"/>
    <x v="10"/>
    <x v="51"/>
  </r>
  <r>
    <s v="SUPER"/>
    <s v="HO"/>
    <s v="04/09/2025"/>
    <s v="01/08/2025-31/08/2025"/>
    <x v="52"/>
    <x v="52"/>
    <x v="15"/>
    <x v="0"/>
    <x v="0"/>
    <x v="272"/>
    <x v="272"/>
    <x v="3"/>
    <x v="3"/>
    <x v="17"/>
    <x v="1"/>
    <x v="20"/>
    <x v="893"/>
    <x v="10"/>
    <x v="51"/>
  </r>
  <r>
    <s v="SUPER"/>
    <s v="HO"/>
    <s v="04/09/2025"/>
    <s v="01/08/2025-31/08/2025"/>
    <x v="52"/>
    <x v="52"/>
    <x v="15"/>
    <x v="0"/>
    <x v="0"/>
    <x v="428"/>
    <x v="428"/>
    <x v="3"/>
    <x v="3"/>
    <x v="17"/>
    <x v="1"/>
    <x v="21"/>
    <x v="893"/>
    <x v="10"/>
    <x v="51"/>
  </r>
  <r>
    <s v="SUPER"/>
    <s v="HO"/>
    <s v="04/09/2025"/>
    <s v="01/08/2025-31/08/2025"/>
    <x v="52"/>
    <x v="52"/>
    <x v="15"/>
    <x v="0"/>
    <x v="0"/>
    <x v="53"/>
    <x v="53"/>
    <x v="3"/>
    <x v="3"/>
    <x v="17"/>
    <x v="1"/>
    <x v="22"/>
    <x v="893"/>
    <x v="10"/>
    <x v="51"/>
  </r>
  <r>
    <s v="SUPER"/>
    <s v="HO"/>
    <s v="04/09/2025"/>
    <s v="01/08/2025-31/08/2025"/>
    <x v="52"/>
    <x v="52"/>
    <x v="15"/>
    <x v="0"/>
    <x v="0"/>
    <x v="294"/>
    <x v="294"/>
    <x v="3"/>
    <x v="3"/>
    <x v="17"/>
    <x v="1"/>
    <x v="23"/>
    <x v="893"/>
    <x v="10"/>
    <x v="51"/>
  </r>
  <r>
    <s v="SUPER"/>
    <s v="HO"/>
    <s v="04/09/2025"/>
    <s v="01/08/2025-31/08/2025"/>
    <x v="64"/>
    <x v="64"/>
    <x v="15"/>
    <x v="0"/>
    <x v="0"/>
    <x v="239"/>
    <x v="239"/>
    <x v="74"/>
    <x v="74"/>
    <x v="17"/>
    <x v="1"/>
    <x v="0"/>
    <x v="894"/>
    <x v="1"/>
    <x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D0B42-75F8-415A-B66F-02BE9E166C73}" name="PivotTable1" cacheId="18" applyNumberFormats="0" applyBorderFormats="0" applyFontFormats="0" applyPatternFormats="0" applyAlignmentFormats="0" applyWidthHeightFormats="1" dataCaption="Values" missingCaption="-" updatedVersion="8" minRefreshableVersion="3" showDrill="0" useAutoFormatting="1" rowGrandTotals="0" colGrandTotals="0" itemPrintTitles="1" createdVersion="8" indent="0" compact="0" compactData="0" multipleFieldFilters="0">
  <location ref="A5:O14" firstHeaderRow="1" firstDataRow="1" firstDataCol="15"/>
  <pivotFields count="21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Staff Code" axis="axisRow" compact="0" outline="0" subtotalTop="0" showAll="0" defaultSubtotal="0">
      <items count="159">
        <item m="1" x="157"/>
        <item m="1" x="156"/>
        <item m="1" x="158"/>
        <item x="0"/>
        <item x="6"/>
        <item x="8"/>
        <item x="28"/>
        <item x="95"/>
        <item x="39"/>
        <item x="65"/>
        <item x="85"/>
        <item x="103"/>
        <item x="105"/>
        <item x="60"/>
        <item x="114"/>
        <item x="53"/>
        <item x="37"/>
        <item m="1" x="153"/>
        <item x="46"/>
        <item x="33"/>
        <item x="55"/>
        <item x="22"/>
        <item x="10"/>
        <item x="128"/>
        <item x="120"/>
        <item x="52"/>
        <item x="45"/>
        <item x="97"/>
        <item x="19"/>
        <item x="24"/>
        <item x="25"/>
        <item x="138"/>
        <item x="76"/>
        <item x="54"/>
        <item x="31"/>
        <item x="72"/>
        <item x="17"/>
        <item x="11"/>
        <item x="89"/>
        <item x="130"/>
        <item x="88"/>
        <item x="87"/>
        <item x="56"/>
        <item x="86"/>
        <item x="131"/>
        <item x="27"/>
        <item x="66"/>
        <item x="102"/>
        <item x="51"/>
        <item x="15"/>
        <item x="84"/>
        <item x="116"/>
        <item x="151"/>
        <item x="43"/>
        <item x="64"/>
        <item x="127"/>
        <item x="40"/>
        <item x="14"/>
        <item x="152"/>
        <item x="16"/>
        <item x="107"/>
        <item x="126"/>
        <item x="3"/>
        <item x="23"/>
        <item x="29"/>
        <item x="48"/>
        <item x="68"/>
        <item x="75"/>
        <item x="77"/>
        <item x="20"/>
        <item x="96"/>
        <item m="1" x="154"/>
        <item x="106"/>
        <item x="108"/>
        <item x="101"/>
        <item x="59"/>
        <item x="73"/>
        <item x="113"/>
        <item x="115"/>
        <item x="117"/>
        <item x="119"/>
        <item x="124"/>
        <item x="47"/>
        <item x="36"/>
        <item x="91"/>
        <item x="136"/>
        <item x="98"/>
        <item x="137"/>
        <item x="18"/>
        <item x="69"/>
        <item x="142"/>
        <item x="42"/>
        <item x="80"/>
        <item x="104"/>
        <item x="35"/>
        <item x="41"/>
        <item x="34"/>
        <item x="121"/>
        <item x="7"/>
        <item x="146"/>
        <item x="135"/>
        <item x="141"/>
        <item x="94"/>
        <item x="4"/>
        <item x="148"/>
        <item x="9"/>
        <item x="1"/>
        <item x="32"/>
        <item x="61"/>
        <item x="78"/>
        <item x="13"/>
        <item x="74"/>
        <item x="112"/>
        <item x="50"/>
        <item x="26"/>
        <item x="44"/>
        <item x="21"/>
        <item x="140"/>
        <item x="143"/>
        <item x="30"/>
        <item x="147"/>
        <item x="149"/>
        <item x="49"/>
        <item x="110"/>
        <item x="12"/>
        <item x="70"/>
        <item x="139"/>
        <item m="1" x="155"/>
        <item x="92"/>
        <item x="83"/>
        <item x="145"/>
        <item x="144"/>
        <item x="63"/>
        <item x="99"/>
        <item x="150"/>
        <item x="82"/>
        <item x="125"/>
        <item x="58"/>
        <item x="5"/>
        <item x="123"/>
        <item x="118"/>
        <item x="129"/>
        <item x="134"/>
        <item x="111"/>
        <item x="100"/>
        <item x="79"/>
        <item x="90"/>
        <item x="132"/>
        <item x="81"/>
        <item x="133"/>
        <item x="62"/>
        <item x="2"/>
        <item x="57"/>
        <item x="93"/>
        <item x="122"/>
        <item x="109"/>
        <item x="67"/>
        <item x="71"/>
        <item x="38"/>
      </items>
    </pivotField>
    <pivotField axis="axisRow" compact="0" outline="0" subtotalTop="0" showAll="0" defaultSubtotal="0">
      <items count="161">
        <item h="1" m="1" x="158"/>
        <item h="1" m="1" x="159"/>
        <item h="1" m="1" x="160"/>
        <item h="1" m="1" x="156"/>
        <item h="1" m="1" x="157"/>
        <item h="1" x="0"/>
        <item h="1" x="6"/>
        <item h="1" x="8"/>
        <item h="1" x="28"/>
        <item h="1" x="95"/>
        <item h="1" x="39"/>
        <item h="1" x="65"/>
        <item h="1" x="85"/>
        <item h="1" x="103"/>
        <item h="1" x="105"/>
        <item h="1" x="60"/>
        <item h="1" x="114"/>
        <item h="1" x="53"/>
        <item h="1" x="37"/>
        <item h="1" m="1" x="153"/>
        <item h="1" x="46"/>
        <item h="1" x="33"/>
        <item h="1" x="55"/>
        <item h="1" x="22"/>
        <item h="1" x="10"/>
        <item h="1" x="128"/>
        <item h="1" x="120"/>
        <item h="1" x="52"/>
        <item h="1" x="45"/>
        <item h="1" x="97"/>
        <item h="1" x="19"/>
        <item h="1" x="24"/>
        <item h="1" x="25"/>
        <item h="1" x="138"/>
        <item h="1" x="76"/>
        <item h="1" x="54"/>
        <item h="1" x="31"/>
        <item h="1" x="72"/>
        <item h="1" x="17"/>
        <item h="1" x="11"/>
        <item h="1" x="89"/>
        <item h="1" x="130"/>
        <item h="1" x="88"/>
        <item h="1" x="87"/>
        <item h="1" x="56"/>
        <item h="1" x="86"/>
        <item h="1" x="131"/>
        <item h="1" x="27"/>
        <item h="1" x="66"/>
        <item h="1" x="102"/>
        <item h="1" x="51"/>
        <item h="1" x="15"/>
        <item h="1" x="84"/>
        <item h="1" x="116"/>
        <item h="1" x="151"/>
        <item h="1" x="43"/>
        <item h="1" x="64"/>
        <item h="1" x="127"/>
        <item h="1" x="40"/>
        <item h="1" x="14"/>
        <item h="1" x="152"/>
        <item h="1" x="16"/>
        <item h="1" x="107"/>
        <item h="1" x="126"/>
        <item h="1" x="3"/>
        <item h="1" x="23"/>
        <item h="1" x="29"/>
        <item h="1" x="48"/>
        <item h="1" x="68"/>
        <item h="1" x="75"/>
        <item h="1" x="77"/>
        <item h="1" x="20"/>
        <item h="1" x="96"/>
        <item h="1" m="1" x="154"/>
        <item h="1" x="106"/>
        <item h="1" x="108"/>
        <item h="1" x="101"/>
        <item h="1" x="59"/>
        <item h="1" x="73"/>
        <item h="1" x="113"/>
        <item h="1" x="115"/>
        <item h="1" x="117"/>
        <item h="1" x="119"/>
        <item h="1" x="124"/>
        <item h="1" x="47"/>
        <item h="1" x="36"/>
        <item h="1" x="91"/>
        <item h="1" x="136"/>
        <item h="1" x="98"/>
        <item h="1" x="137"/>
        <item h="1" x="18"/>
        <item h="1" x="69"/>
        <item h="1" x="142"/>
        <item h="1" x="42"/>
        <item h="1" x="80"/>
        <item h="1" x="104"/>
        <item h="1" x="35"/>
        <item h="1" x="41"/>
        <item h="1" x="34"/>
        <item h="1" x="121"/>
        <item h="1" x="7"/>
        <item h="1" x="146"/>
        <item h="1" x="135"/>
        <item h="1" x="141"/>
        <item h="1" x="94"/>
        <item h="1" x="4"/>
        <item h="1" x="148"/>
        <item h="1" x="9"/>
        <item h="1" x="1"/>
        <item x="32"/>
        <item h="1" x="61"/>
        <item h="1" x="78"/>
        <item h="1" x="13"/>
        <item h="1" x="74"/>
        <item h="1" x="112"/>
        <item h="1" x="50"/>
        <item h="1" x="26"/>
        <item h="1" x="44"/>
        <item h="1" x="21"/>
        <item h="1" x="140"/>
        <item h="1" x="143"/>
        <item h="1" x="30"/>
        <item h="1" x="147"/>
        <item h="1" x="149"/>
        <item h="1" x="49"/>
        <item h="1" x="110"/>
        <item h="1" x="12"/>
        <item h="1" x="70"/>
        <item h="1" x="139"/>
        <item h="1" m="1" x="155"/>
        <item h="1" x="92"/>
        <item h="1" x="83"/>
        <item h="1" x="145"/>
        <item h="1" x="144"/>
        <item h="1" x="63"/>
        <item h="1" x="99"/>
        <item h="1" x="150"/>
        <item h="1" x="82"/>
        <item h="1" x="125"/>
        <item h="1" x="58"/>
        <item h="1" x="5"/>
        <item h="1" x="123"/>
        <item h="1" x="118"/>
        <item h="1" x="129"/>
        <item h="1" x="134"/>
        <item h="1" x="111"/>
        <item h="1" x="100"/>
        <item h="1" x="79"/>
        <item h="1" x="90"/>
        <item h="1" x="132"/>
        <item h="1" x="81"/>
        <item h="1" x="133"/>
        <item h="1" x="62"/>
        <item h="1" x="2"/>
        <item h="1" x="57"/>
        <item h="1" x="93"/>
        <item h="1" x="122"/>
        <item h="1" x="109"/>
        <item h="1" x="67"/>
        <item h="1" x="71"/>
        <item h="1" x="38"/>
      </items>
    </pivotField>
    <pivotField axis="axisRow" compact="0" outline="0" subtotalTop="0" showAll="0" defaultSubtotal="0">
      <items count="27">
        <item x="14"/>
        <item x="17"/>
        <item x="0"/>
        <item x="5"/>
        <item x="7"/>
        <item x="11"/>
        <item x="18"/>
        <item x="22"/>
        <item x="20"/>
        <item x="9"/>
        <item x="21"/>
        <item x="13"/>
        <item x="12"/>
        <item x="26"/>
        <item x="15"/>
        <item x="6"/>
        <item x="1"/>
        <item x="8"/>
        <item x="16"/>
        <item x="19"/>
        <item x="25"/>
        <item x="3"/>
        <item x="10"/>
        <item x="23"/>
        <item x="2"/>
        <item x="4"/>
        <item x="24"/>
      </items>
    </pivotField>
    <pivotField axis="axisRow" compact="0" outline="0" subtotalTop="0" showAll="0" defaultSubtotal="0">
      <items count="1">
        <item x="0"/>
      </items>
    </pivotField>
    <pivotField name="Yearly Budget" axis="axisRow" compact="0" numFmtId="1" outline="0" subtotalTop="0" showAll="0" defaultSubtotal="0">
      <items count="7">
        <item m="1" x="5"/>
        <item m="1" x="6"/>
        <item x="0"/>
        <item x="2"/>
        <item x="1"/>
        <item x="3"/>
        <item x="4"/>
      </items>
    </pivotField>
    <pivotField name="Yearly Spending" axis="axisRow" compact="0" numFmtId="3" outline="0" subtotalTop="0" showAll="0" defaultSubtotal="0">
      <items count="829">
        <item m="1" x="820"/>
        <item m="1" x="823"/>
        <item m="1" x="822"/>
        <item m="1" x="812"/>
        <item m="1" x="811"/>
        <item m="1" x="793"/>
        <item m="1" x="815"/>
        <item m="1" x="807"/>
        <item m="1" x="821"/>
        <item m="1" x="805"/>
        <item m="1" x="794"/>
        <item m="1" x="803"/>
        <item m="1" x="801"/>
        <item m="1" x="806"/>
        <item m="1" x="802"/>
        <item m="1" x="810"/>
        <item m="1" x="798"/>
        <item m="1" x="813"/>
        <item m="1" x="804"/>
        <item m="1" x="814"/>
        <item m="1" x="824"/>
        <item m="1" x="791"/>
        <item m="1" x="809"/>
        <item m="1" x="800"/>
        <item m="1" x="808"/>
        <item m="1" x="796"/>
        <item m="1" x="795"/>
        <item m="1" x="819"/>
        <item m="1" x="799"/>
        <item m="1" x="797"/>
        <item m="1" x="790"/>
        <item m="1" x="816"/>
        <item m="1" x="826"/>
        <item m="1" x="825"/>
        <item m="1" x="827"/>
        <item m="1" x="828"/>
        <item m="1" x="817"/>
        <item m="1" x="792"/>
        <item m="1" x="818"/>
        <item x="181"/>
        <item m="1" x="783"/>
        <item m="1" x="784"/>
        <item m="1" x="785"/>
        <item m="1" x="786"/>
        <item m="1" x="787"/>
        <item m="1" x="788"/>
        <item m="1" x="789"/>
        <item m="1" x="697"/>
        <item x="0"/>
        <item x="1"/>
        <item x="4"/>
        <item x="7"/>
        <item x="170"/>
        <item x="86"/>
        <item x="30"/>
        <item x="102"/>
        <item x="174"/>
        <item x="276"/>
        <item x="29"/>
        <item x="39"/>
        <item x="281"/>
        <item x="6"/>
        <item x="41"/>
        <item x="22"/>
        <item x="175"/>
        <item x="52"/>
        <item m="1" x="627"/>
        <item x="419"/>
        <item x="452"/>
        <item m="1" x="628"/>
        <item x="46"/>
        <item m="1" x="629"/>
        <item x="11"/>
        <item m="1" x="630"/>
        <item x="388"/>
        <item x="389"/>
        <item x="151"/>
        <item x="40"/>
        <item x="401"/>
        <item x="299"/>
        <item x="240"/>
        <item x="5"/>
        <item x="318"/>
        <item m="1" x="631"/>
        <item x="463"/>
        <item m="1" x="632"/>
        <item x="465"/>
        <item x="53"/>
        <item x="23"/>
        <item m="1" x="633"/>
        <item m="1" x="634"/>
        <item x="420"/>
        <item x="42"/>
        <item m="1" x="635"/>
        <item x="17"/>
        <item x="164"/>
        <item x="75"/>
        <item x="64"/>
        <item x="230"/>
        <item x="467"/>
        <item x="468"/>
        <item m="1" x="636"/>
        <item x="395"/>
        <item x="298"/>
        <item x="376"/>
        <item x="161"/>
        <item x="475"/>
        <item m="1" x="637"/>
        <item m="1" x="638"/>
        <item m="1" x="616"/>
        <item x="37"/>
        <item x="136"/>
        <item x="137"/>
        <item x="138"/>
        <item x="82"/>
        <item m="1" x="639"/>
        <item x="54"/>
        <item x="70"/>
        <item x="279"/>
        <item x="300"/>
        <item x="301"/>
        <item x="234"/>
        <item x="233"/>
        <item x="59"/>
        <item m="1" x="542"/>
        <item x="362"/>
        <item x="315"/>
        <item x="326"/>
        <item m="1" x="640"/>
        <item m="1" x="641"/>
        <item x="165"/>
        <item x="280"/>
        <item x="211"/>
        <item x="239"/>
        <item x="346"/>
        <item x="285"/>
        <item x="382"/>
        <item x="386"/>
        <item m="1" x="642"/>
        <item x="277"/>
        <item x="409"/>
        <item x="384"/>
        <item x="125"/>
        <item x="189"/>
        <item x="307"/>
        <item x="203"/>
        <item m="1" x="643"/>
        <item m="1" x="644"/>
        <item x="229"/>
        <item m="1" x="645"/>
        <item x="283"/>
        <item m="1" x="646"/>
        <item m="1" x="523"/>
        <item m="1" x="647"/>
        <item m="1" x="580"/>
        <item x="103"/>
        <item x="81"/>
        <item x="131"/>
        <item x="98"/>
        <item m="1" x="648"/>
        <item m="1" x="649"/>
        <item x="449"/>
        <item m="1" x="650"/>
        <item x="411"/>
        <item x="197"/>
        <item x="51"/>
        <item x="284"/>
        <item x="34"/>
        <item x="292"/>
        <item x="462"/>
        <item m="1" x="651"/>
        <item m="1" x="652"/>
        <item x="440"/>
        <item x="160"/>
        <item x="396"/>
        <item x="405"/>
        <item x="309"/>
        <item x="474"/>
        <item x="121"/>
        <item m="1" x="653"/>
        <item x="341"/>
        <item x="429"/>
        <item x="476"/>
        <item m="1" x="654"/>
        <item x="287"/>
        <item m="1" x="655"/>
        <item x="47"/>
        <item x="464"/>
        <item x="272"/>
        <item m="1" x="656"/>
        <item m="1" x="657"/>
        <item m="1" x="658"/>
        <item m="1" x="659"/>
        <item x="480"/>
        <item x="481"/>
        <item x="432"/>
        <item x="471"/>
        <item x="428"/>
        <item x="257"/>
        <item x="378"/>
        <item m="1" x="660"/>
        <item m="1" x="661"/>
        <item m="1" x="662"/>
        <item m="1" x="663"/>
        <item x="35"/>
        <item x="485"/>
        <item x="36"/>
        <item x="486"/>
        <item x="63"/>
        <item x="334"/>
        <item x="312"/>
        <item x="169"/>
        <item x="487"/>
        <item x="488"/>
        <item x="421"/>
        <item x="294"/>
        <item x="10"/>
        <item m="1" x="664"/>
        <item m="1" x="665"/>
        <item x="406"/>
        <item x="85"/>
        <item x="140"/>
        <item x="141"/>
        <item x="142"/>
        <item x="31"/>
        <item x="184"/>
        <item x="212"/>
        <item x="215"/>
        <item m="1" x="666"/>
        <item x="228"/>
        <item x="237"/>
        <item x="266"/>
        <item x="267"/>
        <item x="268"/>
        <item x="38"/>
        <item x="269"/>
        <item x="270"/>
        <item x="271"/>
        <item x="48"/>
        <item x="313"/>
        <item x="314"/>
        <item x="444"/>
        <item x="368"/>
        <item x="114"/>
        <item m="1" x="667"/>
        <item x="347"/>
        <item x="353"/>
        <item x="296"/>
        <item x="345"/>
        <item m="1" x="668"/>
        <item x="392"/>
        <item x="394"/>
        <item x="39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x="399"/>
        <item x="177"/>
        <item x="8"/>
        <item x="415"/>
        <item x="116"/>
        <item x="117"/>
        <item m="1" x="678"/>
        <item m="1" x="679"/>
        <item x="424"/>
        <item m="1" x="680"/>
        <item x="152"/>
        <item x="393"/>
        <item x="379"/>
        <item x="12"/>
        <item x="437"/>
        <item x="439"/>
        <item x="2"/>
        <item x="113"/>
        <item x="214"/>
        <item m="1" x="681"/>
        <item m="1" x="682"/>
        <item x="163"/>
        <item m="1" x="683"/>
        <item x="32"/>
        <item x="319"/>
        <item x="87"/>
        <item x="111"/>
        <item x="99"/>
        <item x="100"/>
        <item x="101"/>
        <item x="112"/>
        <item x="231"/>
        <item x="232"/>
        <item x="62"/>
        <item x="244"/>
        <item m="1" x="684"/>
        <item x="247"/>
        <item x="248"/>
        <item x="249"/>
        <item x="251"/>
        <item x="252"/>
        <item x="253"/>
        <item m="1" x="685"/>
        <item m="1" x="686"/>
        <item x="466"/>
        <item x="243"/>
        <item x="311"/>
        <item m="1" x="687"/>
        <item x="325"/>
        <item x="333"/>
        <item x="342"/>
        <item x="354"/>
        <item x="356"/>
        <item x="96"/>
        <item x="390"/>
        <item x="402"/>
        <item m="1" x="688"/>
        <item m="1" x="689"/>
        <item x="391"/>
        <item x="410"/>
        <item m="1" x="690"/>
        <item x="430"/>
        <item x="431"/>
        <item x="441"/>
        <item x="297"/>
        <item x="13"/>
        <item x="418"/>
        <item x="321"/>
        <item m="1" x="691"/>
        <item x="49"/>
        <item x="60"/>
        <item x="61"/>
        <item x="206"/>
        <item x="220"/>
        <item x="171"/>
        <item x="329"/>
        <item x="385"/>
        <item x="381"/>
        <item m="1" x="692"/>
        <item x="173"/>
        <item x="423"/>
        <item x="33"/>
        <item x="470"/>
        <item x="225"/>
        <item x="373"/>
        <item x="447"/>
        <item x="453"/>
        <item x="454"/>
        <item x="455"/>
        <item m="1" x="693"/>
        <item x="331"/>
        <item x="275"/>
        <item x="338"/>
        <item x="44"/>
        <item x="469"/>
        <item x="167"/>
        <item x="472"/>
        <item x="67"/>
        <item x="104"/>
        <item x="139"/>
        <item x="118"/>
        <item x="190"/>
        <item m="1" x="694"/>
        <item m="1" x="695"/>
        <item m="1" x="696"/>
        <item x="278"/>
        <item x="286"/>
        <item x="310"/>
        <item x="323"/>
        <item x="330"/>
        <item x="337"/>
        <item x="349"/>
        <item m="1" x="698"/>
        <item x="122"/>
        <item m="1" x="699"/>
        <item x="305"/>
        <item x="417"/>
        <item x="159"/>
        <item x="434"/>
        <item x="435"/>
        <item x="443"/>
        <item x="445"/>
        <item x="450"/>
        <item x="451"/>
        <item x="456"/>
        <item m="1" x="700"/>
        <item x="414"/>
        <item x="425"/>
        <item m="1" x="701"/>
        <item x="459"/>
        <item m="1" x="702"/>
        <item m="1" x="703"/>
        <item x="43"/>
        <item x="73"/>
        <item x="123"/>
        <item x="124"/>
        <item x="128"/>
        <item x="143"/>
        <item x="144"/>
        <item m="1" x="704"/>
        <item x="187"/>
        <item x="188"/>
        <item x="154"/>
        <item m="1" x="705"/>
        <item x="153"/>
        <item x="166"/>
        <item x="110"/>
        <item x="332"/>
        <item x="335"/>
        <item x="339"/>
        <item x="365"/>
        <item x="351"/>
        <item x="78"/>
        <item x="383"/>
        <item x="397"/>
        <item x="403"/>
        <item x="76"/>
        <item x="380"/>
        <item x="404"/>
        <item x="45"/>
        <item x="91"/>
        <item x="126"/>
        <item x="129"/>
        <item x="191"/>
        <item x="219"/>
        <item x="226"/>
        <item x="227"/>
        <item x="250"/>
        <item m="1" x="706"/>
        <item m="1" x="707"/>
        <item x="336"/>
        <item x="340"/>
        <item x="343"/>
        <item m="1" x="708"/>
        <item x="168"/>
        <item x="364"/>
        <item x="377"/>
        <item x="94"/>
        <item x="95"/>
        <item x="97"/>
        <item x="106"/>
        <item m="1" x="709"/>
        <item m="1" x="710"/>
        <item m="1" x="711"/>
        <item m="1" x="712"/>
        <item m="1" x="713"/>
        <item x="172"/>
        <item m="1" x="714"/>
        <item m="1" x="715"/>
        <item m="1" x="716"/>
        <item m="1" x="717"/>
        <item x="304"/>
        <item m="1" x="718"/>
        <item x="352"/>
        <item x="366"/>
        <item x="21"/>
        <item x="65"/>
        <item x="66"/>
        <item x="88"/>
        <item x="130"/>
        <item x="192"/>
        <item x="92"/>
        <item x="193"/>
        <item x="16"/>
        <item x="109"/>
        <item m="1" x="719"/>
        <item m="1" x="720"/>
        <item x="149"/>
        <item x="150"/>
        <item x="178"/>
        <item x="180"/>
        <item x="194"/>
        <item x="195"/>
        <item x="198"/>
        <item m="1" x="721"/>
        <item x="369"/>
        <item x="69"/>
        <item x="367"/>
        <item m="1" x="722"/>
        <item m="1" x="723"/>
        <item x="196"/>
        <item x="242"/>
        <item x="265"/>
        <item m="1" x="724"/>
        <item m="1" x="725"/>
        <item x="348"/>
        <item x="408"/>
        <item x="446"/>
        <item x="132"/>
        <item x="375"/>
        <item m="1" x="726"/>
        <item m="1" x="727"/>
        <item x="68"/>
        <item x="74"/>
        <item x="108"/>
        <item x="120"/>
        <item x="155"/>
        <item x="156"/>
        <item x="157"/>
        <item x="158"/>
        <item x="179"/>
        <item m="1" x="728"/>
        <item x="370"/>
        <item x="371"/>
        <item x="387"/>
        <item x="407"/>
        <item x="416"/>
        <item x="50"/>
        <item m="1" x="729"/>
        <item m="1" x="730"/>
        <item m="1" x="731"/>
        <item m="1" x="732"/>
        <item m="1" x="733"/>
        <item x="210"/>
        <item x="58"/>
        <item m="1" x="734"/>
        <item m="1" x="735"/>
        <item m="1" x="736"/>
        <item x="235"/>
        <item x="236"/>
        <item m="1" x="737"/>
        <item m="1" x="738"/>
        <item m="1" x="739"/>
        <item m="1" x="740"/>
        <item m="1" x="741"/>
        <item m="1" x="742"/>
        <item x="207"/>
        <item x="208"/>
        <item x="209"/>
        <item x="224"/>
        <item x="57"/>
        <item x="254"/>
        <item x="255"/>
        <item x="256"/>
        <item m="1" x="743"/>
        <item x="72"/>
        <item x="105"/>
        <item x="205"/>
        <item x="241"/>
        <item x="258"/>
        <item x="89"/>
        <item x="90"/>
        <item m="1" x="744"/>
        <item m="1" x="745"/>
        <item x="221"/>
        <item x="93"/>
        <item x="107"/>
        <item m="1" x="746"/>
        <item m="1" x="747"/>
        <item x="147"/>
        <item m="1" x="748"/>
        <item x="162"/>
        <item m="1" x="749"/>
        <item m="1" x="750"/>
        <item m="1" x="751"/>
        <item x="317"/>
        <item m="1" x="752"/>
        <item x="360"/>
        <item x="361"/>
        <item x="9"/>
        <item x="20"/>
        <item m="1" x="753"/>
        <item x="77"/>
        <item x="79"/>
        <item x="80"/>
        <item x="83"/>
        <item x="84"/>
        <item x="134"/>
        <item m="1" x="754"/>
        <item m="1" x="755"/>
        <item x="202"/>
        <item x="222"/>
        <item x="223"/>
        <item x="290"/>
        <item x="24"/>
        <item x="25"/>
        <item x="26"/>
        <item x="27"/>
        <item x="28"/>
        <item x="288"/>
        <item x="289"/>
        <item x="372"/>
        <item x="427"/>
        <item x="442"/>
        <item x="448"/>
        <item x="457"/>
        <item m="1" x="756"/>
        <item m="1" x="757"/>
        <item x="119"/>
        <item x="133"/>
        <item x="186"/>
        <item x="204"/>
        <item x="245"/>
        <item x="246"/>
        <item m="1" x="758"/>
        <item m="1" x="759"/>
        <item x="350"/>
        <item m="1" x="760"/>
        <item x="422"/>
        <item x="433"/>
        <item m="1" x="761"/>
        <item x="458"/>
        <item x="460"/>
        <item x="461"/>
        <item m="1" x="762"/>
        <item x="473"/>
        <item x="200"/>
        <item x="201"/>
        <item x="216"/>
        <item x="273"/>
        <item x="274"/>
        <item x="293"/>
        <item x="295"/>
        <item x="302"/>
        <item x="303"/>
        <item x="316"/>
        <item x="320"/>
        <item x="355"/>
        <item m="1" x="763"/>
        <item m="1" x="764"/>
        <item x="359"/>
        <item x="135"/>
        <item x="145"/>
        <item x="217"/>
        <item x="218"/>
        <item x="238"/>
        <item x="306"/>
        <item x="308"/>
        <item x="322"/>
        <item x="324"/>
        <item x="327"/>
        <item x="328"/>
        <item x="14"/>
        <item x="15"/>
        <item x="282"/>
        <item m="1" x="513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519"/>
        <item m="1" x="776"/>
        <item m="1" x="777"/>
        <item m="1" x="527"/>
        <item m="1" x="778"/>
        <item m="1" x="779"/>
        <item m="1" x="780"/>
        <item m="1" x="781"/>
        <item m="1" x="782"/>
        <item m="1" x="511"/>
        <item m="1" x="512"/>
        <item m="1" x="514"/>
        <item m="1" x="515"/>
        <item m="1" x="516"/>
        <item m="1" x="517"/>
        <item m="1" x="518"/>
        <item m="1" x="520"/>
        <item m="1" x="521"/>
        <item m="1" x="522"/>
        <item m="1" x="524"/>
        <item x="3"/>
        <item x="18"/>
        <item x="19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x="55"/>
        <item x="56"/>
        <item m="1" x="504"/>
        <item m="1" x="505"/>
        <item x="71"/>
        <item m="1" x="506"/>
        <item m="1" x="507"/>
        <item m="1" x="508"/>
        <item m="1" x="509"/>
        <item m="1" x="510"/>
        <item m="1" x="525"/>
        <item m="1" x="526"/>
        <item x="115"/>
        <item x="127"/>
        <item m="1" x="528"/>
        <item m="1" x="529"/>
        <item m="1" x="530"/>
        <item x="146"/>
        <item x="148"/>
        <item m="1" x="531"/>
        <item m="1" x="532"/>
        <item m="1" x="533"/>
        <item m="1" x="534"/>
        <item m="1" x="535"/>
        <item m="1" x="536"/>
        <item m="1" x="537"/>
        <item x="176"/>
        <item x="182"/>
        <item x="183"/>
        <item x="185"/>
        <item m="1" x="538"/>
        <item m="1" x="539"/>
        <item x="199"/>
        <item m="1" x="540"/>
        <item m="1" x="541"/>
        <item x="213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x="259"/>
        <item x="260"/>
        <item x="261"/>
        <item x="262"/>
        <item x="263"/>
        <item x="264"/>
        <item x="291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x="344"/>
        <item m="1" x="578"/>
        <item m="1" x="579"/>
        <item x="357"/>
        <item x="358"/>
        <item x="363"/>
        <item x="374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x="400"/>
        <item m="1" x="592"/>
        <item m="1" x="593"/>
        <item m="1" x="594"/>
        <item m="1" x="595"/>
        <item m="1" x="596"/>
        <item x="412"/>
        <item x="413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x="426"/>
        <item m="1" x="607"/>
        <item x="436"/>
        <item x="438"/>
        <item m="1" x="608"/>
        <item m="1" x="609"/>
        <item m="1" x="610"/>
        <item m="1" x="611"/>
        <item m="1" x="612"/>
        <item m="1" x="613"/>
        <item m="1" x="614"/>
        <item m="1" x="615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x="477"/>
        <item x="478"/>
        <item x="479"/>
        <item x="482"/>
        <item x="483"/>
        <item x="484"/>
        <item m="1" x="6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Yearly Allowance" axis="axisRow" compact="0" numFmtId="3" outline="0" subtotalTop="0" showAll="0" defaultSubtotal="0">
      <items count="1262">
        <item m="1" x="1252"/>
        <item m="1" x="1070"/>
        <item m="1" x="1233"/>
        <item m="1" x="1254"/>
        <item m="1" x="541"/>
        <item m="1" x="1237"/>
        <item x="181"/>
        <item m="1" x="1260"/>
        <item x="367"/>
        <item m="1" x="1261"/>
        <item x="198"/>
        <item m="1" x="1253"/>
        <item m="1" x="1236"/>
        <item m="1" x="1231"/>
        <item m="1" x="499"/>
        <item m="1" x="1225"/>
        <item m="1" x="1246"/>
        <item m="1" x="1238"/>
        <item m="1" x="1245"/>
        <item m="1" x="1247"/>
        <item m="1" x="1259"/>
        <item m="1" x="1232"/>
        <item x="14"/>
        <item m="1" x="1242"/>
        <item m="1" x="1248"/>
        <item m="1" x="1240"/>
        <item m="1" x="1244"/>
        <item m="1" x="1239"/>
        <item m="1" x="1241"/>
        <item m="1" x="1235"/>
        <item m="1" x="1243"/>
        <item m="1" x="1256"/>
        <item m="1" x="1251"/>
        <item m="1" x="1234"/>
        <item m="1" x="1249"/>
        <item m="1" x="1250"/>
        <item m="1" x="1257"/>
        <item m="1" x="1258"/>
        <item m="1" x="1255"/>
        <item m="1" x="1226"/>
        <item m="1" x="1227"/>
        <item m="1" x="1228"/>
        <item m="1" x="1229"/>
        <item m="1" x="1230"/>
        <item m="1" x="1224"/>
        <item x="0"/>
        <item x="4"/>
        <item x="7"/>
        <item x="170"/>
        <item x="86"/>
        <item x="30"/>
        <item x="102"/>
        <item x="174"/>
        <item x="29"/>
        <item x="39"/>
        <item x="281"/>
        <item x="6"/>
        <item x="41"/>
        <item x="22"/>
        <item x="175"/>
        <item x="52"/>
        <item x="326"/>
        <item x="81"/>
        <item x="309"/>
        <item x="294"/>
        <item m="1" x="565"/>
        <item x="465"/>
        <item x="136"/>
        <item m="1" x="584"/>
        <item x="388"/>
        <item x="389"/>
        <item m="1" x="585"/>
        <item x="40"/>
        <item x="401"/>
        <item x="299"/>
        <item x="240"/>
        <item x="5"/>
        <item x="318"/>
        <item m="1" x="592"/>
        <item m="1" x="593"/>
        <item x="331"/>
        <item x="192"/>
        <item m="1" x="554"/>
        <item m="1" x="598"/>
        <item m="1" x="603"/>
        <item x="419"/>
        <item m="1" x="569"/>
        <item x="463"/>
        <item x="23"/>
        <item m="1" x="607"/>
        <item x="76"/>
        <item x="75"/>
        <item x="64"/>
        <item x="467"/>
        <item x="468"/>
        <item m="1" x="615"/>
        <item x="53"/>
        <item x="298"/>
        <item x="376"/>
        <item x="161"/>
        <item x="475"/>
        <item x="37"/>
        <item x="137"/>
        <item x="138"/>
        <item x="82"/>
        <item x="307"/>
        <item x="152"/>
        <item x="70"/>
        <item x="279"/>
        <item x="42"/>
        <item x="300"/>
        <item x="301"/>
        <item x="234"/>
        <item x="233"/>
        <item x="59"/>
        <item x="285"/>
        <item x="395"/>
        <item x="315"/>
        <item x="165"/>
        <item x="280"/>
        <item x="211"/>
        <item x="239"/>
        <item x="346"/>
        <item x="382"/>
        <item x="386"/>
        <item x="209"/>
        <item x="277"/>
        <item m="1" x="562"/>
        <item m="1" x="588"/>
        <item m="1" x="589"/>
        <item x="54"/>
        <item x="237"/>
        <item m="1" x="571"/>
        <item m="1" x="590"/>
        <item x="452"/>
        <item m="1" x="591"/>
        <item x="283"/>
        <item m="1" x="586"/>
        <item x="385"/>
        <item m="1" x="597"/>
        <item m="1" x="599"/>
        <item x="471"/>
        <item x="164"/>
        <item m="1" x="489"/>
        <item m="1" x="579"/>
        <item x="438"/>
        <item m="1" x="602"/>
        <item x="113"/>
        <item m="1" x="604"/>
        <item m="1" x="605"/>
        <item x="411"/>
        <item x="197"/>
        <item x="51"/>
        <item x="284"/>
        <item x="34"/>
        <item x="362"/>
        <item x="160"/>
        <item x="462"/>
        <item m="1" x="612"/>
        <item m="1" x="613"/>
        <item m="1" x="616"/>
        <item x="396"/>
        <item x="474"/>
        <item x="121"/>
        <item x="449"/>
        <item x="341"/>
        <item x="440"/>
        <item x="429"/>
        <item x="476"/>
        <item m="1" x="617"/>
        <item x="303"/>
        <item m="1" x="578"/>
        <item x="47"/>
        <item x="464"/>
        <item x="272"/>
        <item x="477"/>
        <item x="478"/>
        <item x="263"/>
        <item x="479"/>
        <item x="480"/>
        <item x="481"/>
        <item x="107"/>
        <item x="428"/>
        <item x="257"/>
        <item x="378"/>
        <item x="482"/>
        <item x="483"/>
        <item x="484"/>
        <item m="1" x="618"/>
        <item x="35"/>
        <item x="485"/>
        <item x="36"/>
        <item x="486"/>
        <item x="63"/>
        <item x="334"/>
        <item x="312"/>
        <item x="169"/>
        <item x="487"/>
        <item x="488"/>
        <item x="421"/>
        <item x="420"/>
        <item x="10"/>
        <item x="11"/>
        <item x="18"/>
        <item x="19"/>
        <item x="85"/>
        <item x="140"/>
        <item x="141"/>
        <item x="142"/>
        <item x="31"/>
        <item x="184"/>
        <item x="212"/>
        <item x="215"/>
        <item x="228"/>
        <item x="266"/>
        <item x="267"/>
        <item x="268"/>
        <item x="38"/>
        <item x="269"/>
        <item x="270"/>
        <item x="271"/>
        <item x="125"/>
        <item x="48"/>
        <item x="313"/>
        <item x="314"/>
        <item m="1" x="570"/>
        <item x="114"/>
        <item x="347"/>
        <item x="353"/>
        <item x="296"/>
        <item x="98"/>
        <item x="392"/>
        <item x="394"/>
        <item x="398"/>
        <item x="399"/>
        <item x="400"/>
        <item x="259"/>
        <item x="260"/>
        <item x="262"/>
        <item x="406"/>
        <item x="177"/>
        <item x="8"/>
        <item x="415"/>
        <item x="116"/>
        <item x="117"/>
        <item m="1" x="595"/>
        <item m="1" x="596"/>
        <item x="424"/>
        <item x="426"/>
        <item m="1" x="600"/>
        <item x="393"/>
        <item x="379"/>
        <item x="12"/>
        <item x="437"/>
        <item x="439"/>
        <item x="2"/>
        <item x="111"/>
        <item x="99"/>
        <item x="100"/>
        <item x="101"/>
        <item x="112"/>
        <item x="231"/>
        <item x="232"/>
        <item x="62"/>
        <item x="244"/>
        <item x="247"/>
        <item x="248"/>
        <item x="249"/>
        <item x="251"/>
        <item x="252"/>
        <item x="253"/>
        <item m="1" x="555"/>
        <item m="1" x="556"/>
        <item m="1" x="557"/>
        <item x="243"/>
        <item x="311"/>
        <item m="1" x="567"/>
        <item m="1" x="568"/>
        <item x="325"/>
        <item x="333"/>
        <item x="342"/>
        <item x="354"/>
        <item x="356"/>
        <item x="96"/>
        <item m="1" x="580"/>
        <item m="1" x="581"/>
        <item m="1" x="582"/>
        <item m="1" x="583"/>
        <item x="390"/>
        <item x="391"/>
        <item x="402"/>
        <item x="410"/>
        <item m="1" x="594"/>
        <item x="430"/>
        <item x="431"/>
        <item x="441"/>
        <item x="297"/>
        <item x="49"/>
        <item x="60"/>
        <item x="61"/>
        <item x="87"/>
        <item x="206"/>
        <item x="220"/>
        <item m="1" x="550"/>
        <item x="171"/>
        <item x="329"/>
        <item x="381"/>
        <item m="1" x="587"/>
        <item x="44"/>
        <item x="32"/>
        <item x="173"/>
        <item x="423"/>
        <item x="33"/>
        <item x="46"/>
        <item x="78"/>
        <item m="1" x="601"/>
        <item x="373"/>
        <item x="447"/>
        <item x="453"/>
        <item x="454"/>
        <item x="455"/>
        <item m="1" x="608"/>
        <item m="1" x="552"/>
        <item x="276"/>
        <item x="472"/>
        <item x="338"/>
        <item x="466"/>
        <item x="469"/>
        <item x="470"/>
        <item x="167"/>
        <item x="67"/>
        <item x="103"/>
        <item x="104"/>
        <item x="139"/>
        <item x="118"/>
        <item x="190"/>
        <item x="261"/>
        <item x="264"/>
        <item x="278"/>
        <item x="286"/>
        <item x="310"/>
        <item x="323"/>
        <item x="330"/>
        <item x="337"/>
        <item x="345"/>
        <item x="349"/>
        <item x="374"/>
        <item x="83"/>
        <item x="417"/>
        <item x="418"/>
        <item x="159"/>
        <item x="434"/>
        <item x="435"/>
        <item x="443"/>
        <item x="444"/>
        <item x="445"/>
        <item x="450"/>
        <item x="451"/>
        <item x="214"/>
        <item x="456"/>
        <item x="13"/>
        <item m="1" x="551"/>
        <item m="1" x="572"/>
        <item x="414"/>
        <item x="425"/>
        <item m="1" x="606"/>
        <item x="459"/>
        <item x="43"/>
        <item x="73"/>
        <item x="122"/>
        <item x="123"/>
        <item x="124"/>
        <item x="128"/>
        <item x="143"/>
        <item x="144"/>
        <item m="1" x="536"/>
        <item x="187"/>
        <item x="188"/>
        <item x="351"/>
        <item x="110"/>
        <item x="368"/>
        <item x="166"/>
        <item x="189"/>
        <item x="332"/>
        <item x="335"/>
        <item x="339"/>
        <item m="1" x="527"/>
        <item x="383"/>
        <item x="384"/>
        <item x="397"/>
        <item x="403"/>
        <item x="380"/>
        <item x="404"/>
        <item x="405"/>
        <item x="45"/>
        <item x="91"/>
        <item x="126"/>
        <item x="129"/>
        <item x="191"/>
        <item x="153"/>
        <item x="219"/>
        <item m="1" x="549"/>
        <item x="226"/>
        <item x="227"/>
        <item x="250"/>
        <item x="292"/>
        <item x="230"/>
        <item m="1" x="558"/>
        <item x="336"/>
        <item x="340"/>
        <item x="343"/>
        <item m="1" x="577"/>
        <item x="168"/>
        <item x="364"/>
        <item x="377"/>
        <item x="229"/>
        <item x="94"/>
        <item x="95"/>
        <item x="97"/>
        <item x="106"/>
        <item m="1" x="531"/>
        <item m="1" x="532"/>
        <item m="1" x="533"/>
        <item m="1" x="534"/>
        <item m="1" x="535"/>
        <item x="172"/>
        <item m="1" x="540"/>
        <item m="1" x="544"/>
        <item m="1" x="545"/>
        <item m="1" x="546"/>
        <item m="1" x="547"/>
        <item x="287"/>
        <item x="304"/>
        <item m="1" x="566"/>
        <item x="352"/>
        <item x="365"/>
        <item x="366"/>
        <item x="21"/>
        <item x="65"/>
        <item x="66"/>
        <item x="88"/>
        <item x="130"/>
        <item x="92"/>
        <item x="193"/>
        <item x="16"/>
        <item x="17"/>
        <item x="109"/>
        <item m="1" x="528"/>
        <item m="1" x="529"/>
        <item x="149"/>
        <item x="150"/>
        <item x="178"/>
        <item x="180"/>
        <item x="194"/>
        <item x="195"/>
        <item m="1" x="576"/>
        <item x="344"/>
        <item x="369"/>
        <item x="69"/>
        <item x="409"/>
        <item x="413"/>
        <item x="196"/>
        <item x="242"/>
        <item x="265"/>
        <item m="1" x="574"/>
        <item m="1" x="575"/>
        <item x="348"/>
        <item x="408"/>
        <item x="446"/>
        <item x="131"/>
        <item x="132"/>
        <item m="1" x="542"/>
        <item m="1" x="543"/>
        <item x="375"/>
        <item x="68"/>
        <item x="74"/>
        <item x="108"/>
        <item x="120"/>
        <item x="154"/>
        <item x="155"/>
        <item x="156"/>
        <item x="157"/>
        <item x="158"/>
        <item x="179"/>
        <item m="1" x="850"/>
        <item x="370"/>
        <item x="371"/>
        <item x="387"/>
        <item x="407"/>
        <item x="416"/>
        <item x="50"/>
        <item m="1" x="501"/>
        <item x="162"/>
        <item m="1" x="526"/>
        <item x="210"/>
        <item x="58"/>
        <item x="71"/>
        <item m="1" x="538"/>
        <item m="1" x="539"/>
        <item x="235"/>
        <item x="236"/>
        <item m="1" x="559"/>
        <item m="1" x="560"/>
        <item m="1" x="561"/>
        <item x="3"/>
        <item m="1" x="537"/>
        <item x="207"/>
        <item x="208"/>
        <item x="224"/>
        <item m="1" x="553"/>
        <item x="254"/>
        <item x="255"/>
        <item x="256"/>
        <item x="56"/>
        <item x="72"/>
        <item x="105"/>
        <item x="205"/>
        <item x="241"/>
        <item x="258"/>
        <item m="1" x="753"/>
        <item m="1" x="754"/>
        <item m="1" x="530"/>
        <item x="151"/>
        <item m="1" x="548"/>
        <item x="221"/>
        <item x="57"/>
        <item x="225"/>
        <item x="93"/>
        <item x="127"/>
        <item x="146"/>
        <item x="147"/>
        <item x="148"/>
        <item x="163"/>
        <item x="185"/>
        <item x="213"/>
        <item x="291"/>
        <item x="317"/>
        <item x="182"/>
        <item x="360"/>
        <item x="361"/>
        <item x="9"/>
        <item x="20"/>
        <item m="1" x="511"/>
        <item x="77"/>
        <item x="79"/>
        <item x="80"/>
        <item x="84"/>
        <item x="134"/>
        <item x="183"/>
        <item x="199"/>
        <item x="202"/>
        <item x="203"/>
        <item x="222"/>
        <item x="223"/>
        <item x="290"/>
        <item x="24"/>
        <item x="25"/>
        <item x="26"/>
        <item x="27"/>
        <item x="28"/>
        <item x="288"/>
        <item x="289"/>
        <item x="372"/>
        <item x="427"/>
        <item x="275"/>
        <item x="442"/>
        <item x="448"/>
        <item x="457"/>
        <item m="1" x="609"/>
        <item m="1" x="610"/>
        <item m="1" x="611"/>
        <item x="119"/>
        <item x="133"/>
        <item x="186"/>
        <item x="204"/>
        <item x="245"/>
        <item x="246"/>
        <item m="1" x="563"/>
        <item m="1" x="564"/>
        <item x="350"/>
        <item x="363"/>
        <item x="422"/>
        <item x="432"/>
        <item x="433"/>
        <item x="436"/>
        <item x="458"/>
        <item x="460"/>
        <item x="461"/>
        <item m="1" x="614"/>
        <item x="473"/>
        <item x="200"/>
        <item x="201"/>
        <item x="216"/>
        <item x="273"/>
        <item x="274"/>
        <item x="293"/>
        <item x="295"/>
        <item x="302"/>
        <item x="316"/>
        <item x="320"/>
        <item x="355"/>
        <item x="357"/>
        <item x="358"/>
        <item x="359"/>
        <item x="135"/>
        <item x="145"/>
        <item x="217"/>
        <item x="218"/>
        <item x="238"/>
        <item x="305"/>
        <item x="306"/>
        <item x="308"/>
        <item x="319"/>
        <item x="321"/>
        <item x="322"/>
        <item x="324"/>
        <item x="327"/>
        <item x="328"/>
        <item m="1" x="573"/>
        <item x="15"/>
        <item x="282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500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x="1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x="412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x="55"/>
        <item x="89"/>
        <item x="90"/>
        <item x="115"/>
        <item x="1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ember Code" axis="axisRow" compact="0" outline="0" subtotalTop="0" showAll="0" defaultSubtotal="0">
      <items count="169">
        <item x="1"/>
        <item m="1" x="168"/>
        <item m="1" x="167"/>
        <item x="0"/>
        <item x="3"/>
        <item x="5"/>
        <item x="73"/>
        <item x="90"/>
        <item x="116"/>
        <item x="31"/>
        <item x="71"/>
        <item x="46"/>
        <item x="7"/>
        <item m="1" x="158"/>
        <item x="130"/>
        <item x="69"/>
        <item x="37"/>
        <item x="17"/>
        <item x="20"/>
        <item x="21"/>
        <item m="1" x="165"/>
        <item x="66"/>
        <item x="81"/>
        <item x="19"/>
        <item x="57"/>
        <item x="9"/>
        <item x="83"/>
        <item x="131"/>
        <item x="47"/>
        <item x="45"/>
        <item x="42"/>
        <item m="1" x="163"/>
        <item x="77"/>
        <item x="23"/>
        <item x="13"/>
        <item x="141"/>
        <item m="1" x="164"/>
        <item x="76"/>
        <item x="44"/>
        <item x="118"/>
        <item x="36"/>
        <item x="120"/>
        <item x="92"/>
        <item x="12"/>
        <item x="27"/>
        <item x="100"/>
        <item x="74"/>
        <item x="8"/>
        <item x="119"/>
        <item x="24"/>
        <item x="39"/>
        <item x="56"/>
        <item x="25"/>
        <item x="97"/>
        <item x="33"/>
        <item x="14"/>
        <item x="104"/>
        <item x="106"/>
        <item x="107"/>
        <item x="49"/>
        <item x="64"/>
        <item x="117"/>
        <item x="30"/>
        <item x="126"/>
        <item x="38"/>
        <item x="129"/>
        <item m="1" x="161"/>
        <item m="1" x="162"/>
        <item x="86"/>
        <item x="137"/>
        <item x="123"/>
        <item x="16"/>
        <item x="22"/>
        <item x="140"/>
        <item x="35"/>
        <item x="115"/>
        <item x="68"/>
        <item x="148"/>
        <item x="150"/>
        <item x="98"/>
        <item x="29"/>
        <item x="34"/>
        <item x="4"/>
        <item x="112"/>
        <item m="1" x="160"/>
        <item x="80"/>
        <item x="110"/>
        <item x="144"/>
        <item x="147"/>
        <item x="134"/>
        <item x="84"/>
        <item x="132"/>
        <item x="6"/>
        <item x="32"/>
        <item x="28"/>
        <item x="43"/>
        <item x="50"/>
        <item x="82"/>
        <item x="65"/>
        <item x="94"/>
        <item x="99"/>
        <item x="41"/>
        <item x="51"/>
        <item x="18"/>
        <item x="139"/>
        <item x="26"/>
        <item x="143"/>
        <item x="152"/>
        <item x="145"/>
        <item x="105"/>
        <item x="59"/>
        <item x="79"/>
        <item x="122"/>
        <item x="127"/>
        <item x="91"/>
        <item x="72"/>
        <item x="11"/>
        <item x="149"/>
        <item x="15"/>
        <item x="138"/>
        <item x="102"/>
        <item x="153"/>
        <item x="154"/>
        <item x="155"/>
        <item x="40"/>
        <item x="60"/>
        <item x="54"/>
        <item x="108"/>
        <item x="109"/>
        <item x="128"/>
        <item x="136"/>
        <item x="58"/>
        <item x="111"/>
        <item x="125"/>
        <item x="135"/>
        <item x="75"/>
        <item x="101"/>
        <item x="113"/>
        <item x="103"/>
        <item x="62"/>
        <item m="1" x="157"/>
        <item x="67"/>
        <item x="78"/>
        <item x="133"/>
        <item x="10"/>
        <item x="95"/>
        <item x="63"/>
        <item m="1" x="159"/>
        <item x="121"/>
        <item x="93"/>
        <item x="2"/>
        <item m="1" x="166"/>
        <item x="96"/>
        <item x="52"/>
        <item x="88"/>
        <item x="89"/>
        <item x="48"/>
        <item x="53"/>
        <item x="124"/>
        <item x="114"/>
        <item x="70"/>
        <item x="85"/>
        <item x="151"/>
        <item x="55"/>
        <item x="87"/>
        <item x="142"/>
        <item x="146"/>
        <item x="156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ember Name" axis="axisRow" compact="0" outline="0" subtotalTop="0" showAll="0" defaultSubtotal="0">
      <items count="168">
        <item x="1"/>
        <item m="1" x="167"/>
        <item x="0"/>
        <item x="3"/>
        <item x="5"/>
        <item x="73"/>
        <item x="90"/>
        <item x="116"/>
        <item x="31"/>
        <item x="71"/>
        <item x="46"/>
        <item x="7"/>
        <item m="1" x="158"/>
        <item x="130"/>
        <item x="69"/>
        <item x="37"/>
        <item x="17"/>
        <item x="20"/>
        <item x="21"/>
        <item m="1" x="165"/>
        <item x="66"/>
        <item x="81"/>
        <item x="19"/>
        <item x="57"/>
        <item x="9"/>
        <item x="83"/>
        <item x="131"/>
        <item x="47"/>
        <item x="45"/>
        <item x="42"/>
        <item m="1" x="163"/>
        <item x="77"/>
        <item x="23"/>
        <item x="13"/>
        <item x="141"/>
        <item m="1" x="164"/>
        <item x="76"/>
        <item x="44"/>
        <item x="118"/>
        <item x="36"/>
        <item x="120"/>
        <item x="92"/>
        <item x="12"/>
        <item x="27"/>
        <item x="100"/>
        <item x="74"/>
        <item x="8"/>
        <item x="119"/>
        <item x="24"/>
        <item x="39"/>
        <item x="56"/>
        <item x="25"/>
        <item x="97"/>
        <item x="33"/>
        <item x="14"/>
        <item x="104"/>
        <item x="106"/>
        <item x="107"/>
        <item x="49"/>
        <item x="64"/>
        <item x="117"/>
        <item x="30"/>
        <item x="126"/>
        <item x="38"/>
        <item x="129"/>
        <item m="1" x="161"/>
        <item m="1" x="162"/>
        <item x="86"/>
        <item x="137"/>
        <item x="123"/>
        <item x="16"/>
        <item x="22"/>
        <item x="140"/>
        <item x="35"/>
        <item x="115"/>
        <item x="68"/>
        <item x="148"/>
        <item x="150"/>
        <item x="98"/>
        <item x="29"/>
        <item x="34"/>
        <item x="4"/>
        <item x="112"/>
        <item m="1" x="160"/>
        <item x="80"/>
        <item x="110"/>
        <item x="144"/>
        <item x="147"/>
        <item x="134"/>
        <item x="84"/>
        <item x="132"/>
        <item x="6"/>
        <item x="32"/>
        <item x="28"/>
        <item x="43"/>
        <item x="50"/>
        <item x="82"/>
        <item x="65"/>
        <item x="94"/>
        <item x="99"/>
        <item x="41"/>
        <item x="51"/>
        <item x="18"/>
        <item x="139"/>
        <item x="26"/>
        <item x="143"/>
        <item x="152"/>
        <item x="145"/>
        <item x="105"/>
        <item x="59"/>
        <item x="79"/>
        <item x="122"/>
        <item x="127"/>
        <item x="91"/>
        <item x="72"/>
        <item x="11"/>
        <item x="149"/>
        <item x="15"/>
        <item x="138"/>
        <item x="102"/>
        <item x="153"/>
        <item x="154"/>
        <item x="155"/>
        <item x="40"/>
        <item x="60"/>
        <item x="54"/>
        <item x="108"/>
        <item x="109"/>
        <item x="128"/>
        <item x="136"/>
        <item x="58"/>
        <item x="111"/>
        <item x="125"/>
        <item x="135"/>
        <item x="75"/>
        <item x="101"/>
        <item x="113"/>
        <item x="103"/>
        <item x="62"/>
        <item m="1" x="157"/>
        <item x="67"/>
        <item x="78"/>
        <item x="133"/>
        <item x="10"/>
        <item x="95"/>
        <item x="63"/>
        <item m="1" x="159"/>
        <item x="121"/>
        <item x="93"/>
        <item x="2"/>
        <item m="1" x="166"/>
        <item x="96"/>
        <item x="52"/>
        <item x="88"/>
        <item x="89"/>
        <item x="48"/>
        <item x="53"/>
        <item x="124"/>
        <item x="114"/>
        <item x="70"/>
        <item x="85"/>
        <item x="151"/>
        <item x="55"/>
        <item x="87"/>
        <item x="142"/>
        <item x="146"/>
        <item x="156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ubtotalTop="0" showAll="0" defaultSubtotal="0">
      <items count="40">
        <item m="1" x="36"/>
        <item m="1" x="32"/>
        <item m="1" x="33"/>
        <item m="1" x="34"/>
        <item m="1" x="37"/>
        <item m="1" x="38"/>
        <item m="1" x="35"/>
        <item m="1" x="39"/>
        <item m="1" x="31"/>
        <item x="0"/>
        <item x="2"/>
        <item x="4"/>
        <item x="11"/>
        <item x="8"/>
        <item x="6"/>
        <item x="5"/>
        <item x="7"/>
        <item x="9"/>
        <item x="10"/>
        <item x="15"/>
        <item x="13"/>
        <item x="16"/>
        <item x="23"/>
        <item x="12"/>
        <item x="14"/>
        <item x="18"/>
        <item x="19"/>
        <item x="28"/>
        <item x="30"/>
        <item x="3"/>
        <item x="27"/>
        <item x="20"/>
        <item x="22"/>
        <item x="21"/>
        <item x="24"/>
        <item x="25"/>
        <item x="26"/>
        <item x="17"/>
        <item x="1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Pos Terminal" axis="axisRow" compact="0" outline="0" subtotalTop="0" showAll="0" defaultSubtotal="0">
      <items count="37">
        <item m="1" x="35"/>
        <item m="1" x="33"/>
        <item m="1" x="34"/>
        <item m="1" x="36"/>
        <item x="0"/>
        <item x="19"/>
        <item x="1"/>
        <item x="2"/>
        <item x="28"/>
        <item x="3"/>
        <item x="21"/>
        <item x="4"/>
        <item x="5"/>
        <item x="6"/>
        <item x="24"/>
        <item x="26"/>
        <item x="20"/>
        <item x="18"/>
        <item x="23"/>
        <item x="25"/>
        <item x="31"/>
        <item x="30"/>
        <item x="27"/>
        <item x="7"/>
        <item x="8"/>
        <item x="9"/>
        <item x="10"/>
        <item x="29"/>
        <item x="11"/>
        <item x="12"/>
        <item x="13"/>
        <item x="14"/>
        <item x="15"/>
        <item x="16"/>
        <item x="17"/>
        <item x="22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ine No" axis="axisRow" compact="0" numFmtId="1" outline="0" subtotalTop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ransaction NO" axis="axisRow" compact="0" numFmtId="1" outline="0" subtotalTop="0" showAll="0" defaultSubtotal="0">
      <items count="1147">
        <item x="14"/>
        <item m="1" x="1138"/>
        <item m="1" x="1139"/>
        <item m="1" x="1140"/>
        <item m="1" x="1117"/>
        <item m="1" x="1118"/>
        <item m="1" x="1119"/>
        <item m="1" x="1120"/>
        <item m="1" x="897"/>
        <item m="1" x="1108"/>
        <item m="1" x="1109"/>
        <item m="1" x="1121"/>
        <item m="1" x="1122"/>
        <item m="1" x="902"/>
        <item m="1" x="1110"/>
        <item m="1" x="1111"/>
        <item m="1" x="1141"/>
        <item m="1" x="1142"/>
        <item m="1" x="1143"/>
        <item m="1" x="1144"/>
        <item m="1" x="1145"/>
        <item m="1" x="1146"/>
        <item m="1" x="1123"/>
        <item m="1" x="1112"/>
        <item m="1" x="1113"/>
        <item m="1" x="1114"/>
        <item x="69"/>
        <item m="1" x="1115"/>
        <item m="1" x="1116"/>
        <item m="1" x="1124"/>
        <item m="1" x="1125"/>
        <item m="1" x="1126"/>
        <item m="1" x="1127"/>
        <item m="1" x="1128"/>
        <item m="1" x="1129"/>
        <item m="1" x="1130"/>
        <item m="1" x="1131"/>
        <item x="223"/>
        <item m="1" x="1132"/>
        <item m="1" x="1133"/>
        <item m="1" x="1134"/>
        <item m="1" x="951"/>
        <item m="1" x="1135"/>
        <item m="1" x="1136"/>
        <item m="1" x="1137"/>
        <item m="1" x="1104"/>
        <item m="1" x="1105"/>
        <item m="1" x="1106"/>
        <item m="1" x="1107"/>
        <item x="0"/>
        <item x="1"/>
        <item x="11"/>
        <item x="13"/>
        <item x="138"/>
        <item x="187"/>
        <item x="200"/>
        <item x="201"/>
        <item x="202"/>
        <item m="1" x="1084"/>
        <item x="226"/>
        <item x="237"/>
        <item x="253"/>
        <item x="264"/>
        <item x="314"/>
        <item x="323"/>
        <item x="324"/>
        <item x="350"/>
        <item x="367"/>
        <item x="383"/>
        <item m="1" x="974"/>
        <item m="1" x="975"/>
        <item m="1" x="977"/>
        <item x="446"/>
        <item m="1" x="983"/>
        <item x="474"/>
        <item x="475"/>
        <item x="476"/>
        <item m="1" x="985"/>
        <item x="503"/>
        <item x="532"/>
        <item x="534"/>
        <item x="539"/>
        <item x="549"/>
        <item x="557"/>
        <item x="564"/>
        <item x="594"/>
        <item m="1" x="1003"/>
        <item m="1" x="1005"/>
        <item x="603"/>
        <item m="1" x="1011"/>
        <item x="617"/>
        <item x="646"/>
        <item x="684"/>
        <item m="1" x="1021"/>
        <item x="714"/>
        <item m="1" x="1031"/>
        <item m="1" x="1032"/>
        <item m="1" x="1033"/>
        <item m="1" x="1034"/>
        <item x="747"/>
        <item x="748"/>
        <item x="754"/>
        <item x="757"/>
        <item x="758"/>
        <item x="777"/>
        <item x="790"/>
        <item x="791"/>
        <item x="792"/>
        <item x="793"/>
        <item x="795"/>
        <item x="796"/>
        <item x="804"/>
        <item x="809"/>
        <item x="810"/>
        <item x="811"/>
        <item x="812"/>
        <item m="1" x="1062"/>
        <item x="815"/>
        <item x="827"/>
        <item x="828"/>
        <item x="837"/>
        <item m="1" x="1068"/>
        <item x="842"/>
        <item x="843"/>
        <item m="1" x="1073"/>
        <item x="861"/>
        <item x="862"/>
        <item m="1" x="1074"/>
        <item x="866"/>
        <item x="872"/>
        <item x="873"/>
        <item x="5"/>
        <item x="6"/>
        <item x="34"/>
        <item x="61"/>
        <item x="359"/>
        <item x="530"/>
        <item x="735"/>
        <item x="26"/>
        <item x="32"/>
        <item x="33"/>
        <item m="1" x="1085"/>
        <item x="53"/>
        <item x="142"/>
        <item x="156"/>
        <item x="199"/>
        <item m="1" x="950"/>
        <item x="261"/>
        <item x="287"/>
        <item x="292"/>
        <item x="293"/>
        <item x="294"/>
        <item x="299"/>
        <item x="310"/>
        <item x="320"/>
        <item m="1" x="959"/>
        <item x="327"/>
        <item x="336"/>
        <item x="343"/>
        <item x="349"/>
        <item x="365"/>
        <item x="370"/>
        <item x="373"/>
        <item x="386"/>
        <item x="413"/>
        <item x="435"/>
        <item x="438"/>
        <item x="459"/>
        <item x="470"/>
        <item x="471"/>
        <item m="1" x="984"/>
        <item x="488"/>
        <item m="1" x="988"/>
        <item x="516"/>
        <item m="1" x="991"/>
        <item m="1" x="997"/>
        <item x="563"/>
        <item x="569"/>
        <item m="1" x="999"/>
        <item m="1" x="1000"/>
        <item x="576"/>
        <item x="585"/>
        <item m="1" x="1001"/>
        <item x="591"/>
        <item x="592"/>
        <item m="1" x="1002"/>
        <item m="1" x="1006"/>
        <item m="1" x="1010"/>
        <item m="1" x="1012"/>
        <item x="638"/>
        <item x="640"/>
        <item x="656"/>
        <item m="1" x="1017"/>
        <item x="665"/>
        <item m="1" x="1019"/>
        <item x="671"/>
        <item x="675"/>
        <item m="1" x="1020"/>
        <item m="1" x="1022"/>
        <item m="1" x="1023"/>
        <item m="1" x="1024"/>
        <item m="1" x="1025"/>
        <item x="711"/>
        <item m="1" x="1026"/>
        <item x="723"/>
        <item m="1" x="1029"/>
        <item x="738"/>
        <item m="1" x="1030"/>
        <item x="741"/>
        <item x="742"/>
        <item m="1" x="1041"/>
        <item m="1" x="1042"/>
        <item m="1" x="1044"/>
        <item x="759"/>
        <item m="1" x="1045"/>
        <item m="1" x="1046"/>
        <item m="1" x="1047"/>
        <item x="778"/>
        <item x="780"/>
        <item m="1" x="1051"/>
        <item m="1" x="1052"/>
        <item x="787"/>
        <item m="1" x="1055"/>
        <item m="1" x="1056"/>
        <item m="1" x="1057"/>
        <item m="1" x="1058"/>
        <item m="1" x="1059"/>
        <item x="806"/>
        <item m="1" x="1061"/>
        <item m="1" x="1063"/>
        <item x="821"/>
        <item x="829"/>
        <item x="831"/>
        <item m="1" x="1064"/>
        <item m="1" x="1065"/>
        <item m="1" x="1066"/>
        <item x="840"/>
        <item m="1" x="1067"/>
        <item x="844"/>
        <item x="845"/>
        <item x="848"/>
        <item m="1" x="1069"/>
        <item x="852"/>
        <item m="1" x="1070"/>
        <item x="853"/>
        <item m="1" x="1071"/>
        <item m="1" x="1072"/>
        <item x="856"/>
        <item x="857"/>
        <item m="1" x="1075"/>
        <item x="865"/>
        <item x="874"/>
        <item x="875"/>
        <item x="876"/>
        <item x="877"/>
        <item m="1" x="1076"/>
        <item m="1" x="1077"/>
        <item m="1" x="1078"/>
        <item x="878"/>
        <item x="879"/>
        <item m="1" x="1079"/>
        <item x="880"/>
        <item x="881"/>
        <item x="882"/>
        <item x="883"/>
        <item x="884"/>
        <item m="1" x="1080"/>
        <item x="885"/>
        <item m="1" x="1081"/>
        <item x="886"/>
        <item x="887"/>
        <item x="888"/>
        <item x="889"/>
        <item x="890"/>
        <item m="1" x="1082"/>
        <item x="891"/>
        <item x="892"/>
        <item x="893"/>
        <item m="1" x="1083"/>
        <item x="894"/>
        <item x="16"/>
        <item x="21"/>
        <item x="22"/>
        <item m="1" x="1086"/>
        <item x="38"/>
        <item x="65"/>
        <item x="76"/>
        <item x="79"/>
        <item x="104"/>
        <item x="116"/>
        <item x="119"/>
        <item x="120"/>
        <item x="130"/>
        <item x="134"/>
        <item x="139"/>
        <item x="152"/>
        <item x="154"/>
        <item x="155"/>
        <item x="158"/>
        <item x="171"/>
        <item x="179"/>
        <item x="191"/>
        <item x="196"/>
        <item x="197"/>
        <item x="203"/>
        <item x="217"/>
        <item x="222"/>
        <item x="224"/>
        <item x="231"/>
        <item x="250"/>
        <item x="251"/>
        <item x="256"/>
        <item x="257"/>
        <item x="262"/>
        <item x="263"/>
        <item x="265"/>
        <item x="268"/>
        <item x="269"/>
        <item x="270"/>
        <item x="295"/>
        <item x="297"/>
        <item x="313"/>
        <item x="316"/>
        <item x="317"/>
        <item x="319"/>
        <item x="322"/>
        <item x="326"/>
        <item m="1" x="963"/>
        <item x="346"/>
        <item x="354"/>
        <item x="366"/>
        <item x="377"/>
        <item x="378"/>
        <item m="1" x="970"/>
        <item x="388"/>
        <item x="398"/>
        <item x="400"/>
        <item x="401"/>
        <item x="408"/>
        <item m="1" x="976"/>
        <item x="411"/>
        <item x="417"/>
        <item x="419"/>
        <item x="424"/>
        <item m="1" x="1087"/>
        <item m="1" x="979"/>
        <item x="450"/>
        <item x="457"/>
        <item m="1" x="980"/>
        <item x="465"/>
        <item x="473"/>
        <item x="478"/>
        <item x="484"/>
        <item x="487"/>
        <item x="490"/>
        <item x="491"/>
        <item x="496"/>
        <item x="497"/>
        <item m="1" x="990"/>
        <item x="498"/>
        <item x="499"/>
        <item x="500"/>
        <item x="501"/>
        <item x="512"/>
        <item x="513"/>
        <item x="518"/>
        <item x="519"/>
        <item x="526"/>
        <item x="527"/>
        <item x="531"/>
        <item x="533"/>
        <item x="535"/>
        <item x="544"/>
        <item x="545"/>
        <item x="552"/>
        <item x="553"/>
        <item x="555"/>
        <item x="560"/>
        <item x="572"/>
        <item x="573"/>
        <item x="574"/>
        <item x="575"/>
        <item x="584"/>
        <item x="586"/>
        <item x="587"/>
        <item x="590"/>
        <item x="596"/>
        <item x="600"/>
        <item x="605"/>
        <item m="1" x="1008"/>
        <item x="614"/>
        <item x="620"/>
        <item x="622"/>
        <item m="1" x="1013"/>
        <item m="1" x="1014"/>
        <item x="626"/>
        <item x="632"/>
        <item x="633"/>
        <item x="634"/>
        <item x="647"/>
        <item x="649"/>
        <item x="651"/>
        <item x="652"/>
        <item x="653"/>
        <item x="663"/>
        <item x="668"/>
        <item x="672"/>
        <item x="676"/>
        <item x="677"/>
        <item x="47"/>
        <item x="149"/>
        <item x="198"/>
        <item x="301"/>
        <item m="1" x="957"/>
        <item x="433"/>
        <item x="455"/>
        <item x="461"/>
        <item x="480"/>
        <item x="520"/>
        <item x="537"/>
        <item x="538"/>
        <item x="570"/>
        <item x="619"/>
        <item x="637"/>
        <item x="717"/>
        <item x="771"/>
        <item x="772"/>
        <item m="1" x="1088"/>
        <item m="1" x="1089"/>
        <item x="846"/>
        <item x="850"/>
        <item x="859"/>
        <item x="87"/>
        <item x="98"/>
        <item x="131"/>
        <item x="132"/>
        <item x="190"/>
        <item x="192"/>
        <item x="219"/>
        <item x="233"/>
        <item x="238"/>
        <item x="239"/>
        <item x="242"/>
        <item m="1" x="952"/>
        <item x="281"/>
        <item x="284"/>
        <item x="286"/>
        <item x="288"/>
        <item x="289"/>
        <item x="290"/>
        <item x="307"/>
        <item x="315"/>
        <item m="1" x="962"/>
        <item x="338"/>
        <item x="344"/>
        <item x="347"/>
        <item x="368"/>
        <item x="379"/>
        <item m="1" x="971"/>
        <item x="382"/>
        <item m="1" x="973"/>
        <item x="407"/>
        <item x="409"/>
        <item m="1" x="978"/>
        <item x="439"/>
        <item x="456"/>
        <item m="1" x="982"/>
        <item x="469"/>
        <item x="477"/>
        <item x="482"/>
        <item x="485"/>
        <item x="502"/>
        <item x="505"/>
        <item x="525"/>
        <item x="536"/>
        <item x="543"/>
        <item x="546"/>
        <item x="556"/>
        <item x="562"/>
        <item x="565"/>
        <item x="566"/>
        <item x="567"/>
        <item x="571"/>
        <item m="1" x="1007"/>
        <item x="608"/>
        <item x="613"/>
        <item x="615"/>
        <item x="635"/>
        <item x="643"/>
        <item x="645"/>
        <item x="655"/>
        <item x="662"/>
        <item x="682"/>
        <item x="683"/>
        <item x="686"/>
        <item x="691"/>
        <item x="709"/>
        <item x="719"/>
        <item x="727"/>
        <item x="9"/>
        <item m="1" x="1090"/>
        <item x="27"/>
        <item m="1" x="896"/>
        <item x="30"/>
        <item x="31"/>
        <item x="37"/>
        <item x="43"/>
        <item x="46"/>
        <item x="60"/>
        <item x="62"/>
        <item x="71"/>
        <item x="72"/>
        <item x="73"/>
        <item x="75"/>
        <item x="80"/>
        <item x="89"/>
        <item x="118"/>
        <item x="121"/>
        <item x="144"/>
        <item x="145"/>
        <item x="161"/>
        <item x="162"/>
        <item x="183"/>
        <item x="185"/>
        <item x="186"/>
        <item x="206"/>
        <item x="208"/>
        <item x="210"/>
        <item m="1" x="946"/>
        <item x="221"/>
        <item x="225"/>
        <item x="244"/>
        <item x="255"/>
        <item x="259"/>
        <item x="283"/>
        <item x="305"/>
        <item x="306"/>
        <item m="1" x="955"/>
        <item x="308"/>
        <item x="309"/>
        <item x="318"/>
        <item x="321"/>
        <item x="328"/>
        <item x="330"/>
        <item x="332"/>
        <item x="342"/>
        <item x="351"/>
        <item x="356"/>
        <item x="357"/>
        <item x="362"/>
        <item x="363"/>
        <item x="364"/>
        <item m="1" x="967"/>
        <item m="1" x="968"/>
        <item x="376"/>
        <item x="381"/>
        <item x="389"/>
        <item x="390"/>
        <item x="416"/>
        <item x="429"/>
        <item x="432"/>
        <item x="436"/>
        <item m="1" x="1091"/>
        <item x="441"/>
        <item x="451"/>
        <item x="460"/>
        <item x="462"/>
        <item x="463"/>
        <item x="468"/>
        <item x="479"/>
        <item x="481"/>
        <item m="1" x="986"/>
        <item m="1" x="987"/>
        <item x="492"/>
        <item x="493"/>
        <item x="494"/>
        <item m="1" x="989"/>
        <item x="495"/>
        <item x="507"/>
        <item x="509"/>
        <item x="517"/>
        <item x="524"/>
        <item x="529"/>
        <item m="1" x="993"/>
        <item m="1" x="994"/>
        <item m="1" x="996"/>
        <item x="554"/>
        <item x="558"/>
        <item x="559"/>
        <item x="577"/>
        <item x="579"/>
        <item x="580"/>
        <item x="581"/>
        <item x="582"/>
        <item x="583"/>
        <item x="588"/>
        <item x="589"/>
        <item x="595"/>
        <item x="598"/>
        <item x="599"/>
        <item x="601"/>
        <item x="602"/>
        <item x="604"/>
        <item x="606"/>
        <item x="609"/>
        <item x="616"/>
        <item x="621"/>
        <item x="623"/>
        <item x="624"/>
        <item m="1" x="1015"/>
        <item x="644"/>
        <item m="1" x="1016"/>
        <item x="657"/>
        <item m="1" x="1018"/>
        <item x="661"/>
        <item x="666"/>
        <item x="669"/>
        <item x="678"/>
        <item x="680"/>
        <item x="681"/>
        <item x="685"/>
        <item x="688"/>
        <item x="693"/>
        <item x="694"/>
        <item x="701"/>
        <item x="703"/>
        <item x="705"/>
        <item x="706"/>
        <item x="707"/>
        <item x="708"/>
        <item x="710"/>
        <item x="712"/>
        <item x="713"/>
        <item x="716"/>
        <item x="722"/>
        <item x="725"/>
        <item x="728"/>
        <item x="729"/>
        <item x="730"/>
        <item x="731"/>
        <item x="736"/>
        <item x="743"/>
        <item x="744"/>
        <item m="1" x="1039"/>
        <item x="745"/>
        <item x="746"/>
        <item m="1" x="1040"/>
        <item x="749"/>
        <item x="750"/>
        <item x="751"/>
        <item x="752"/>
        <item x="753"/>
        <item x="756"/>
        <item x="760"/>
        <item x="761"/>
        <item x="767"/>
        <item x="768"/>
        <item x="769"/>
        <item x="779"/>
        <item m="1" x="1049"/>
        <item m="1" x="1050"/>
        <item x="781"/>
        <item x="782"/>
        <item x="783"/>
        <item x="784"/>
        <item x="786"/>
        <item x="788"/>
        <item x="789"/>
        <item x="794"/>
        <item x="797"/>
        <item x="798"/>
        <item x="802"/>
        <item x="803"/>
        <item x="808"/>
        <item x="813"/>
        <item x="814"/>
        <item x="816"/>
        <item x="817"/>
        <item x="818"/>
        <item x="819"/>
        <item x="820"/>
        <item x="822"/>
        <item x="823"/>
        <item x="824"/>
        <item x="825"/>
        <item x="826"/>
        <item x="830"/>
        <item x="832"/>
        <item x="833"/>
        <item x="834"/>
        <item x="835"/>
        <item x="836"/>
        <item x="838"/>
        <item x="839"/>
        <item x="841"/>
        <item x="847"/>
        <item x="849"/>
        <item x="854"/>
        <item x="855"/>
        <item x="858"/>
        <item x="860"/>
        <item x="863"/>
        <item x="864"/>
        <item x="867"/>
        <item x="868"/>
        <item x="869"/>
        <item m="1" x="1092"/>
        <item x="870"/>
        <item x="871"/>
        <item x="2"/>
        <item x="42"/>
        <item x="45"/>
        <item x="48"/>
        <item x="50"/>
        <item x="64"/>
        <item x="78"/>
        <item x="88"/>
        <item x="90"/>
        <item x="91"/>
        <item x="117"/>
        <item x="141"/>
        <item x="146"/>
        <item x="147"/>
        <item x="163"/>
        <item x="166"/>
        <item m="1" x="1093"/>
        <item m="1" x="1094"/>
        <item x="248"/>
        <item x="258"/>
        <item x="260"/>
        <item x="271"/>
        <item x="311"/>
        <item x="312"/>
        <item m="1" x="960"/>
        <item x="345"/>
        <item x="348"/>
        <item x="360"/>
        <item x="369"/>
        <item x="372"/>
        <item x="375"/>
        <item x="384"/>
        <item x="394"/>
        <item x="437"/>
        <item x="440"/>
        <item x="458"/>
        <item m="1" x="981"/>
        <item x="486"/>
        <item m="1" x="1095"/>
        <item x="514"/>
        <item m="1" x="992"/>
        <item x="541"/>
        <item m="1" x="1096"/>
        <item x="550"/>
        <item m="1" x="998"/>
        <item x="568"/>
        <item x="578"/>
        <item m="1" x="1004"/>
        <item m="1" x="1097"/>
        <item x="612"/>
        <item x="627"/>
        <item x="628"/>
        <item x="629"/>
        <item x="630"/>
        <item x="631"/>
        <item x="641"/>
        <item x="642"/>
        <item x="659"/>
        <item x="660"/>
        <item x="664"/>
        <item x="670"/>
        <item x="673"/>
        <item x="692"/>
        <item x="695"/>
        <item x="696"/>
        <item x="697"/>
        <item x="699"/>
        <item x="718"/>
        <item x="720"/>
        <item x="721"/>
        <item x="724"/>
        <item x="726"/>
        <item x="732"/>
        <item x="12"/>
        <item x="24"/>
        <item x="49"/>
        <item x="194"/>
        <item m="1" x="947"/>
        <item x="227"/>
        <item x="246"/>
        <item x="272"/>
        <item x="296"/>
        <item x="302"/>
        <item m="1" x="964"/>
        <item x="391"/>
        <item x="422"/>
        <item x="443"/>
        <item x="444"/>
        <item x="452"/>
        <item x="454"/>
        <item x="504"/>
        <item x="515"/>
        <item x="528"/>
        <item m="1" x="995"/>
        <item x="551"/>
        <item x="593"/>
        <item x="597"/>
        <item x="607"/>
        <item x="610"/>
        <item m="1" x="1009"/>
        <item x="618"/>
        <item x="636"/>
        <item x="654"/>
        <item x="658"/>
        <item x="667"/>
        <item x="674"/>
        <item x="679"/>
        <item x="687"/>
        <item x="698"/>
        <item x="700"/>
        <item m="1" x="1027"/>
        <item m="1" x="1028"/>
        <item x="733"/>
        <item x="734"/>
        <item x="737"/>
        <item x="740"/>
        <item m="1" x="1035"/>
        <item m="1" x="1036"/>
        <item m="1" x="1037"/>
        <item m="1" x="1038"/>
        <item x="755"/>
        <item x="762"/>
        <item x="765"/>
        <item x="766"/>
        <item x="773"/>
        <item x="774"/>
        <item m="1" x="1098"/>
        <item m="1" x="1048"/>
        <item x="785"/>
        <item x="690"/>
        <item x="702"/>
        <item x="775"/>
        <item x="805"/>
        <item m="1" x="1099"/>
        <item x="35"/>
        <item x="39"/>
        <item x="52"/>
        <item x="67"/>
        <item x="105"/>
        <item x="109"/>
        <item x="122"/>
        <item m="1" x="935"/>
        <item x="160"/>
        <item x="164"/>
        <item m="1" x="937"/>
        <item m="1" x="938"/>
        <item m="1" x="949"/>
        <item x="241"/>
        <item x="374"/>
        <item m="1" x="969"/>
        <item x="396"/>
        <item x="427"/>
        <item x="464"/>
        <item x="489"/>
        <item x="506"/>
        <item x="508"/>
        <item x="510"/>
        <item x="511"/>
        <item x="521"/>
        <item x="40"/>
        <item x="55"/>
        <item x="83"/>
        <item x="86"/>
        <item x="106"/>
        <item x="135"/>
        <item m="1" x="941"/>
        <item x="189"/>
        <item x="207"/>
        <item m="1" x="945"/>
        <item x="216"/>
        <item x="240"/>
        <item x="278"/>
        <item x="291"/>
        <item m="1" x="954"/>
        <item x="341"/>
        <item x="361"/>
        <item x="371"/>
        <item x="380"/>
        <item m="1" x="972"/>
        <item x="385"/>
        <item x="387"/>
        <item x="393"/>
        <item x="399"/>
        <item x="412"/>
        <item x="420"/>
        <item x="426"/>
        <item x="428"/>
        <item x="445"/>
        <item x="453"/>
        <item x="7"/>
        <item x="8"/>
        <item x="85"/>
        <item x="93"/>
        <item m="1" x="934"/>
        <item x="143"/>
        <item m="1" x="940"/>
        <item m="1" x="943"/>
        <item x="247"/>
        <item x="273"/>
        <item x="300"/>
        <item m="1" x="961"/>
        <item x="337"/>
        <item x="397"/>
        <item x="421"/>
        <item x="423"/>
        <item x="4"/>
        <item x="23"/>
        <item x="63"/>
        <item x="81"/>
        <item x="97"/>
        <item x="111"/>
        <item x="167"/>
        <item x="19"/>
        <item x="20"/>
        <item x="96"/>
        <item m="1" x="932"/>
        <item x="126"/>
        <item x="151"/>
        <item x="169"/>
        <item x="173"/>
        <item x="483"/>
        <item x="540"/>
        <item x="542"/>
        <item x="547"/>
        <item x="548"/>
        <item x="36"/>
        <item x="170"/>
        <item m="1" x="948"/>
        <item x="230"/>
        <item x="249"/>
        <item m="1" x="966"/>
        <item x="392"/>
        <item x="704"/>
        <item x="112"/>
        <item m="1" x="942"/>
        <item x="442"/>
        <item x="466"/>
        <item x="66"/>
        <item x="70"/>
        <item x="95"/>
        <item x="102"/>
        <item x="128"/>
        <item x="129"/>
        <item x="140"/>
        <item m="1" x="1100"/>
        <item x="165"/>
        <item m="1" x="953"/>
        <item x="282"/>
        <item x="430"/>
        <item x="472"/>
        <item x="522"/>
        <item x="523"/>
        <item x="44"/>
        <item m="1" x="907"/>
        <item m="1" x="1101"/>
        <item m="1" x="931"/>
        <item m="1" x="1102"/>
        <item x="188"/>
        <item x="3"/>
        <item x="59"/>
        <item x="68"/>
        <item m="1" x="939"/>
        <item x="220"/>
        <item m="1" x="956"/>
        <item x="10"/>
        <item m="1" x="1103"/>
        <item m="1" x="936"/>
        <item x="184"/>
        <item x="243"/>
        <item x="57"/>
        <item m="1" x="930"/>
        <item x="92"/>
        <item x="136"/>
        <item x="182"/>
        <item x="229"/>
        <item x="245"/>
        <item x="279"/>
        <item x="41"/>
        <item x="82"/>
        <item m="1" x="933"/>
        <item x="127"/>
        <item m="1" x="944"/>
        <item x="209"/>
        <item x="214"/>
        <item x="215"/>
        <item x="228"/>
        <item x="232"/>
        <item x="235"/>
        <item x="267"/>
        <item x="84"/>
        <item x="94"/>
        <item x="103"/>
        <item x="107"/>
        <item x="124"/>
        <item x="125"/>
        <item x="137"/>
        <item x="193"/>
        <item x="195"/>
        <item x="277"/>
        <item x="329"/>
        <item x="358"/>
        <item x="410"/>
        <item x="15"/>
        <item m="1" x="906"/>
        <item m="1" x="916"/>
        <item x="74"/>
        <item x="77"/>
        <item x="114"/>
        <item x="133"/>
        <item x="153"/>
        <item x="168"/>
        <item x="174"/>
        <item x="175"/>
        <item x="177"/>
        <item x="178"/>
        <item x="211"/>
        <item x="212"/>
        <item x="275"/>
        <item x="276"/>
        <item x="17"/>
        <item x="25"/>
        <item x="28"/>
        <item x="29"/>
        <item x="54"/>
        <item x="274"/>
        <item x="353"/>
        <item x="414"/>
        <item x="561"/>
        <item x="625"/>
        <item x="639"/>
        <item x="689"/>
        <item x="715"/>
        <item m="1" x="1043"/>
        <item x="763"/>
        <item x="764"/>
        <item m="1" x="1053"/>
        <item m="1" x="1054"/>
        <item x="799"/>
        <item x="801"/>
        <item x="101"/>
        <item x="113"/>
        <item x="159"/>
        <item x="180"/>
        <item x="181"/>
        <item x="218"/>
        <item x="236"/>
        <item m="1" x="958"/>
        <item x="395"/>
        <item x="404"/>
        <item x="405"/>
        <item x="406"/>
        <item x="415"/>
        <item x="611"/>
        <item x="648"/>
        <item x="650"/>
        <item x="739"/>
        <item x="770"/>
        <item x="776"/>
        <item x="800"/>
        <item x="807"/>
        <item m="1" x="1060"/>
        <item x="851"/>
        <item x="108"/>
        <item x="176"/>
        <item x="204"/>
        <item x="254"/>
        <item x="280"/>
        <item x="285"/>
        <item x="298"/>
        <item x="325"/>
        <item x="334"/>
        <item x="418"/>
        <item x="425"/>
        <item x="431"/>
        <item x="434"/>
        <item x="447"/>
        <item x="448"/>
        <item x="449"/>
        <item x="467"/>
        <item x="58"/>
        <item x="110"/>
        <item x="115"/>
        <item x="123"/>
        <item x="205"/>
        <item x="252"/>
        <item x="303"/>
        <item x="304"/>
        <item x="331"/>
        <item x="333"/>
        <item x="335"/>
        <item x="339"/>
        <item x="340"/>
        <item x="352"/>
        <item x="355"/>
        <item m="1" x="965"/>
        <item x="402"/>
        <item x="403"/>
        <item x="18"/>
        <item x="234"/>
        <item x="266"/>
        <item m="1" x="895"/>
        <item m="1" x="898"/>
        <item m="1" x="899"/>
        <item m="1" x="900"/>
        <item m="1" x="901"/>
        <item m="1" x="903"/>
        <item m="1" x="904"/>
        <item m="1" x="905"/>
        <item m="1" x="908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x="51"/>
        <item x="56"/>
        <item x="99"/>
        <item x="100"/>
        <item x="148"/>
        <item x="150"/>
        <item x="157"/>
        <item x="172"/>
        <item x="2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1">
        <item m="1" x="37"/>
        <item x="0"/>
        <item x="2"/>
        <item x="31"/>
        <item x="3"/>
        <item x="10"/>
        <item x="27"/>
        <item x="1"/>
        <item x="25"/>
        <item x="11"/>
        <item x="12"/>
        <item x="13"/>
        <item x="8"/>
        <item x="19"/>
        <item x="26"/>
        <item x="17"/>
        <item x="7"/>
        <item x="14"/>
        <item x="33"/>
        <item x="28"/>
        <item x="21"/>
        <item m="1" x="40"/>
        <item x="30"/>
        <item x="5"/>
        <item x="15"/>
        <item x="18"/>
        <item x="32"/>
        <item x="23"/>
        <item x="29"/>
        <item x="24"/>
        <item x="16"/>
        <item x="20"/>
        <item x="22"/>
        <item x="6"/>
        <item x="9"/>
        <item m="1" x="34"/>
        <item m="1" x="35"/>
        <item m="1" x="36"/>
        <item m="1" x="38"/>
        <item m="1" x="39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maining budget" axis="axisRow" compact="0" numFmtId="3" outline="0" subtotalTop="0" showAll="0" defaultSubtotal="0">
      <items count="451">
        <item m="1" x="450"/>
        <item m="1" x="448"/>
        <item m="1" x="449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x="104"/>
        <item m="1" x="233"/>
        <item x="113"/>
        <item m="1" x="234"/>
        <item x="36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x="9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x="137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x="130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x="149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x="112"/>
        <item m="1" x="342"/>
        <item m="1" x="343"/>
        <item x="118"/>
        <item m="1" x="344"/>
        <item m="1" x="345"/>
        <item m="1" x="346"/>
        <item m="1" x="347"/>
        <item m="1" x="348"/>
        <item m="1" x="349"/>
        <item x="135"/>
        <item m="1" x="350"/>
        <item x="136"/>
        <item m="1" x="351"/>
        <item m="1" x="352"/>
        <item x="141"/>
        <item m="1" x="353"/>
        <item m="1" x="354"/>
        <item m="1" x="355"/>
        <item x="103"/>
        <item m="1" x="356"/>
        <item m="1" x="357"/>
        <item m="1" x="358"/>
        <item m="1" x="359"/>
        <item x="120"/>
        <item m="1" x="360"/>
        <item x="145"/>
        <item m="1" x="361"/>
        <item m="1" x="362"/>
        <item m="1" x="363"/>
        <item m="1" x="364"/>
        <item m="1" x="365"/>
        <item m="1" x="366"/>
        <item x="134"/>
        <item x="140"/>
        <item m="1" x="367"/>
        <item m="1" x="368"/>
        <item m="1" x="369"/>
        <item m="1" x="370"/>
        <item x="8"/>
        <item m="1" x="371"/>
        <item m="1" x="372"/>
        <item x="60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x="139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x="69"/>
        <item m="1" x="397"/>
        <item x="138"/>
        <item m="1" x="398"/>
        <item m="1" x="399"/>
        <item m="1" x="400"/>
        <item x="106"/>
        <item m="1" x="401"/>
        <item x="144"/>
        <item m="1" x="402"/>
        <item m="1" x="403"/>
        <item m="1" x="404"/>
        <item m="1" x="405"/>
        <item m="1" x="406"/>
        <item m="1" x="407"/>
        <item x="98"/>
        <item m="1" x="408"/>
        <item m="1" x="409"/>
        <item x="148"/>
        <item x="81"/>
        <item m="1" x="410"/>
        <item x="124"/>
        <item m="1" x="411"/>
        <item x="57"/>
        <item m="1" x="412"/>
        <item m="1" x="413"/>
        <item m="1" x="414"/>
        <item m="1" x="415"/>
        <item x="122"/>
        <item m="1" x="416"/>
        <item m="1" x="417"/>
        <item m="1" x="418"/>
        <item x="133"/>
        <item m="1" x="419"/>
        <item m="1" x="420"/>
        <item x="110"/>
        <item m="1" x="421"/>
        <item m="1" x="422"/>
        <item m="1" x="423"/>
        <item m="1" x="424"/>
        <item m="1" x="425"/>
        <item x="131"/>
        <item m="1" x="426"/>
        <item m="1" x="427"/>
        <item m="1" x="428"/>
        <item m="1" x="429"/>
        <item x="0"/>
        <item m="1" x="430"/>
        <item m="1" x="431"/>
        <item m="1" x="432"/>
        <item m="1" x="433"/>
        <item m="1" x="434"/>
        <item m="1" x="435"/>
        <item m="1" x="436"/>
        <item m="1" x="437"/>
        <item x="61"/>
        <item m="1" x="438"/>
        <item m="1" x="439"/>
        <item m="1" x="440"/>
        <item x="92"/>
        <item m="1" x="441"/>
        <item m="1" x="442"/>
        <item m="1" x="443"/>
        <item m="1" x="444"/>
        <item x="108"/>
        <item m="1" x="445"/>
        <item m="1" x="446"/>
        <item m="1" x="447"/>
        <item x="7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x="17"/>
        <item x="18"/>
        <item x="19"/>
        <item m="1" x="151"/>
        <item x="20"/>
        <item x="21"/>
        <item x="22"/>
        <item x="23"/>
        <item x="24"/>
        <item x="25"/>
        <item x="26"/>
        <item x="27"/>
        <item m="1" x="152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153"/>
        <item x="52"/>
        <item x="53"/>
        <item x="54"/>
        <item m="1" x="154"/>
        <item x="55"/>
        <item x="56"/>
        <item x="58"/>
        <item x="59"/>
        <item m="1" x="155"/>
        <item x="62"/>
        <item x="63"/>
        <item x="64"/>
        <item x="65"/>
        <item x="66"/>
        <item x="67"/>
        <item x="68"/>
        <item m="1" x="156"/>
        <item x="71"/>
        <item x="72"/>
        <item x="73"/>
        <item x="74"/>
        <item x="75"/>
        <item m="1" x="157"/>
        <item x="76"/>
        <item x="77"/>
        <item x="78"/>
        <item x="79"/>
        <item x="80"/>
        <item x="82"/>
        <item m="1" x="158"/>
        <item m="1" x="159"/>
        <item x="83"/>
        <item x="84"/>
        <item x="85"/>
        <item x="86"/>
        <item x="87"/>
        <item x="88"/>
        <item m="1" x="160"/>
        <item x="89"/>
        <item x="90"/>
        <item x="91"/>
        <item x="93"/>
        <item x="94"/>
        <item m="1" x="161"/>
        <item x="95"/>
        <item x="96"/>
        <item x="97"/>
        <item m="1" x="162"/>
        <item m="1" x="163"/>
        <item x="99"/>
        <item m="1" x="164"/>
        <item m="1" x="165"/>
        <item x="100"/>
        <item x="101"/>
        <item m="1" x="166"/>
        <item x="102"/>
        <item m="1" x="167"/>
        <item m="1" x="168"/>
        <item m="1" x="169"/>
        <item x="105"/>
        <item m="1" x="170"/>
        <item x="107"/>
        <item x="109"/>
        <item m="1" x="171"/>
        <item m="1" x="172"/>
        <item x="111"/>
        <item x="114"/>
        <item m="1" x="173"/>
        <item m="1" x="174"/>
        <item x="115"/>
        <item x="116"/>
        <item m="1" x="175"/>
        <item x="117"/>
        <item m="1" x="176"/>
        <item m="1" x="177"/>
        <item m="1" x="178"/>
        <item x="119"/>
        <item m="1" x="179"/>
        <item x="121"/>
        <item x="123"/>
        <item m="1" x="180"/>
        <item m="1" x="181"/>
        <item m="1" x="182"/>
        <item m="1" x="183"/>
        <item m="1" x="184"/>
        <item m="1" x="185"/>
        <item x="125"/>
        <item x="126"/>
        <item x="127"/>
        <item m="1" x="186"/>
        <item x="128"/>
        <item x="129"/>
        <item m="1" x="187"/>
        <item x="132"/>
        <item m="1" x="188"/>
        <item m="1" x="189"/>
        <item m="1" x="190"/>
        <item m="1" x="191"/>
        <item m="1" x="192"/>
        <item m="1" x="193"/>
        <item m="1" x="194"/>
        <item m="1" x="195"/>
        <item x="142"/>
        <item m="1" x="196"/>
        <item m="1" x="197"/>
        <item m="1" x="198"/>
        <item m="1" x="199"/>
        <item m="1" x="200"/>
        <item m="1" x="201"/>
        <item m="1" x="202"/>
        <item m="1" x="203"/>
        <item x="143"/>
        <item m="1" x="204"/>
        <item x="146"/>
        <item x="147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x="150"/>
        <item m="1" x="221"/>
        <item m="1" x="222"/>
        <item m="1" x="223"/>
      </items>
    </pivotField>
    <pivotField compact="0" outline="0" subtotalTop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5">
    <field x="4"/>
    <field x="5"/>
    <field x="6"/>
    <field x="7"/>
    <field x="8"/>
    <field x="18"/>
    <field x="9"/>
    <field x="10"/>
    <field x="11"/>
    <field x="12"/>
    <field x="13"/>
    <field x="15"/>
    <field x="16"/>
    <field x="14"/>
    <field x="17"/>
  </rowFields>
  <rowItems count="9">
    <i>
      <x v="107"/>
      <x v="109"/>
      <x v="4"/>
      <x/>
      <x v="4"/>
      <x v="295"/>
      <x v="105"/>
      <x v="99"/>
      <x v="94"/>
      <x v="93"/>
      <x v="12"/>
      <x/>
      <x v="524"/>
      <x v="10"/>
      <x v="7"/>
    </i>
    <i r="10">
      <x v="22"/>
      <x/>
      <x v="599"/>
      <x v="10"/>
      <x v="7"/>
    </i>
    <i r="11">
      <x v="1"/>
      <x v="599"/>
      <x v="10"/>
      <x v="7"/>
    </i>
    <i r="6">
      <x v="117"/>
      <x v="107"/>
      <x v="94"/>
      <x v="93"/>
      <x v="35"/>
      <x v="1"/>
      <x v="697"/>
      <x v="10"/>
      <x v="7"/>
    </i>
    <i r="6">
      <x v="174"/>
      <x v="161"/>
      <x v="94"/>
      <x v="93"/>
      <x v="35"/>
      <x/>
      <x v="697"/>
      <x v="10"/>
      <x v="40"/>
    </i>
    <i r="6">
      <x v="278"/>
      <x v="255"/>
      <x v="94"/>
      <x v="93"/>
      <x v="12"/>
      <x v="1"/>
      <x v="524"/>
      <x v="10"/>
      <x v="7"/>
    </i>
    <i r="6">
      <x v="331"/>
      <x v="297"/>
      <x v="94"/>
      <x v="93"/>
      <x v="26"/>
      <x v="1"/>
      <x v="626"/>
      <x v="10"/>
      <x v="7"/>
    </i>
    <i r="10">
      <x v="38"/>
      <x/>
      <x v="506"/>
      <x v="10"/>
      <x v="40"/>
    </i>
    <i r="6">
      <x v="346"/>
      <x v="316"/>
      <x v="94"/>
      <x v="93"/>
      <x v="26"/>
      <x/>
      <x v="626"/>
      <x v="10"/>
      <x v="7"/>
    </i>
  </rowItems>
  <colItems count="1">
    <i/>
  </colItems>
  <formats count="17">
    <format dxfId="51">
      <pivotArea field="4" type="button" dataOnly="0" labelOnly="1" outline="0" axis="axisRow" fieldPosition="0"/>
    </format>
    <format dxfId="52">
      <pivotArea field="5" type="button" dataOnly="0" labelOnly="1" outline="0" axis="axisRow" fieldPosition="1"/>
    </format>
    <format dxfId="53">
      <pivotArea field="6" type="button" dataOnly="0" labelOnly="1" outline="0" axis="axisRow" fieldPosition="2"/>
    </format>
    <format dxfId="54">
      <pivotArea field="7" type="button" dataOnly="0" labelOnly="1" outline="0" axis="axisRow" fieldPosition="3"/>
    </format>
    <format dxfId="55">
      <pivotArea field="8" type="button" dataOnly="0" labelOnly="1" outline="0" axis="axisRow" fieldPosition="4"/>
    </format>
    <format dxfId="56">
      <pivotArea field="9" type="button" dataOnly="0" labelOnly="1" outline="0" axis="axisRow" fieldPosition="6"/>
    </format>
    <format dxfId="57">
      <pivotArea field="10" type="button" dataOnly="0" labelOnly="1" outline="0" axis="axisRow" fieldPosition="7"/>
    </format>
    <format dxfId="58">
      <pivotArea field="11" type="button" dataOnly="0" labelOnly="1" outline="0" axis="axisRow" fieldPosition="8"/>
    </format>
    <format dxfId="59">
      <pivotArea field="12" type="button" dataOnly="0" labelOnly="1" outline="0" axis="axisRow" fieldPosition="9"/>
    </format>
    <format dxfId="60">
      <pivotArea field="13" type="button" dataOnly="0" labelOnly="1" outline="0" axis="axisRow" fieldPosition="10"/>
    </format>
    <format dxfId="61">
      <pivotArea field="16" type="button" dataOnly="0" labelOnly="1" outline="0" axis="axisRow" fieldPosition="12"/>
    </format>
    <format dxfId="62">
      <pivotArea field="14" type="button" dataOnly="0" labelOnly="1" outline="0" axis="axisRow" fieldPosition="13"/>
    </format>
    <format dxfId="63">
      <pivotArea field="17" type="button" dataOnly="0" labelOnly="1" outline="0" axis="axisRow" fieldPosition="14"/>
    </format>
    <format dxfId="64">
      <pivotArea field="8" type="button" dataOnly="0" labelOnly="1" outline="0" axis="axisRow" fieldPosition="4"/>
    </format>
    <format dxfId="65">
      <pivotArea dataOnly="0" labelOnly="1" outline="0" fieldPosition="0">
        <references count="1">
          <reference field="8" count="0"/>
        </references>
      </pivotArea>
    </format>
    <format dxfId="66">
      <pivotArea field="15" type="button" dataOnly="0" labelOnly="1" outline="0" axis="axisRow" fieldPosition="11"/>
    </format>
    <format dxfId="67">
      <pivotArea field="18" type="button" dataOnly="0" labelOnly="1" outline="0" axis="axisRow" fieldPosition="5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90">
  <autoFilter ref="A1:B10" xr:uid="{134EB915-8B19-4838-BDED-CECBACACF4F9}"/>
  <tableColumns count="2">
    <tableColumn id="1" xr3:uid="{00000000-0010-0000-0000-000001000000}" name="Report Property"/>
    <tableColumn id="2" xr3:uid="{00000000-0010-0000-0000-000002000000}" name="Report Property 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89">
  <autoFilter ref="D1:E10" xr:uid="{1DFF5EE2-2A86-40DE-9DFD-1E96553323F6}"/>
  <tableColumns count="2">
    <tableColumn id="1" xr3:uid="{00000000-0010-0000-0100-000001000000}" name="Request Property"/>
    <tableColumn id="2" xr3:uid="{00000000-0010-0000-0100-000002000000}" name="Request Property 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88">
  <autoFilter ref="G1:H2" xr:uid="{8D3A40BA-47FA-41F3-82A4-C5BD4909C0B4}"/>
  <tableColumns count="2">
    <tableColumn id="1" xr3:uid="{00000000-0010-0000-0200-000001000000}" name="Request Page Option"/>
    <tableColumn id="2" xr3:uid="{00000000-0010-0000-0200-000002000000}" name="Request Page Option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4" totalsRowShown="0" headerRowDxfId="87">
  <autoFilter ref="J1:K4" xr:uid="{D269260C-C433-478B-84A3-3CB73C333872}"/>
  <tableColumns count="2">
    <tableColumn id="1" xr3:uid="{00000000-0010-0000-0300-000001000000}" name="Filter"/>
    <tableColumn id="2" xr3:uid="{00000000-0010-0000-0300-000002000000}" name="Filter Value"/>
  </tableColumns>
  <tableStyleInfo name="TableStyleMedium9" showFirstColumn="0" showLastColumn="0" showRowStripes="1" showColumnStripes="0"/>
</table>
</file>

<file path=xl/tables/table5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Data" displayName="Data" ref="A1:S1638" totalsRowShown="0" headerRowDxfId="86" xr:uid="{41D726F2-778D-4B1C-A5EA-875FED73D050}" mc:Ignorable="xr xr3">
  <x:autoFilter ref="A1:S1638" xr:uid="{00000000-0009-0000-0100-000005000000}"/>
  <x:tableColumns count="19">
    <x:tableColumn id="1" name="USERID" xr3:uid="{21867904-D69E-41E3-B5BE-D9B124B8D7E4}"/>
    <x:tableColumn id="2" name="COMPANYNAME" xr3:uid="{21867904-D69E-41E3-B5BE-D9B124B8D7E4}"/>
    <x:tableColumn id="3" name="PrintDate" xr3:uid="{21867904-D69E-41E3-B5BE-D9B124B8D7E4}"/>
    <x:tableColumn id="4" name="TargetDate" xr3:uid="{21867904-D69E-41E3-B5BE-D9B124B8D7E4}"/>
    <x:tableColumn id="5" name="StaffCode" xr3:uid="{21867904-D69E-41E3-B5BE-D9B124B8D7E4}"/>
    <x:tableColumn id="6" name="Name" xr3:uid="{21867904-D69E-41E3-B5BE-D9B124B8D7E4}"/>
    <x:tableColumn id="7" name="Position" xr3:uid="{21867904-D69E-41E3-B5BE-D9B124B8D7E4}"/>
    <x:tableColumn id="8" name="Status" xr3:uid="{21867904-D69E-41E3-B5BE-D9B124B8D7E4}"/>
    <x:tableColumn id="9" name="YearlyBudget" xr3:uid="{21867904-D69E-41E3-B5BE-D9B124B8D7E4}"/>
    <x:tableColumn id="10" name="YearlySpending" xr3:uid="{21867904-D69E-41E3-B5BE-D9B124B8D7E4}"/>
    <x:tableColumn id="11" name="YearlyAllowance" xr3:uid="{21867904-D69E-41E3-B5BE-D9B124B8D7E4}"/>
    <x:tableColumn id="12" name="MemberCode" xr3:uid="{21867904-D69E-41E3-B5BE-D9B124B8D7E4}"/>
    <x:tableColumn id="13" name="MemberName" xr3:uid="{21867904-D69E-41E3-B5BE-D9B124B8D7E4}"/>
    <x:tableColumn id="14" name="Date" xr3:uid="{21867904-D69E-41E3-B5BE-D9B124B8D7E4}"/>
    <x:tableColumn id="15" name="POS_Terminal_No_" xr3:uid="{21867904-D69E-41E3-B5BE-D9B124B8D7E4}"/>
    <x:tableColumn id="19" name="Line_No_" dataDxfId="85" xr3:uid="{6C9DE4EC-7914-44FD-81F8-1DDB72CFC22D}"/>
    <x:tableColumn id="16" name="Transaction_No_" xr3:uid="{21867904-D69E-41E3-B5BE-D9B124B8D7E4}"/>
    <x:tableColumn id="17" name="Brand" xr3:uid="{21867904-D69E-41E3-B5BE-D9B124B8D7E4}"/>
    <x:tableColumn id="18" name="UsedBudget" xr3:uid="{22116731-30A9-45F4-95A5-5BD4D8ED6D6C}"/>
  </x:tableColumns>
  <x:tableStyleInfo name="TableStyleMedium4" showFirstColumn="0" showLastColumn="0" showRowStripes="1" showColumnStripes="0"/>
</x: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CaptionData" displayName="CaptionData" ref="A1:B2" totalsRowShown="0">
  <autoFilter ref="A1:B2" xr:uid="{00000000-0009-0000-0100-000001000000}"/>
  <tableColumns count="2">
    <tableColumn id="1" xr3:uid="{00000000-0010-0000-0500-000001000000}" name="Caption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ranslationData" displayName="TranslationData" ref="A1:C2" totalsRowShown="0">
  <autoFilter ref="A1:C2" xr:uid="{00000000-0009-0000-0100-000002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0"/>
  <sheetViews>
    <sheetView workbookViewId="0">
      <selection activeCell="G11" sqref="G11"/>
    </sheetView>
  </sheetViews>
  <sheetFormatPr defaultRowHeight="15" x14ac:dyDescent="0.2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25">
      <c r="A1" s="1" t="s">
        <v>3</v>
      </c>
      <c r="B1" s="1" t="s">
        <v>4</v>
      </c>
      <c r="C1" s="1" t="s">
        <v>26</v>
      </c>
      <c r="D1" s="1" t="s">
        <v>14</v>
      </c>
      <c r="E1" s="1" t="s">
        <v>15</v>
      </c>
      <c r="F1" s="1" t="s">
        <v>26</v>
      </c>
      <c r="G1" s="1" t="s">
        <v>1</v>
      </c>
      <c r="H1" s="1" t="s">
        <v>2</v>
      </c>
      <c r="I1" s="1" t="s">
        <v>26</v>
      </c>
      <c r="J1" s="1" t="s">
        <v>24</v>
      </c>
      <c r="K1" s="1" t="s">
        <v>25</v>
      </c>
    </row>
    <row r="2" spans="1:11" x14ac:dyDescent="0.25">
      <c r="A2" t="s">
        <v>5</v>
      </c>
      <c r="B2" t="s">
        <v>27</v>
      </c>
      <c r="C2" t="s">
        <v>26</v>
      </c>
      <c r="D2" t="s">
        <v>16</v>
      </c>
      <c r="E2" t="s">
        <v>28</v>
      </c>
      <c r="F2" t="s">
        <v>26</v>
      </c>
      <c r="G2" t="s">
        <v>26</v>
      </c>
      <c r="H2" t="s">
        <v>26</v>
      </c>
      <c r="I2" t="s">
        <v>26</v>
      </c>
      <c r="J2" t="s">
        <v>740</v>
      </c>
      <c r="K2" t="s">
        <v>57</v>
      </c>
    </row>
    <row r="3" spans="1:11" x14ac:dyDescent="0.25">
      <c r="A3" t="s">
        <v>6</v>
      </c>
      <c r="B3" t="s">
        <v>29</v>
      </c>
      <c r="C3" t="s">
        <v>26</v>
      </c>
      <c r="D3" t="s">
        <v>17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741</v>
      </c>
      <c r="K3" t="s">
        <v>30</v>
      </c>
    </row>
    <row r="4" spans="1:11" x14ac:dyDescent="0.25">
      <c r="A4" t="s">
        <v>7</v>
      </c>
      <c r="B4" t="s">
        <v>31</v>
      </c>
      <c r="C4" t="s">
        <v>26</v>
      </c>
      <c r="D4" t="s">
        <v>18</v>
      </c>
      <c r="E4" t="s">
        <v>32</v>
      </c>
      <c r="F4" t="s">
        <v>26</v>
      </c>
      <c r="G4" t="s">
        <v>26</v>
      </c>
      <c r="H4" t="s">
        <v>26</v>
      </c>
      <c r="I4" t="s">
        <v>26</v>
      </c>
      <c r="J4" t="s">
        <v>784</v>
      </c>
      <c r="K4" t="s">
        <v>785</v>
      </c>
    </row>
    <row r="5" spans="1:11" x14ac:dyDescent="0.25">
      <c r="A5" t="s">
        <v>8</v>
      </c>
      <c r="B5" t="s">
        <v>58</v>
      </c>
      <c r="C5" t="s">
        <v>26</v>
      </c>
      <c r="D5" t="s">
        <v>19</v>
      </c>
      <c r="E5" t="s">
        <v>59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</row>
    <row r="6" spans="1:11" x14ac:dyDescent="0.25">
      <c r="A6" t="s">
        <v>9</v>
      </c>
      <c r="B6">
        <v>70020</v>
      </c>
      <c r="C6" t="s">
        <v>26</v>
      </c>
      <c r="D6" t="s">
        <v>20</v>
      </c>
      <c r="E6" t="s">
        <v>60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</row>
    <row r="7" spans="1:11" x14ac:dyDescent="0.25">
      <c r="A7" t="s">
        <v>10</v>
      </c>
      <c r="B7" t="s">
        <v>33</v>
      </c>
      <c r="C7" t="s">
        <v>26</v>
      </c>
      <c r="D7" t="s">
        <v>21</v>
      </c>
      <c r="E7" t="s">
        <v>61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</row>
    <row r="8" spans="1:11" x14ac:dyDescent="0.25">
      <c r="A8" t="s">
        <v>11</v>
      </c>
      <c r="B8" t="s">
        <v>26</v>
      </c>
      <c r="C8" t="s">
        <v>26</v>
      </c>
      <c r="D8" t="s">
        <v>22</v>
      </c>
      <c r="E8" s="3">
        <v>45904.45965960648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</row>
    <row r="9" spans="1:11" x14ac:dyDescent="0.25">
      <c r="A9" t="s">
        <v>12</v>
      </c>
      <c r="B9" t="s">
        <v>26</v>
      </c>
      <c r="C9" t="s">
        <v>26</v>
      </c>
      <c r="D9" t="s">
        <v>0</v>
      </c>
      <c r="E9">
        <v>1033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</row>
    <row r="10" spans="1:11" x14ac:dyDescent="0.25">
      <c r="A10" t="s">
        <v>13</v>
      </c>
      <c r="B10" t="s">
        <v>26</v>
      </c>
      <c r="C10" t="s">
        <v>26</v>
      </c>
      <c r="D10" t="s">
        <v>23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25C8-4D03-411E-8A0E-D13E59636D5F}">
  <dimension ref="A1:O16757"/>
  <sheetViews>
    <sheetView tabSelected="1" workbookViewId="0">
      <pane xSplit="1" topLeftCell="B1" activePane="topRight" state="frozen"/>
      <selection pane="topRight" activeCell="G13" sqref="G13"/>
    </sheetView>
  </sheetViews>
  <sheetFormatPr defaultRowHeight="15" x14ac:dyDescent="0.25"/>
  <cols>
    <col min="1" max="1" width="12.42578125" bestFit="1" customWidth="1"/>
    <col min="2" max="2" width="22.5703125" bestFit="1" customWidth="1"/>
    <col min="3" max="3" width="28.85546875" bestFit="1" customWidth="1"/>
    <col min="4" max="4" width="8.7109375" bestFit="1" customWidth="1"/>
    <col min="5" max="5" width="17.140625" style="8" bestFit="1" customWidth="1"/>
    <col min="6" max="6" width="19.7109375" bestFit="1" customWidth="1"/>
    <col min="7" max="7" width="17.7109375" bestFit="1" customWidth="1"/>
    <col min="8" max="8" width="18.7109375" bestFit="1" customWidth="1"/>
    <col min="9" max="9" width="17.28515625" bestFit="1" customWidth="1"/>
    <col min="10" max="10" width="31.28515625" bestFit="1" customWidth="1"/>
    <col min="11" max="11" width="9.7109375" bestFit="1" customWidth="1"/>
    <col min="12" max="12" width="10" bestFit="1" customWidth="1"/>
    <col min="13" max="13" width="16.85546875" bestFit="1" customWidth="1"/>
    <col min="14" max="14" width="14.7109375" bestFit="1" customWidth="1"/>
    <col min="15" max="15" width="8.42578125" bestFit="1" customWidth="1"/>
  </cols>
  <sheetData>
    <row r="1" spans="1:15" ht="15" customHeight="1" x14ac:dyDescent="0.25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9"/>
      <c r="M1" s="9"/>
      <c r="N1" s="13" t="str">
        <f>Data!B2</f>
        <v>HO</v>
      </c>
      <c r="O1" s="13"/>
    </row>
    <row r="2" spans="1:15" ht="10.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9"/>
      <c r="M2" s="9"/>
      <c r="N2" s="14" t="str">
        <f>"Print Date: "&amp;Data[[#This Row],[PrintDate]]</f>
        <v>Print Date: 04/09/2025</v>
      </c>
      <c r="O2" s="14"/>
    </row>
    <row r="3" spans="1:15" ht="12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9"/>
      <c r="M3" s="9"/>
      <c r="N3" s="14" t="str">
        <f>"Target Date: "&amp;Data!D2</f>
        <v>Target Date: 01/08/2025-31/08/2025</v>
      </c>
      <c r="O3" s="14"/>
    </row>
    <row r="5" spans="1:15" x14ac:dyDescent="0.25">
      <c r="A5" s="6" t="s">
        <v>783</v>
      </c>
      <c r="B5" s="6" t="s">
        <v>39</v>
      </c>
      <c r="C5" s="6" t="s">
        <v>40</v>
      </c>
      <c r="D5" s="6" t="s">
        <v>41</v>
      </c>
      <c r="E5" s="10" t="s">
        <v>780</v>
      </c>
      <c r="F5" s="6" t="s">
        <v>786</v>
      </c>
      <c r="G5" s="6" t="s">
        <v>777</v>
      </c>
      <c r="H5" s="6" t="s">
        <v>778</v>
      </c>
      <c r="I5" s="6" t="s">
        <v>779</v>
      </c>
      <c r="J5" s="6" t="s">
        <v>782</v>
      </c>
      <c r="K5" s="6" t="s">
        <v>22</v>
      </c>
      <c r="L5" s="6" t="s">
        <v>744</v>
      </c>
      <c r="M5" s="6" t="s">
        <v>781</v>
      </c>
      <c r="N5" s="6" t="s">
        <v>745</v>
      </c>
      <c r="O5" s="6" t="s">
        <v>49</v>
      </c>
    </row>
    <row r="6" spans="1:15" x14ac:dyDescent="0.25">
      <c r="A6" t="s">
        <v>468</v>
      </c>
      <c r="B6" t="s">
        <v>469</v>
      </c>
      <c r="C6" t="s">
        <v>76</v>
      </c>
      <c r="E6" s="11">
        <v>110000000</v>
      </c>
      <c r="F6" s="5">
        <v>109350000</v>
      </c>
      <c r="G6" s="5">
        <v>40500</v>
      </c>
      <c r="H6" s="5">
        <v>4050</v>
      </c>
      <c r="I6" t="s">
        <v>470</v>
      </c>
      <c r="J6" t="s">
        <v>471</v>
      </c>
      <c r="K6" s="3">
        <v>45874</v>
      </c>
      <c r="L6" s="2">
        <v>1000</v>
      </c>
      <c r="M6" s="2">
        <v>1701</v>
      </c>
      <c r="N6" t="s">
        <v>459</v>
      </c>
      <c r="O6" t="s">
        <v>747</v>
      </c>
    </row>
    <row r="7" spans="1:15" x14ac:dyDescent="0.25">
      <c r="E7" s="11"/>
      <c r="G7" s="5">
        <v>40500</v>
      </c>
      <c r="H7" s="5">
        <v>4050</v>
      </c>
      <c r="I7" t="s">
        <v>470</v>
      </c>
      <c r="J7" t="s">
        <v>471</v>
      </c>
      <c r="K7" s="3">
        <v>45884</v>
      </c>
      <c r="L7" s="2">
        <v>1000</v>
      </c>
      <c r="M7" s="2">
        <v>5817</v>
      </c>
      <c r="N7" t="s">
        <v>459</v>
      </c>
      <c r="O7" t="s">
        <v>747</v>
      </c>
    </row>
    <row r="8" spans="1:15" x14ac:dyDescent="0.25">
      <c r="E8" s="11"/>
      <c r="G8" s="5">
        <v>40500</v>
      </c>
      <c r="H8" s="5">
        <v>4050</v>
      </c>
      <c r="I8" t="s">
        <v>470</v>
      </c>
      <c r="J8" t="s">
        <v>471</v>
      </c>
      <c r="K8" s="3">
        <v>45884</v>
      </c>
      <c r="L8" s="2">
        <v>2000</v>
      </c>
      <c r="M8" s="2">
        <v>5817</v>
      </c>
      <c r="N8" t="s">
        <v>459</v>
      </c>
      <c r="O8" t="s">
        <v>747</v>
      </c>
    </row>
    <row r="9" spans="1:15" x14ac:dyDescent="0.25">
      <c r="E9" s="11"/>
      <c r="G9" s="5">
        <v>90000</v>
      </c>
      <c r="H9" s="5">
        <v>9000</v>
      </c>
      <c r="I9" t="s">
        <v>470</v>
      </c>
      <c r="J9" t="s">
        <v>471</v>
      </c>
      <c r="K9" s="3">
        <v>45898</v>
      </c>
      <c r="L9" s="2">
        <v>2000</v>
      </c>
      <c r="M9" s="2">
        <v>10920</v>
      </c>
      <c r="N9" t="s">
        <v>459</v>
      </c>
      <c r="O9" t="s">
        <v>747</v>
      </c>
    </row>
    <row r="10" spans="1:15" x14ac:dyDescent="0.25">
      <c r="E10" s="11"/>
      <c r="G10" s="5">
        <v>65000</v>
      </c>
      <c r="H10" s="5">
        <v>6500</v>
      </c>
      <c r="I10" t="s">
        <v>470</v>
      </c>
      <c r="J10" t="s">
        <v>471</v>
      </c>
      <c r="K10" s="3">
        <v>45898</v>
      </c>
      <c r="L10" s="2">
        <v>1000</v>
      </c>
      <c r="M10" s="2">
        <v>10920</v>
      </c>
      <c r="N10" t="s">
        <v>459</v>
      </c>
    </row>
    <row r="11" spans="1:15" x14ac:dyDescent="0.25">
      <c r="E11" s="11"/>
      <c r="G11" s="5">
        <v>49500</v>
      </c>
      <c r="H11" s="5">
        <v>4950</v>
      </c>
      <c r="I11" t="s">
        <v>470</v>
      </c>
      <c r="J11" t="s">
        <v>471</v>
      </c>
      <c r="K11" s="3">
        <v>45874</v>
      </c>
      <c r="L11" s="2">
        <v>2000</v>
      </c>
      <c r="M11" s="2">
        <v>1701</v>
      </c>
      <c r="N11" t="s">
        <v>459</v>
      </c>
      <c r="O11" t="s">
        <v>747</v>
      </c>
    </row>
    <row r="12" spans="1:15" x14ac:dyDescent="0.25">
      <c r="E12" s="11"/>
      <c r="G12" s="5">
        <v>81000</v>
      </c>
      <c r="H12" s="5">
        <v>8100</v>
      </c>
      <c r="I12" t="s">
        <v>470</v>
      </c>
      <c r="J12" t="s">
        <v>471</v>
      </c>
      <c r="K12" s="3">
        <v>45888</v>
      </c>
      <c r="L12" s="2">
        <v>2000</v>
      </c>
      <c r="M12" s="2">
        <v>7430</v>
      </c>
      <c r="N12" t="s">
        <v>459</v>
      </c>
      <c r="O12" t="s">
        <v>747</v>
      </c>
    </row>
    <row r="13" spans="1:15" x14ac:dyDescent="0.25">
      <c r="E13" s="11"/>
      <c r="G13" s="5">
        <v>81000</v>
      </c>
      <c r="H13" s="5">
        <v>8100</v>
      </c>
      <c r="I13" t="s">
        <v>470</v>
      </c>
      <c r="J13" t="s">
        <v>471</v>
      </c>
      <c r="K13" s="3">
        <v>45871</v>
      </c>
      <c r="L13" s="2">
        <v>1000</v>
      </c>
      <c r="M13" s="2">
        <v>399</v>
      </c>
      <c r="N13" t="s">
        <v>459</v>
      </c>
    </row>
    <row r="14" spans="1:15" x14ac:dyDescent="0.25">
      <c r="E14" s="11"/>
      <c r="G14" s="5">
        <v>162000</v>
      </c>
      <c r="H14" s="5">
        <v>16200</v>
      </c>
      <c r="I14" t="s">
        <v>470</v>
      </c>
      <c r="J14" t="s">
        <v>471</v>
      </c>
      <c r="K14" s="3">
        <v>45888</v>
      </c>
      <c r="L14" s="2">
        <v>1000</v>
      </c>
      <c r="M14" s="2">
        <v>7430</v>
      </c>
      <c r="N14" t="s">
        <v>459</v>
      </c>
      <c r="O14" t="s">
        <v>747</v>
      </c>
    </row>
    <row r="15" spans="1:15" x14ac:dyDescent="0.25">
      <c r="E15"/>
    </row>
    <row r="16" spans="1:1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  <row r="2438" spans="5:5" x14ac:dyDescent="0.25">
      <c r="E2438"/>
    </row>
    <row r="2439" spans="5:5" x14ac:dyDescent="0.25">
      <c r="E2439"/>
    </row>
    <row r="2440" spans="5:5" x14ac:dyDescent="0.25">
      <c r="E2440"/>
    </row>
    <row r="2441" spans="5:5" x14ac:dyDescent="0.25">
      <c r="E2441"/>
    </row>
    <row r="2442" spans="5:5" x14ac:dyDescent="0.25">
      <c r="E2442"/>
    </row>
    <row r="2443" spans="5:5" x14ac:dyDescent="0.25">
      <c r="E2443"/>
    </row>
    <row r="2444" spans="5:5" x14ac:dyDescent="0.25">
      <c r="E2444"/>
    </row>
    <row r="2445" spans="5:5" x14ac:dyDescent="0.25">
      <c r="E2445"/>
    </row>
    <row r="2446" spans="5:5" x14ac:dyDescent="0.25">
      <c r="E2446"/>
    </row>
    <row r="2447" spans="5:5" x14ac:dyDescent="0.25">
      <c r="E2447"/>
    </row>
    <row r="2448" spans="5:5" x14ac:dyDescent="0.25">
      <c r="E2448"/>
    </row>
    <row r="2449" spans="5:5" x14ac:dyDescent="0.25">
      <c r="E2449"/>
    </row>
    <row r="2450" spans="5:5" x14ac:dyDescent="0.25">
      <c r="E2450"/>
    </row>
    <row r="2451" spans="5:5" x14ac:dyDescent="0.25">
      <c r="E2451"/>
    </row>
    <row r="2452" spans="5:5" x14ac:dyDescent="0.25">
      <c r="E2452"/>
    </row>
    <row r="2453" spans="5:5" x14ac:dyDescent="0.25">
      <c r="E2453"/>
    </row>
    <row r="2454" spans="5:5" x14ac:dyDescent="0.25">
      <c r="E2454"/>
    </row>
    <row r="2455" spans="5:5" x14ac:dyDescent="0.25">
      <c r="E2455"/>
    </row>
    <row r="2456" spans="5:5" x14ac:dyDescent="0.25">
      <c r="E2456"/>
    </row>
    <row r="2457" spans="5:5" x14ac:dyDescent="0.25">
      <c r="E2457"/>
    </row>
    <row r="2458" spans="5:5" x14ac:dyDescent="0.25">
      <c r="E2458"/>
    </row>
    <row r="2459" spans="5:5" x14ac:dyDescent="0.25">
      <c r="E2459"/>
    </row>
    <row r="2460" spans="5:5" x14ac:dyDescent="0.25">
      <c r="E2460"/>
    </row>
    <row r="2461" spans="5:5" x14ac:dyDescent="0.25">
      <c r="E2461"/>
    </row>
    <row r="2462" spans="5:5" x14ac:dyDescent="0.25">
      <c r="E2462"/>
    </row>
    <row r="2463" spans="5:5" x14ac:dyDescent="0.25">
      <c r="E2463"/>
    </row>
    <row r="2464" spans="5:5" x14ac:dyDescent="0.25">
      <c r="E2464"/>
    </row>
    <row r="2465" spans="5:5" x14ac:dyDescent="0.25">
      <c r="E2465"/>
    </row>
    <row r="2466" spans="5:5" x14ac:dyDescent="0.25">
      <c r="E2466"/>
    </row>
    <row r="2467" spans="5:5" x14ac:dyDescent="0.25">
      <c r="E2467"/>
    </row>
    <row r="2468" spans="5:5" x14ac:dyDescent="0.25">
      <c r="E2468"/>
    </row>
    <row r="2469" spans="5:5" x14ac:dyDescent="0.25">
      <c r="E2469"/>
    </row>
    <row r="2470" spans="5:5" x14ac:dyDescent="0.25">
      <c r="E2470"/>
    </row>
    <row r="2471" spans="5:5" x14ac:dyDescent="0.25">
      <c r="E2471"/>
    </row>
    <row r="2472" spans="5:5" x14ac:dyDescent="0.25">
      <c r="E2472"/>
    </row>
    <row r="2473" spans="5:5" x14ac:dyDescent="0.25">
      <c r="E2473"/>
    </row>
    <row r="2474" spans="5:5" x14ac:dyDescent="0.25">
      <c r="E2474"/>
    </row>
    <row r="2475" spans="5:5" x14ac:dyDescent="0.25">
      <c r="E2475"/>
    </row>
    <row r="2476" spans="5:5" x14ac:dyDescent="0.25">
      <c r="E2476"/>
    </row>
    <row r="2477" spans="5:5" x14ac:dyDescent="0.25">
      <c r="E2477"/>
    </row>
    <row r="2478" spans="5:5" x14ac:dyDescent="0.25">
      <c r="E2478"/>
    </row>
    <row r="2479" spans="5:5" x14ac:dyDescent="0.25">
      <c r="E2479"/>
    </row>
    <row r="2480" spans="5:5" x14ac:dyDescent="0.25">
      <c r="E2480"/>
    </row>
    <row r="2481" spans="5:5" x14ac:dyDescent="0.25">
      <c r="E2481"/>
    </row>
    <row r="2482" spans="5:5" x14ac:dyDescent="0.25">
      <c r="E2482"/>
    </row>
    <row r="2483" spans="5:5" x14ac:dyDescent="0.25">
      <c r="E2483"/>
    </row>
    <row r="2484" spans="5:5" x14ac:dyDescent="0.25">
      <c r="E2484"/>
    </row>
    <row r="2485" spans="5:5" x14ac:dyDescent="0.25">
      <c r="E2485"/>
    </row>
    <row r="2486" spans="5:5" x14ac:dyDescent="0.25">
      <c r="E2486"/>
    </row>
    <row r="2487" spans="5:5" x14ac:dyDescent="0.25">
      <c r="E2487"/>
    </row>
    <row r="2488" spans="5:5" x14ac:dyDescent="0.25">
      <c r="E2488"/>
    </row>
    <row r="2489" spans="5:5" x14ac:dyDescent="0.25">
      <c r="E2489"/>
    </row>
    <row r="2490" spans="5:5" x14ac:dyDescent="0.25">
      <c r="E2490"/>
    </row>
    <row r="2491" spans="5:5" x14ac:dyDescent="0.25">
      <c r="E2491"/>
    </row>
    <row r="2492" spans="5:5" x14ac:dyDescent="0.25">
      <c r="E2492"/>
    </row>
    <row r="2493" spans="5:5" x14ac:dyDescent="0.25">
      <c r="E2493"/>
    </row>
    <row r="2494" spans="5:5" x14ac:dyDescent="0.25">
      <c r="E2494"/>
    </row>
    <row r="2495" spans="5:5" x14ac:dyDescent="0.25">
      <c r="E2495"/>
    </row>
    <row r="2496" spans="5:5" x14ac:dyDescent="0.25">
      <c r="E2496"/>
    </row>
    <row r="2497" spans="5:5" x14ac:dyDescent="0.25">
      <c r="E2497"/>
    </row>
    <row r="2498" spans="5:5" x14ac:dyDescent="0.25">
      <c r="E2498"/>
    </row>
    <row r="2499" spans="5:5" x14ac:dyDescent="0.25">
      <c r="E2499"/>
    </row>
    <row r="2500" spans="5:5" x14ac:dyDescent="0.25">
      <c r="E2500"/>
    </row>
    <row r="2501" spans="5:5" x14ac:dyDescent="0.25">
      <c r="E2501"/>
    </row>
    <row r="2502" spans="5:5" x14ac:dyDescent="0.25">
      <c r="E2502"/>
    </row>
    <row r="2503" spans="5:5" x14ac:dyDescent="0.25">
      <c r="E2503"/>
    </row>
    <row r="2504" spans="5:5" x14ac:dyDescent="0.25">
      <c r="E2504"/>
    </row>
    <row r="2505" spans="5:5" x14ac:dyDescent="0.25">
      <c r="E2505"/>
    </row>
    <row r="2506" spans="5:5" x14ac:dyDescent="0.25">
      <c r="E2506"/>
    </row>
    <row r="2507" spans="5:5" x14ac:dyDescent="0.25">
      <c r="E2507"/>
    </row>
    <row r="2508" spans="5:5" x14ac:dyDescent="0.25">
      <c r="E2508"/>
    </row>
    <row r="2509" spans="5:5" x14ac:dyDescent="0.25">
      <c r="E2509"/>
    </row>
    <row r="2510" spans="5:5" x14ac:dyDescent="0.25">
      <c r="E2510"/>
    </row>
    <row r="2511" spans="5:5" x14ac:dyDescent="0.25">
      <c r="E2511"/>
    </row>
    <row r="2512" spans="5:5" x14ac:dyDescent="0.25">
      <c r="E2512"/>
    </row>
    <row r="2513" spans="5:5" x14ac:dyDescent="0.25">
      <c r="E2513"/>
    </row>
    <row r="2514" spans="5:5" x14ac:dyDescent="0.25">
      <c r="E2514"/>
    </row>
    <row r="2515" spans="5:5" x14ac:dyDescent="0.25">
      <c r="E2515"/>
    </row>
    <row r="2516" spans="5:5" x14ac:dyDescent="0.25">
      <c r="E2516"/>
    </row>
    <row r="2517" spans="5:5" x14ac:dyDescent="0.25">
      <c r="E2517"/>
    </row>
    <row r="2518" spans="5:5" x14ac:dyDescent="0.25">
      <c r="E2518"/>
    </row>
    <row r="2519" spans="5:5" x14ac:dyDescent="0.25">
      <c r="E2519"/>
    </row>
    <row r="2520" spans="5:5" x14ac:dyDescent="0.25">
      <c r="E2520"/>
    </row>
    <row r="2521" spans="5:5" x14ac:dyDescent="0.25">
      <c r="E2521"/>
    </row>
    <row r="2522" spans="5:5" x14ac:dyDescent="0.25">
      <c r="E2522"/>
    </row>
    <row r="2523" spans="5:5" x14ac:dyDescent="0.25">
      <c r="E2523"/>
    </row>
    <row r="2524" spans="5:5" x14ac:dyDescent="0.25">
      <c r="E2524"/>
    </row>
    <row r="2525" spans="5:5" x14ac:dyDescent="0.25">
      <c r="E2525"/>
    </row>
    <row r="2526" spans="5:5" x14ac:dyDescent="0.25">
      <c r="E2526"/>
    </row>
    <row r="2527" spans="5:5" x14ac:dyDescent="0.25">
      <c r="E2527"/>
    </row>
    <row r="2528" spans="5:5" x14ac:dyDescent="0.25">
      <c r="E2528"/>
    </row>
    <row r="2529" spans="5:5" x14ac:dyDescent="0.25">
      <c r="E2529"/>
    </row>
    <row r="2530" spans="5:5" x14ac:dyDescent="0.25">
      <c r="E2530"/>
    </row>
    <row r="2531" spans="5:5" x14ac:dyDescent="0.25">
      <c r="E2531"/>
    </row>
    <row r="2532" spans="5:5" x14ac:dyDescent="0.25">
      <c r="E2532"/>
    </row>
    <row r="2533" spans="5:5" x14ac:dyDescent="0.25">
      <c r="E2533"/>
    </row>
    <row r="2534" spans="5:5" x14ac:dyDescent="0.25">
      <c r="E2534"/>
    </row>
    <row r="2535" spans="5:5" x14ac:dyDescent="0.25">
      <c r="E2535"/>
    </row>
    <row r="2536" spans="5:5" x14ac:dyDescent="0.25">
      <c r="E2536"/>
    </row>
    <row r="2537" spans="5:5" x14ac:dyDescent="0.25">
      <c r="E2537"/>
    </row>
    <row r="2538" spans="5:5" x14ac:dyDescent="0.25">
      <c r="E2538"/>
    </row>
    <row r="2539" spans="5:5" x14ac:dyDescent="0.25">
      <c r="E2539"/>
    </row>
    <row r="2540" spans="5:5" x14ac:dyDescent="0.25">
      <c r="E2540"/>
    </row>
    <row r="2541" spans="5:5" x14ac:dyDescent="0.25">
      <c r="E2541"/>
    </row>
    <row r="2542" spans="5:5" x14ac:dyDescent="0.25">
      <c r="E2542"/>
    </row>
    <row r="2543" spans="5:5" x14ac:dyDescent="0.25">
      <c r="E2543"/>
    </row>
    <row r="2544" spans="5:5" x14ac:dyDescent="0.25">
      <c r="E2544"/>
    </row>
    <row r="2545" spans="5:5" x14ac:dyDescent="0.25">
      <c r="E2545"/>
    </row>
    <row r="2546" spans="5:5" x14ac:dyDescent="0.25">
      <c r="E2546"/>
    </row>
    <row r="2547" spans="5:5" x14ac:dyDescent="0.25">
      <c r="E2547"/>
    </row>
    <row r="2548" spans="5:5" x14ac:dyDescent="0.25">
      <c r="E2548"/>
    </row>
    <row r="2549" spans="5:5" x14ac:dyDescent="0.25">
      <c r="E2549"/>
    </row>
    <row r="2550" spans="5:5" x14ac:dyDescent="0.25">
      <c r="E2550"/>
    </row>
    <row r="2551" spans="5:5" x14ac:dyDescent="0.25">
      <c r="E2551"/>
    </row>
    <row r="2552" spans="5:5" x14ac:dyDescent="0.25">
      <c r="E2552"/>
    </row>
    <row r="2553" spans="5:5" x14ac:dyDescent="0.25">
      <c r="E2553"/>
    </row>
    <row r="2554" spans="5:5" x14ac:dyDescent="0.25">
      <c r="E2554"/>
    </row>
    <row r="2555" spans="5:5" x14ac:dyDescent="0.25">
      <c r="E2555"/>
    </row>
    <row r="2556" spans="5:5" x14ac:dyDescent="0.25">
      <c r="E2556"/>
    </row>
    <row r="2557" spans="5:5" x14ac:dyDescent="0.25">
      <c r="E2557"/>
    </row>
    <row r="2558" spans="5:5" x14ac:dyDescent="0.25">
      <c r="E2558"/>
    </row>
    <row r="2559" spans="5:5" x14ac:dyDescent="0.25">
      <c r="E2559"/>
    </row>
    <row r="2560" spans="5:5" x14ac:dyDescent="0.25">
      <c r="E2560"/>
    </row>
    <row r="2561" spans="5:5" x14ac:dyDescent="0.25">
      <c r="E2561"/>
    </row>
    <row r="2562" spans="5:5" x14ac:dyDescent="0.25">
      <c r="E2562"/>
    </row>
    <row r="2563" spans="5:5" x14ac:dyDescent="0.25">
      <c r="E2563"/>
    </row>
    <row r="2564" spans="5:5" x14ac:dyDescent="0.25">
      <c r="E2564"/>
    </row>
    <row r="2565" spans="5:5" x14ac:dyDescent="0.25">
      <c r="E2565"/>
    </row>
    <row r="2566" spans="5:5" x14ac:dyDescent="0.25">
      <c r="E2566"/>
    </row>
    <row r="2567" spans="5:5" x14ac:dyDescent="0.25">
      <c r="E2567"/>
    </row>
    <row r="2568" spans="5:5" x14ac:dyDescent="0.25">
      <c r="E2568"/>
    </row>
    <row r="2569" spans="5:5" x14ac:dyDescent="0.25">
      <c r="E2569"/>
    </row>
    <row r="2570" spans="5:5" x14ac:dyDescent="0.25">
      <c r="E2570"/>
    </row>
    <row r="2571" spans="5:5" x14ac:dyDescent="0.25">
      <c r="E2571"/>
    </row>
    <row r="2572" spans="5:5" x14ac:dyDescent="0.25">
      <c r="E2572"/>
    </row>
    <row r="2573" spans="5:5" x14ac:dyDescent="0.25">
      <c r="E2573"/>
    </row>
    <row r="2574" spans="5:5" x14ac:dyDescent="0.25">
      <c r="E2574"/>
    </row>
    <row r="2575" spans="5:5" x14ac:dyDescent="0.25">
      <c r="E2575"/>
    </row>
    <row r="2576" spans="5:5" x14ac:dyDescent="0.25">
      <c r="E2576"/>
    </row>
    <row r="2577" spans="5:5" x14ac:dyDescent="0.25">
      <c r="E2577"/>
    </row>
    <row r="2578" spans="5:5" x14ac:dyDescent="0.25">
      <c r="E2578"/>
    </row>
    <row r="2579" spans="5:5" x14ac:dyDescent="0.25">
      <c r="E2579"/>
    </row>
    <row r="2580" spans="5:5" x14ac:dyDescent="0.25">
      <c r="E2580"/>
    </row>
    <row r="2581" spans="5:5" x14ac:dyDescent="0.25">
      <c r="E2581"/>
    </row>
    <row r="2582" spans="5:5" x14ac:dyDescent="0.25">
      <c r="E2582"/>
    </row>
    <row r="2583" spans="5:5" x14ac:dyDescent="0.25">
      <c r="E2583"/>
    </row>
    <row r="2584" spans="5:5" x14ac:dyDescent="0.25">
      <c r="E2584"/>
    </row>
    <row r="2585" spans="5:5" x14ac:dyDescent="0.25">
      <c r="E2585"/>
    </row>
    <row r="2586" spans="5:5" x14ac:dyDescent="0.25">
      <c r="E2586"/>
    </row>
    <row r="2587" spans="5:5" x14ac:dyDescent="0.25">
      <c r="E2587"/>
    </row>
    <row r="2588" spans="5:5" x14ac:dyDescent="0.25">
      <c r="E2588"/>
    </row>
    <row r="2589" spans="5:5" x14ac:dyDescent="0.25">
      <c r="E2589"/>
    </row>
    <row r="2590" spans="5:5" x14ac:dyDescent="0.25">
      <c r="E2590"/>
    </row>
    <row r="2591" spans="5:5" x14ac:dyDescent="0.25">
      <c r="E2591"/>
    </row>
    <row r="2592" spans="5:5" x14ac:dyDescent="0.25">
      <c r="E2592"/>
    </row>
    <row r="2593" spans="5:5" x14ac:dyDescent="0.25">
      <c r="E2593"/>
    </row>
    <row r="2594" spans="5:5" x14ac:dyDescent="0.25">
      <c r="E2594"/>
    </row>
    <row r="2595" spans="5:5" x14ac:dyDescent="0.25">
      <c r="E2595"/>
    </row>
    <row r="2596" spans="5:5" x14ac:dyDescent="0.25">
      <c r="E2596"/>
    </row>
    <row r="2597" spans="5:5" x14ac:dyDescent="0.25">
      <c r="E2597"/>
    </row>
    <row r="2598" spans="5:5" x14ac:dyDescent="0.25">
      <c r="E2598"/>
    </row>
    <row r="2599" spans="5:5" x14ac:dyDescent="0.25">
      <c r="E2599"/>
    </row>
    <row r="2600" spans="5:5" x14ac:dyDescent="0.25">
      <c r="E2600"/>
    </row>
    <row r="2601" spans="5:5" x14ac:dyDescent="0.25">
      <c r="E2601"/>
    </row>
    <row r="2602" spans="5:5" x14ac:dyDescent="0.25">
      <c r="E2602"/>
    </row>
    <row r="2603" spans="5:5" x14ac:dyDescent="0.25">
      <c r="E2603"/>
    </row>
    <row r="2604" spans="5:5" x14ac:dyDescent="0.25">
      <c r="E2604"/>
    </row>
    <row r="2605" spans="5:5" x14ac:dyDescent="0.25">
      <c r="E2605"/>
    </row>
    <row r="2606" spans="5:5" x14ac:dyDescent="0.25">
      <c r="E2606"/>
    </row>
    <row r="2607" spans="5:5" x14ac:dyDescent="0.25">
      <c r="E2607"/>
    </row>
    <row r="2608" spans="5:5" x14ac:dyDescent="0.25">
      <c r="E2608"/>
    </row>
    <row r="2609" spans="5:5" x14ac:dyDescent="0.25">
      <c r="E2609"/>
    </row>
    <row r="2610" spans="5:5" x14ac:dyDescent="0.25">
      <c r="E2610"/>
    </row>
    <row r="2611" spans="5:5" x14ac:dyDescent="0.25">
      <c r="E2611"/>
    </row>
    <row r="2612" spans="5:5" x14ac:dyDescent="0.25">
      <c r="E2612"/>
    </row>
    <row r="2613" spans="5:5" x14ac:dyDescent="0.25">
      <c r="E2613"/>
    </row>
    <row r="2614" spans="5:5" x14ac:dyDescent="0.25">
      <c r="E2614"/>
    </row>
    <row r="2615" spans="5:5" x14ac:dyDescent="0.25">
      <c r="E2615"/>
    </row>
    <row r="2616" spans="5:5" x14ac:dyDescent="0.25">
      <c r="E2616"/>
    </row>
    <row r="2617" spans="5:5" x14ac:dyDescent="0.25">
      <c r="E2617"/>
    </row>
    <row r="2618" spans="5:5" x14ac:dyDescent="0.25">
      <c r="E2618"/>
    </row>
    <row r="2619" spans="5:5" x14ac:dyDescent="0.25">
      <c r="E2619"/>
    </row>
    <row r="2620" spans="5:5" x14ac:dyDescent="0.25">
      <c r="E2620"/>
    </row>
    <row r="2621" spans="5:5" x14ac:dyDescent="0.25">
      <c r="E2621"/>
    </row>
    <row r="2622" spans="5:5" x14ac:dyDescent="0.25">
      <c r="E2622"/>
    </row>
    <row r="2623" spans="5:5" x14ac:dyDescent="0.25">
      <c r="E2623"/>
    </row>
    <row r="2624" spans="5:5" x14ac:dyDescent="0.25">
      <c r="E2624"/>
    </row>
    <row r="2625" spans="5:5" x14ac:dyDescent="0.25">
      <c r="E2625"/>
    </row>
    <row r="2626" spans="5:5" x14ac:dyDescent="0.25">
      <c r="E2626"/>
    </row>
    <row r="2627" spans="5:5" x14ac:dyDescent="0.25">
      <c r="E2627"/>
    </row>
    <row r="2628" spans="5:5" x14ac:dyDescent="0.25">
      <c r="E2628"/>
    </row>
    <row r="2629" spans="5:5" x14ac:dyDescent="0.25">
      <c r="E2629"/>
    </row>
    <row r="2630" spans="5:5" x14ac:dyDescent="0.25">
      <c r="E2630"/>
    </row>
    <row r="2631" spans="5:5" x14ac:dyDescent="0.25">
      <c r="E2631"/>
    </row>
    <row r="2632" spans="5:5" x14ac:dyDescent="0.25">
      <c r="E2632"/>
    </row>
    <row r="2633" spans="5:5" x14ac:dyDescent="0.25">
      <c r="E2633"/>
    </row>
    <row r="2634" spans="5:5" x14ac:dyDescent="0.25">
      <c r="E2634"/>
    </row>
    <row r="2635" spans="5:5" x14ac:dyDescent="0.25">
      <c r="E2635"/>
    </row>
    <row r="2636" spans="5:5" x14ac:dyDescent="0.25">
      <c r="E2636"/>
    </row>
    <row r="2637" spans="5:5" x14ac:dyDescent="0.25">
      <c r="E2637"/>
    </row>
    <row r="2638" spans="5:5" x14ac:dyDescent="0.25">
      <c r="E2638"/>
    </row>
    <row r="2639" spans="5:5" x14ac:dyDescent="0.25">
      <c r="E2639"/>
    </row>
    <row r="2640" spans="5:5" x14ac:dyDescent="0.25">
      <c r="E2640"/>
    </row>
    <row r="2641" spans="5:5" x14ac:dyDescent="0.25">
      <c r="E2641"/>
    </row>
    <row r="2642" spans="5:5" x14ac:dyDescent="0.25">
      <c r="E2642"/>
    </row>
    <row r="2643" spans="5:5" x14ac:dyDescent="0.25">
      <c r="E2643"/>
    </row>
    <row r="2644" spans="5:5" x14ac:dyDescent="0.25">
      <c r="E2644"/>
    </row>
    <row r="2645" spans="5:5" x14ac:dyDescent="0.25">
      <c r="E2645"/>
    </row>
    <row r="2646" spans="5:5" x14ac:dyDescent="0.25">
      <c r="E2646"/>
    </row>
    <row r="2647" spans="5:5" x14ac:dyDescent="0.25">
      <c r="E2647"/>
    </row>
    <row r="2648" spans="5:5" x14ac:dyDescent="0.25">
      <c r="E2648"/>
    </row>
    <row r="2649" spans="5:5" x14ac:dyDescent="0.25">
      <c r="E2649"/>
    </row>
    <row r="2650" spans="5:5" x14ac:dyDescent="0.25">
      <c r="E2650"/>
    </row>
    <row r="2651" spans="5:5" x14ac:dyDescent="0.25">
      <c r="E2651"/>
    </row>
    <row r="2652" spans="5:5" x14ac:dyDescent="0.25">
      <c r="E2652"/>
    </row>
    <row r="2653" spans="5:5" x14ac:dyDescent="0.25">
      <c r="E2653"/>
    </row>
    <row r="2654" spans="5:5" x14ac:dyDescent="0.25">
      <c r="E2654"/>
    </row>
    <row r="2655" spans="5:5" x14ac:dyDescent="0.25">
      <c r="E2655"/>
    </row>
    <row r="2656" spans="5:5" x14ac:dyDescent="0.25">
      <c r="E2656"/>
    </row>
    <row r="2657" spans="5:5" x14ac:dyDescent="0.25">
      <c r="E2657"/>
    </row>
    <row r="2658" spans="5:5" x14ac:dyDescent="0.25">
      <c r="E2658"/>
    </row>
    <row r="2659" spans="5:5" x14ac:dyDescent="0.25">
      <c r="E2659"/>
    </row>
    <row r="2660" spans="5:5" x14ac:dyDescent="0.25">
      <c r="E2660"/>
    </row>
    <row r="2661" spans="5:5" x14ac:dyDescent="0.25">
      <c r="E2661"/>
    </row>
    <row r="2662" spans="5:5" x14ac:dyDescent="0.25">
      <c r="E2662"/>
    </row>
    <row r="2663" spans="5:5" x14ac:dyDescent="0.25">
      <c r="E2663"/>
    </row>
    <row r="2664" spans="5:5" x14ac:dyDescent="0.25">
      <c r="E2664"/>
    </row>
    <row r="2665" spans="5:5" x14ac:dyDescent="0.25">
      <c r="E2665"/>
    </row>
    <row r="2666" spans="5:5" x14ac:dyDescent="0.25">
      <c r="E2666"/>
    </row>
    <row r="2667" spans="5:5" x14ac:dyDescent="0.25">
      <c r="E2667"/>
    </row>
    <row r="2668" spans="5:5" x14ac:dyDescent="0.25">
      <c r="E2668"/>
    </row>
    <row r="2669" spans="5:5" x14ac:dyDescent="0.25">
      <c r="E2669"/>
    </row>
    <row r="2670" spans="5:5" x14ac:dyDescent="0.25">
      <c r="E2670"/>
    </row>
    <row r="2671" spans="5:5" x14ac:dyDescent="0.25">
      <c r="E2671"/>
    </row>
    <row r="2672" spans="5:5" x14ac:dyDescent="0.25">
      <c r="E2672"/>
    </row>
    <row r="2673" spans="5:5" x14ac:dyDescent="0.25">
      <c r="E2673"/>
    </row>
    <row r="2674" spans="5:5" x14ac:dyDescent="0.25">
      <c r="E2674"/>
    </row>
    <row r="2675" spans="5:5" x14ac:dyDescent="0.25">
      <c r="E2675"/>
    </row>
    <row r="2676" spans="5:5" x14ac:dyDescent="0.25">
      <c r="E2676"/>
    </row>
    <row r="2677" spans="5:5" x14ac:dyDescent="0.25">
      <c r="E2677"/>
    </row>
    <row r="2678" spans="5:5" x14ac:dyDescent="0.25">
      <c r="E2678"/>
    </row>
    <row r="2679" spans="5:5" x14ac:dyDescent="0.25">
      <c r="E2679"/>
    </row>
    <row r="2680" spans="5:5" x14ac:dyDescent="0.25">
      <c r="E2680"/>
    </row>
    <row r="2681" spans="5:5" x14ac:dyDescent="0.25">
      <c r="E2681"/>
    </row>
    <row r="2682" spans="5:5" x14ac:dyDescent="0.25">
      <c r="E2682"/>
    </row>
    <row r="2683" spans="5:5" x14ac:dyDescent="0.25">
      <c r="E2683"/>
    </row>
    <row r="2684" spans="5:5" x14ac:dyDescent="0.25">
      <c r="E2684"/>
    </row>
    <row r="2685" spans="5:5" x14ac:dyDescent="0.25">
      <c r="E2685"/>
    </row>
    <row r="2686" spans="5:5" x14ac:dyDescent="0.25">
      <c r="E2686"/>
    </row>
    <row r="2687" spans="5:5" x14ac:dyDescent="0.25">
      <c r="E2687"/>
    </row>
    <row r="2688" spans="5:5" x14ac:dyDescent="0.25">
      <c r="E2688"/>
    </row>
    <row r="2689" spans="5:5" x14ac:dyDescent="0.25">
      <c r="E2689"/>
    </row>
    <row r="2690" spans="5:5" x14ac:dyDescent="0.25">
      <c r="E2690"/>
    </row>
    <row r="2691" spans="5:5" x14ac:dyDescent="0.25">
      <c r="E2691"/>
    </row>
    <row r="2692" spans="5:5" x14ac:dyDescent="0.25">
      <c r="E2692"/>
    </row>
    <row r="2693" spans="5:5" x14ac:dyDescent="0.25">
      <c r="E2693"/>
    </row>
    <row r="2694" spans="5:5" x14ac:dyDescent="0.25">
      <c r="E2694"/>
    </row>
    <row r="2695" spans="5:5" x14ac:dyDescent="0.25">
      <c r="E2695"/>
    </row>
    <row r="2696" spans="5:5" x14ac:dyDescent="0.25">
      <c r="E2696"/>
    </row>
    <row r="2697" spans="5:5" x14ac:dyDescent="0.25">
      <c r="E2697"/>
    </row>
    <row r="2698" spans="5:5" x14ac:dyDescent="0.25">
      <c r="E2698"/>
    </row>
    <row r="2699" spans="5:5" x14ac:dyDescent="0.25">
      <c r="E2699"/>
    </row>
    <row r="2700" spans="5:5" x14ac:dyDescent="0.25">
      <c r="E2700"/>
    </row>
    <row r="2701" spans="5:5" x14ac:dyDescent="0.25">
      <c r="E2701"/>
    </row>
    <row r="2702" spans="5:5" x14ac:dyDescent="0.25">
      <c r="E2702"/>
    </row>
    <row r="2703" spans="5:5" x14ac:dyDescent="0.25">
      <c r="E2703"/>
    </row>
    <row r="2704" spans="5:5" x14ac:dyDescent="0.25">
      <c r="E2704"/>
    </row>
    <row r="2705" spans="5:5" x14ac:dyDescent="0.25">
      <c r="E2705"/>
    </row>
    <row r="2706" spans="5:5" x14ac:dyDescent="0.25">
      <c r="E2706"/>
    </row>
    <row r="2707" spans="5:5" x14ac:dyDescent="0.25">
      <c r="E2707"/>
    </row>
    <row r="2708" spans="5:5" x14ac:dyDescent="0.25">
      <c r="E2708"/>
    </row>
    <row r="2709" spans="5:5" x14ac:dyDescent="0.25">
      <c r="E2709"/>
    </row>
    <row r="2710" spans="5:5" x14ac:dyDescent="0.25">
      <c r="E2710"/>
    </row>
    <row r="2711" spans="5:5" x14ac:dyDescent="0.25">
      <c r="E2711"/>
    </row>
    <row r="2712" spans="5:5" x14ac:dyDescent="0.25">
      <c r="E2712"/>
    </row>
    <row r="2713" spans="5:5" x14ac:dyDescent="0.25">
      <c r="E2713"/>
    </row>
    <row r="2714" spans="5:5" x14ac:dyDescent="0.25">
      <c r="E2714"/>
    </row>
    <row r="2715" spans="5:5" x14ac:dyDescent="0.25">
      <c r="E2715"/>
    </row>
    <row r="2716" spans="5:5" x14ac:dyDescent="0.25">
      <c r="E2716"/>
    </row>
    <row r="2717" spans="5:5" x14ac:dyDescent="0.25">
      <c r="E2717"/>
    </row>
    <row r="2718" spans="5:5" x14ac:dyDescent="0.25">
      <c r="E2718"/>
    </row>
    <row r="2719" spans="5:5" x14ac:dyDescent="0.25">
      <c r="E2719"/>
    </row>
    <row r="2720" spans="5:5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  <row r="4991" spans="5:5" x14ac:dyDescent="0.25">
      <c r="E4991"/>
    </row>
    <row r="4992" spans="5:5" x14ac:dyDescent="0.25">
      <c r="E4992"/>
    </row>
    <row r="4993" spans="5:5" x14ac:dyDescent="0.25">
      <c r="E4993"/>
    </row>
    <row r="4994" spans="5:5" x14ac:dyDescent="0.25">
      <c r="E4994"/>
    </row>
    <row r="4995" spans="5:5" x14ac:dyDescent="0.25">
      <c r="E4995"/>
    </row>
    <row r="4996" spans="5:5" x14ac:dyDescent="0.25">
      <c r="E4996"/>
    </row>
    <row r="4997" spans="5:5" x14ac:dyDescent="0.25">
      <c r="E4997"/>
    </row>
    <row r="4998" spans="5:5" x14ac:dyDescent="0.25">
      <c r="E4998"/>
    </row>
    <row r="4999" spans="5:5" x14ac:dyDescent="0.25">
      <c r="E4999"/>
    </row>
    <row r="5000" spans="5:5" x14ac:dyDescent="0.25">
      <c r="E5000"/>
    </row>
    <row r="5001" spans="5:5" x14ac:dyDescent="0.25">
      <c r="E5001"/>
    </row>
    <row r="5002" spans="5:5" x14ac:dyDescent="0.25">
      <c r="E5002"/>
    </row>
    <row r="5003" spans="5:5" x14ac:dyDescent="0.25">
      <c r="E5003"/>
    </row>
    <row r="5004" spans="5:5" x14ac:dyDescent="0.25">
      <c r="E5004"/>
    </row>
    <row r="5005" spans="5:5" x14ac:dyDescent="0.25">
      <c r="E5005"/>
    </row>
    <row r="5006" spans="5:5" x14ac:dyDescent="0.25">
      <c r="E5006"/>
    </row>
    <row r="5007" spans="5:5" x14ac:dyDescent="0.25">
      <c r="E5007"/>
    </row>
    <row r="5008" spans="5:5" x14ac:dyDescent="0.25">
      <c r="E5008"/>
    </row>
    <row r="5009" spans="5:5" x14ac:dyDescent="0.25">
      <c r="E5009"/>
    </row>
    <row r="5010" spans="5:5" x14ac:dyDescent="0.25">
      <c r="E5010"/>
    </row>
    <row r="5011" spans="5:5" x14ac:dyDescent="0.25">
      <c r="E5011"/>
    </row>
    <row r="5012" spans="5:5" x14ac:dyDescent="0.25">
      <c r="E5012"/>
    </row>
    <row r="5013" spans="5:5" x14ac:dyDescent="0.25">
      <c r="E5013"/>
    </row>
    <row r="5014" spans="5:5" x14ac:dyDescent="0.25">
      <c r="E5014"/>
    </row>
    <row r="5015" spans="5:5" x14ac:dyDescent="0.25">
      <c r="E5015"/>
    </row>
    <row r="5016" spans="5:5" x14ac:dyDescent="0.25">
      <c r="E5016"/>
    </row>
    <row r="5017" spans="5:5" x14ac:dyDescent="0.25">
      <c r="E5017"/>
    </row>
    <row r="5018" spans="5:5" x14ac:dyDescent="0.25">
      <c r="E5018"/>
    </row>
    <row r="5019" spans="5:5" x14ac:dyDescent="0.25">
      <c r="E5019"/>
    </row>
    <row r="5020" spans="5:5" x14ac:dyDescent="0.25">
      <c r="E5020"/>
    </row>
    <row r="5021" spans="5:5" x14ac:dyDescent="0.25">
      <c r="E5021"/>
    </row>
    <row r="5022" spans="5:5" x14ac:dyDescent="0.25">
      <c r="E5022"/>
    </row>
    <row r="5023" spans="5:5" x14ac:dyDescent="0.25">
      <c r="E5023"/>
    </row>
    <row r="5024" spans="5:5" x14ac:dyDescent="0.25">
      <c r="E5024"/>
    </row>
    <row r="5025" spans="5:5" x14ac:dyDescent="0.25">
      <c r="E5025"/>
    </row>
    <row r="5026" spans="5:5" x14ac:dyDescent="0.25">
      <c r="E5026"/>
    </row>
    <row r="5027" spans="5:5" x14ac:dyDescent="0.25">
      <c r="E5027"/>
    </row>
    <row r="5028" spans="5:5" x14ac:dyDescent="0.25">
      <c r="E5028"/>
    </row>
    <row r="5029" spans="5:5" x14ac:dyDescent="0.25">
      <c r="E5029"/>
    </row>
    <row r="5030" spans="5:5" x14ac:dyDescent="0.25">
      <c r="E5030"/>
    </row>
    <row r="5031" spans="5:5" x14ac:dyDescent="0.25">
      <c r="E5031"/>
    </row>
    <row r="5032" spans="5:5" x14ac:dyDescent="0.25">
      <c r="E5032"/>
    </row>
    <row r="5033" spans="5:5" x14ac:dyDescent="0.25">
      <c r="E5033"/>
    </row>
    <row r="5034" spans="5:5" x14ac:dyDescent="0.25">
      <c r="E5034"/>
    </row>
    <row r="5035" spans="5:5" x14ac:dyDescent="0.25">
      <c r="E5035"/>
    </row>
    <row r="5036" spans="5:5" x14ac:dyDescent="0.25">
      <c r="E5036"/>
    </row>
    <row r="5037" spans="5:5" x14ac:dyDescent="0.25">
      <c r="E5037"/>
    </row>
    <row r="5038" spans="5:5" x14ac:dyDescent="0.25">
      <c r="E5038"/>
    </row>
    <row r="5039" spans="5:5" x14ac:dyDescent="0.25">
      <c r="E5039"/>
    </row>
    <row r="5040" spans="5:5" x14ac:dyDescent="0.25">
      <c r="E5040"/>
    </row>
    <row r="5041" spans="5:5" x14ac:dyDescent="0.25">
      <c r="E5041"/>
    </row>
    <row r="5042" spans="5:5" x14ac:dyDescent="0.25">
      <c r="E5042"/>
    </row>
    <row r="5043" spans="5:5" x14ac:dyDescent="0.25">
      <c r="E5043"/>
    </row>
    <row r="5044" spans="5:5" x14ac:dyDescent="0.25">
      <c r="E5044"/>
    </row>
    <row r="5045" spans="5:5" x14ac:dyDescent="0.25">
      <c r="E5045"/>
    </row>
    <row r="5046" spans="5:5" x14ac:dyDescent="0.25">
      <c r="E5046"/>
    </row>
    <row r="5047" spans="5:5" x14ac:dyDescent="0.25">
      <c r="E5047"/>
    </row>
    <row r="5048" spans="5:5" x14ac:dyDescent="0.25">
      <c r="E5048"/>
    </row>
    <row r="5049" spans="5:5" x14ac:dyDescent="0.25">
      <c r="E5049"/>
    </row>
    <row r="5050" spans="5:5" x14ac:dyDescent="0.25">
      <c r="E5050"/>
    </row>
    <row r="5051" spans="5:5" x14ac:dyDescent="0.25">
      <c r="E5051"/>
    </row>
    <row r="5052" spans="5:5" x14ac:dyDescent="0.25">
      <c r="E5052"/>
    </row>
    <row r="5053" spans="5:5" x14ac:dyDescent="0.25">
      <c r="E5053"/>
    </row>
    <row r="5054" spans="5:5" x14ac:dyDescent="0.25">
      <c r="E5054"/>
    </row>
    <row r="5055" spans="5:5" x14ac:dyDescent="0.25">
      <c r="E5055"/>
    </row>
    <row r="5056" spans="5:5" x14ac:dyDescent="0.25">
      <c r="E5056"/>
    </row>
    <row r="5057" spans="5:5" x14ac:dyDescent="0.25">
      <c r="E5057"/>
    </row>
    <row r="5058" spans="5:5" x14ac:dyDescent="0.25">
      <c r="E5058"/>
    </row>
    <row r="5059" spans="5:5" x14ac:dyDescent="0.25">
      <c r="E5059"/>
    </row>
    <row r="5060" spans="5:5" x14ac:dyDescent="0.25">
      <c r="E5060"/>
    </row>
    <row r="5061" spans="5:5" x14ac:dyDescent="0.25">
      <c r="E5061"/>
    </row>
    <row r="5062" spans="5:5" x14ac:dyDescent="0.25">
      <c r="E5062"/>
    </row>
    <row r="5063" spans="5:5" x14ac:dyDescent="0.25">
      <c r="E5063"/>
    </row>
    <row r="5064" spans="5:5" x14ac:dyDescent="0.25">
      <c r="E5064"/>
    </row>
    <row r="5065" spans="5:5" x14ac:dyDescent="0.25">
      <c r="E5065"/>
    </row>
    <row r="5066" spans="5:5" x14ac:dyDescent="0.25">
      <c r="E5066"/>
    </row>
    <row r="5067" spans="5:5" x14ac:dyDescent="0.25">
      <c r="E5067"/>
    </row>
    <row r="5068" spans="5:5" x14ac:dyDescent="0.25">
      <c r="E5068"/>
    </row>
    <row r="5069" spans="5:5" x14ac:dyDescent="0.25">
      <c r="E5069"/>
    </row>
    <row r="5070" spans="5:5" x14ac:dyDescent="0.25">
      <c r="E5070"/>
    </row>
    <row r="5071" spans="5:5" x14ac:dyDescent="0.25">
      <c r="E5071"/>
    </row>
    <row r="5072" spans="5:5" x14ac:dyDescent="0.25">
      <c r="E5072"/>
    </row>
    <row r="5073" spans="5:5" x14ac:dyDescent="0.25">
      <c r="E5073"/>
    </row>
    <row r="5074" spans="5:5" x14ac:dyDescent="0.25">
      <c r="E5074"/>
    </row>
    <row r="5075" spans="5:5" x14ac:dyDescent="0.25">
      <c r="E5075"/>
    </row>
    <row r="5076" spans="5:5" x14ac:dyDescent="0.25">
      <c r="E5076"/>
    </row>
    <row r="5077" spans="5:5" x14ac:dyDescent="0.25">
      <c r="E5077"/>
    </row>
    <row r="5078" spans="5:5" x14ac:dyDescent="0.25">
      <c r="E5078"/>
    </row>
    <row r="5079" spans="5:5" x14ac:dyDescent="0.25">
      <c r="E5079"/>
    </row>
    <row r="5080" spans="5:5" x14ac:dyDescent="0.25">
      <c r="E5080"/>
    </row>
    <row r="5081" spans="5:5" x14ac:dyDescent="0.25">
      <c r="E5081"/>
    </row>
    <row r="5082" spans="5:5" x14ac:dyDescent="0.25">
      <c r="E5082"/>
    </row>
    <row r="5083" spans="5:5" x14ac:dyDescent="0.25">
      <c r="E5083"/>
    </row>
    <row r="5084" spans="5:5" x14ac:dyDescent="0.25">
      <c r="E5084"/>
    </row>
    <row r="5085" spans="5:5" x14ac:dyDescent="0.25">
      <c r="E5085"/>
    </row>
    <row r="5086" spans="5:5" x14ac:dyDescent="0.25">
      <c r="E5086"/>
    </row>
    <row r="5087" spans="5:5" x14ac:dyDescent="0.25">
      <c r="E5087"/>
    </row>
    <row r="5088" spans="5:5" x14ac:dyDescent="0.25">
      <c r="E5088"/>
    </row>
    <row r="5089" spans="5:5" x14ac:dyDescent="0.25">
      <c r="E5089"/>
    </row>
    <row r="5090" spans="5:5" x14ac:dyDescent="0.25">
      <c r="E5090"/>
    </row>
    <row r="5091" spans="5:5" x14ac:dyDescent="0.25">
      <c r="E5091"/>
    </row>
    <row r="5092" spans="5:5" x14ac:dyDescent="0.25">
      <c r="E5092"/>
    </row>
    <row r="5093" spans="5:5" x14ac:dyDescent="0.25">
      <c r="E5093"/>
    </row>
    <row r="5094" spans="5:5" x14ac:dyDescent="0.25">
      <c r="E5094"/>
    </row>
    <row r="5095" spans="5:5" x14ac:dyDescent="0.25">
      <c r="E5095"/>
    </row>
    <row r="5096" spans="5:5" x14ac:dyDescent="0.25">
      <c r="E5096"/>
    </row>
    <row r="5097" spans="5:5" x14ac:dyDescent="0.25">
      <c r="E5097"/>
    </row>
    <row r="5098" spans="5:5" x14ac:dyDescent="0.25">
      <c r="E5098"/>
    </row>
    <row r="5099" spans="5:5" x14ac:dyDescent="0.25">
      <c r="E5099"/>
    </row>
    <row r="5100" spans="5:5" x14ac:dyDescent="0.25">
      <c r="E5100"/>
    </row>
    <row r="5101" spans="5:5" x14ac:dyDescent="0.25">
      <c r="E5101"/>
    </row>
    <row r="5102" spans="5:5" x14ac:dyDescent="0.25">
      <c r="E5102"/>
    </row>
    <row r="5103" spans="5:5" x14ac:dyDescent="0.25">
      <c r="E5103"/>
    </row>
    <row r="5104" spans="5:5" x14ac:dyDescent="0.25">
      <c r="E5104"/>
    </row>
    <row r="5105" spans="5:5" x14ac:dyDescent="0.25">
      <c r="E5105"/>
    </row>
    <row r="5106" spans="5:5" x14ac:dyDescent="0.25">
      <c r="E5106"/>
    </row>
    <row r="5107" spans="5:5" x14ac:dyDescent="0.25">
      <c r="E5107"/>
    </row>
    <row r="5108" spans="5:5" x14ac:dyDescent="0.25">
      <c r="E5108"/>
    </row>
    <row r="5109" spans="5:5" x14ac:dyDescent="0.25">
      <c r="E5109"/>
    </row>
    <row r="5110" spans="5:5" x14ac:dyDescent="0.25">
      <c r="E5110"/>
    </row>
    <row r="5111" spans="5:5" x14ac:dyDescent="0.25">
      <c r="E5111"/>
    </row>
    <row r="5112" spans="5:5" x14ac:dyDescent="0.25">
      <c r="E5112"/>
    </row>
    <row r="5113" spans="5:5" x14ac:dyDescent="0.25">
      <c r="E5113"/>
    </row>
    <row r="5114" spans="5:5" x14ac:dyDescent="0.25">
      <c r="E5114"/>
    </row>
    <row r="5115" spans="5:5" x14ac:dyDescent="0.25">
      <c r="E5115"/>
    </row>
    <row r="5116" spans="5:5" x14ac:dyDescent="0.25">
      <c r="E5116"/>
    </row>
    <row r="5117" spans="5:5" x14ac:dyDescent="0.25">
      <c r="E5117"/>
    </row>
    <row r="5118" spans="5:5" x14ac:dyDescent="0.25">
      <c r="E5118"/>
    </row>
    <row r="5119" spans="5:5" x14ac:dyDescent="0.25">
      <c r="E5119"/>
    </row>
    <row r="5120" spans="5:5" x14ac:dyDescent="0.25">
      <c r="E5120"/>
    </row>
    <row r="5121" spans="5:5" x14ac:dyDescent="0.25">
      <c r="E5121"/>
    </row>
    <row r="5122" spans="5:5" x14ac:dyDescent="0.25">
      <c r="E5122"/>
    </row>
    <row r="5123" spans="5:5" x14ac:dyDescent="0.25">
      <c r="E5123"/>
    </row>
    <row r="5124" spans="5:5" x14ac:dyDescent="0.25">
      <c r="E5124"/>
    </row>
    <row r="5125" spans="5:5" x14ac:dyDescent="0.25">
      <c r="E5125"/>
    </row>
    <row r="5126" spans="5:5" x14ac:dyDescent="0.25">
      <c r="E5126"/>
    </row>
    <row r="5127" spans="5:5" x14ac:dyDescent="0.25">
      <c r="E5127"/>
    </row>
    <row r="5128" spans="5:5" x14ac:dyDescent="0.25">
      <c r="E5128"/>
    </row>
    <row r="5129" spans="5:5" x14ac:dyDescent="0.25">
      <c r="E5129"/>
    </row>
    <row r="5130" spans="5:5" x14ac:dyDescent="0.25">
      <c r="E5130"/>
    </row>
    <row r="5131" spans="5:5" x14ac:dyDescent="0.25">
      <c r="E5131"/>
    </row>
    <row r="5132" spans="5:5" x14ac:dyDescent="0.25">
      <c r="E5132"/>
    </row>
    <row r="5133" spans="5:5" x14ac:dyDescent="0.25">
      <c r="E5133"/>
    </row>
    <row r="5134" spans="5:5" x14ac:dyDescent="0.25">
      <c r="E5134"/>
    </row>
    <row r="5135" spans="5:5" x14ac:dyDescent="0.25">
      <c r="E5135"/>
    </row>
    <row r="5136" spans="5:5" x14ac:dyDescent="0.25">
      <c r="E5136"/>
    </row>
    <row r="5137" spans="5:5" x14ac:dyDescent="0.25">
      <c r="E5137"/>
    </row>
    <row r="5138" spans="5:5" x14ac:dyDescent="0.25">
      <c r="E5138"/>
    </row>
    <row r="5139" spans="5:5" x14ac:dyDescent="0.25">
      <c r="E5139"/>
    </row>
    <row r="5140" spans="5:5" x14ac:dyDescent="0.25">
      <c r="E5140"/>
    </row>
    <row r="5141" spans="5:5" x14ac:dyDescent="0.25">
      <c r="E5141"/>
    </row>
    <row r="5142" spans="5:5" x14ac:dyDescent="0.25">
      <c r="E5142"/>
    </row>
    <row r="5143" spans="5:5" x14ac:dyDescent="0.25">
      <c r="E5143"/>
    </row>
    <row r="5144" spans="5:5" x14ac:dyDescent="0.25">
      <c r="E5144"/>
    </row>
    <row r="5145" spans="5:5" x14ac:dyDescent="0.25">
      <c r="E5145"/>
    </row>
    <row r="5146" spans="5:5" x14ac:dyDescent="0.25">
      <c r="E5146"/>
    </row>
    <row r="5147" spans="5:5" x14ac:dyDescent="0.25">
      <c r="E5147"/>
    </row>
    <row r="5148" spans="5:5" x14ac:dyDescent="0.25">
      <c r="E5148"/>
    </row>
    <row r="5149" spans="5:5" x14ac:dyDescent="0.25">
      <c r="E5149"/>
    </row>
    <row r="5150" spans="5:5" x14ac:dyDescent="0.25">
      <c r="E5150"/>
    </row>
    <row r="5151" spans="5:5" x14ac:dyDescent="0.25">
      <c r="E5151"/>
    </row>
    <row r="5152" spans="5:5" x14ac:dyDescent="0.25">
      <c r="E5152"/>
    </row>
    <row r="5153" spans="5:5" x14ac:dyDescent="0.25">
      <c r="E5153"/>
    </row>
    <row r="5154" spans="5:5" x14ac:dyDescent="0.25">
      <c r="E5154"/>
    </row>
    <row r="5155" spans="5:5" x14ac:dyDescent="0.25">
      <c r="E5155"/>
    </row>
    <row r="5156" spans="5:5" x14ac:dyDescent="0.25">
      <c r="E5156"/>
    </row>
    <row r="5157" spans="5:5" x14ac:dyDescent="0.25">
      <c r="E5157"/>
    </row>
    <row r="5158" spans="5:5" x14ac:dyDescent="0.25">
      <c r="E5158"/>
    </row>
    <row r="5159" spans="5:5" x14ac:dyDescent="0.25">
      <c r="E5159"/>
    </row>
    <row r="5160" spans="5:5" x14ac:dyDescent="0.25">
      <c r="E5160"/>
    </row>
    <row r="5161" spans="5:5" x14ac:dyDescent="0.25">
      <c r="E5161"/>
    </row>
    <row r="5162" spans="5:5" x14ac:dyDescent="0.25">
      <c r="E5162"/>
    </row>
    <row r="5163" spans="5:5" x14ac:dyDescent="0.25">
      <c r="E5163"/>
    </row>
    <row r="5164" spans="5:5" x14ac:dyDescent="0.25">
      <c r="E5164"/>
    </row>
    <row r="5165" spans="5:5" x14ac:dyDescent="0.25">
      <c r="E5165"/>
    </row>
    <row r="5166" spans="5:5" x14ac:dyDescent="0.25">
      <c r="E5166"/>
    </row>
    <row r="5167" spans="5:5" x14ac:dyDescent="0.25">
      <c r="E5167"/>
    </row>
    <row r="5168" spans="5:5" x14ac:dyDescent="0.25">
      <c r="E5168"/>
    </row>
    <row r="5169" spans="5:5" x14ac:dyDescent="0.25">
      <c r="E5169"/>
    </row>
    <row r="5170" spans="5:5" x14ac:dyDescent="0.25">
      <c r="E5170"/>
    </row>
    <row r="5171" spans="5:5" x14ac:dyDescent="0.25">
      <c r="E5171"/>
    </row>
    <row r="5172" spans="5:5" x14ac:dyDescent="0.25">
      <c r="E5172"/>
    </row>
    <row r="5173" spans="5:5" x14ac:dyDescent="0.25">
      <c r="E5173"/>
    </row>
    <row r="5174" spans="5:5" x14ac:dyDescent="0.25">
      <c r="E5174"/>
    </row>
    <row r="5175" spans="5:5" x14ac:dyDescent="0.25">
      <c r="E5175"/>
    </row>
    <row r="5176" spans="5:5" x14ac:dyDescent="0.25">
      <c r="E5176"/>
    </row>
    <row r="5177" spans="5:5" x14ac:dyDescent="0.25">
      <c r="E5177"/>
    </row>
    <row r="5178" spans="5:5" x14ac:dyDescent="0.25">
      <c r="E5178"/>
    </row>
    <row r="5179" spans="5:5" x14ac:dyDescent="0.25">
      <c r="E5179"/>
    </row>
    <row r="5180" spans="5:5" x14ac:dyDescent="0.25">
      <c r="E5180"/>
    </row>
    <row r="5181" spans="5:5" x14ac:dyDescent="0.25">
      <c r="E5181"/>
    </row>
    <row r="5182" spans="5:5" x14ac:dyDescent="0.25">
      <c r="E5182"/>
    </row>
    <row r="5183" spans="5:5" x14ac:dyDescent="0.25">
      <c r="E5183"/>
    </row>
    <row r="5184" spans="5:5" x14ac:dyDescent="0.25">
      <c r="E5184"/>
    </row>
    <row r="5185" spans="5:5" x14ac:dyDescent="0.25">
      <c r="E5185"/>
    </row>
    <row r="5186" spans="5:5" x14ac:dyDescent="0.25">
      <c r="E5186"/>
    </row>
    <row r="5187" spans="5:5" x14ac:dyDescent="0.25">
      <c r="E5187"/>
    </row>
    <row r="5188" spans="5:5" x14ac:dyDescent="0.25">
      <c r="E5188"/>
    </row>
    <row r="5189" spans="5:5" x14ac:dyDescent="0.25">
      <c r="E5189"/>
    </row>
    <row r="5190" spans="5:5" x14ac:dyDescent="0.25">
      <c r="E5190"/>
    </row>
    <row r="5191" spans="5:5" x14ac:dyDescent="0.25">
      <c r="E5191"/>
    </row>
    <row r="5192" spans="5:5" x14ac:dyDescent="0.25">
      <c r="E5192"/>
    </row>
    <row r="5193" spans="5:5" x14ac:dyDescent="0.25">
      <c r="E5193"/>
    </row>
    <row r="5194" spans="5:5" x14ac:dyDescent="0.25">
      <c r="E5194"/>
    </row>
    <row r="5195" spans="5:5" x14ac:dyDescent="0.25">
      <c r="E5195"/>
    </row>
    <row r="5196" spans="5:5" x14ac:dyDescent="0.25">
      <c r="E5196"/>
    </row>
    <row r="5197" spans="5:5" x14ac:dyDescent="0.25">
      <c r="E5197"/>
    </row>
    <row r="5198" spans="5:5" x14ac:dyDescent="0.25">
      <c r="E5198"/>
    </row>
    <row r="5199" spans="5:5" x14ac:dyDescent="0.25">
      <c r="E5199"/>
    </row>
    <row r="5200" spans="5:5" x14ac:dyDescent="0.25">
      <c r="E5200"/>
    </row>
    <row r="5201" spans="5:5" x14ac:dyDescent="0.25">
      <c r="E5201"/>
    </row>
    <row r="5202" spans="5:5" x14ac:dyDescent="0.25">
      <c r="E5202"/>
    </row>
    <row r="5203" spans="5:5" x14ac:dyDescent="0.25">
      <c r="E5203"/>
    </row>
    <row r="5204" spans="5:5" x14ac:dyDescent="0.25">
      <c r="E5204"/>
    </row>
    <row r="5205" spans="5:5" x14ac:dyDescent="0.25">
      <c r="E5205"/>
    </row>
    <row r="5206" spans="5:5" x14ac:dyDescent="0.25">
      <c r="E5206"/>
    </row>
    <row r="5207" spans="5:5" x14ac:dyDescent="0.25">
      <c r="E5207"/>
    </row>
    <row r="5208" spans="5:5" x14ac:dyDescent="0.25">
      <c r="E5208"/>
    </row>
    <row r="5209" spans="5:5" x14ac:dyDescent="0.25">
      <c r="E5209"/>
    </row>
    <row r="5210" spans="5:5" x14ac:dyDescent="0.25">
      <c r="E5210"/>
    </row>
    <row r="5211" spans="5:5" x14ac:dyDescent="0.25">
      <c r="E5211"/>
    </row>
    <row r="5212" spans="5:5" x14ac:dyDescent="0.25">
      <c r="E5212"/>
    </row>
    <row r="5213" spans="5:5" x14ac:dyDescent="0.25">
      <c r="E5213"/>
    </row>
    <row r="5214" spans="5:5" x14ac:dyDescent="0.25">
      <c r="E5214"/>
    </row>
    <row r="5215" spans="5:5" x14ac:dyDescent="0.25">
      <c r="E5215"/>
    </row>
    <row r="5216" spans="5:5" x14ac:dyDescent="0.25">
      <c r="E5216"/>
    </row>
    <row r="5217" spans="5:5" x14ac:dyDescent="0.25">
      <c r="E5217"/>
    </row>
    <row r="5218" spans="5:5" x14ac:dyDescent="0.25">
      <c r="E5218"/>
    </row>
    <row r="5219" spans="5:5" x14ac:dyDescent="0.25">
      <c r="E5219"/>
    </row>
    <row r="5220" spans="5:5" x14ac:dyDescent="0.25">
      <c r="E5220"/>
    </row>
    <row r="5221" spans="5:5" x14ac:dyDescent="0.25">
      <c r="E5221"/>
    </row>
    <row r="5222" spans="5:5" x14ac:dyDescent="0.25">
      <c r="E5222"/>
    </row>
    <row r="5223" spans="5:5" x14ac:dyDescent="0.25">
      <c r="E5223"/>
    </row>
    <row r="5224" spans="5:5" x14ac:dyDescent="0.25">
      <c r="E5224"/>
    </row>
    <row r="5225" spans="5:5" x14ac:dyDescent="0.25">
      <c r="E5225"/>
    </row>
    <row r="5226" spans="5:5" x14ac:dyDescent="0.25">
      <c r="E5226"/>
    </row>
    <row r="5227" spans="5:5" x14ac:dyDescent="0.25">
      <c r="E5227"/>
    </row>
    <row r="5228" spans="5:5" x14ac:dyDescent="0.25">
      <c r="E5228"/>
    </row>
    <row r="5229" spans="5:5" x14ac:dyDescent="0.25">
      <c r="E5229"/>
    </row>
    <row r="5230" spans="5:5" x14ac:dyDescent="0.25">
      <c r="E5230"/>
    </row>
    <row r="5231" spans="5:5" x14ac:dyDescent="0.25">
      <c r="E5231"/>
    </row>
    <row r="5232" spans="5:5" x14ac:dyDescent="0.25">
      <c r="E5232"/>
    </row>
    <row r="5233" spans="5:5" x14ac:dyDescent="0.25">
      <c r="E5233"/>
    </row>
    <row r="5234" spans="5:5" x14ac:dyDescent="0.25">
      <c r="E5234"/>
    </row>
    <row r="5235" spans="5:5" x14ac:dyDescent="0.25">
      <c r="E5235"/>
    </row>
    <row r="5236" spans="5:5" x14ac:dyDescent="0.25">
      <c r="E5236"/>
    </row>
    <row r="5237" spans="5:5" x14ac:dyDescent="0.25">
      <c r="E5237"/>
    </row>
    <row r="5238" spans="5:5" x14ac:dyDescent="0.25">
      <c r="E5238"/>
    </row>
    <row r="5239" spans="5:5" x14ac:dyDescent="0.25">
      <c r="E5239"/>
    </row>
    <row r="5240" spans="5:5" x14ac:dyDescent="0.25">
      <c r="E5240"/>
    </row>
    <row r="5241" spans="5:5" x14ac:dyDescent="0.25">
      <c r="E5241"/>
    </row>
    <row r="5242" spans="5:5" x14ac:dyDescent="0.25">
      <c r="E5242"/>
    </row>
    <row r="5243" spans="5:5" x14ac:dyDescent="0.25">
      <c r="E5243"/>
    </row>
    <row r="5244" spans="5:5" x14ac:dyDescent="0.25">
      <c r="E5244"/>
    </row>
    <row r="5245" spans="5:5" x14ac:dyDescent="0.25">
      <c r="E5245"/>
    </row>
    <row r="5246" spans="5:5" x14ac:dyDescent="0.25">
      <c r="E5246"/>
    </row>
    <row r="5247" spans="5:5" x14ac:dyDescent="0.25">
      <c r="E5247"/>
    </row>
    <row r="5248" spans="5:5" x14ac:dyDescent="0.25">
      <c r="E5248"/>
    </row>
    <row r="5249" spans="5:5" x14ac:dyDescent="0.25">
      <c r="E5249"/>
    </row>
    <row r="5250" spans="5:5" x14ac:dyDescent="0.25">
      <c r="E5250"/>
    </row>
    <row r="5251" spans="5:5" x14ac:dyDescent="0.25">
      <c r="E5251"/>
    </row>
    <row r="5252" spans="5:5" x14ac:dyDescent="0.25">
      <c r="E5252"/>
    </row>
    <row r="5253" spans="5:5" x14ac:dyDescent="0.25">
      <c r="E5253"/>
    </row>
    <row r="5254" spans="5:5" x14ac:dyDescent="0.25">
      <c r="E5254"/>
    </row>
    <row r="5255" spans="5:5" x14ac:dyDescent="0.25">
      <c r="E5255"/>
    </row>
    <row r="5256" spans="5:5" x14ac:dyDescent="0.25">
      <c r="E5256"/>
    </row>
    <row r="5257" spans="5:5" x14ac:dyDescent="0.25">
      <c r="E5257"/>
    </row>
    <row r="5258" spans="5:5" x14ac:dyDescent="0.25">
      <c r="E5258"/>
    </row>
    <row r="5259" spans="5:5" x14ac:dyDescent="0.25">
      <c r="E5259"/>
    </row>
    <row r="5260" spans="5:5" x14ac:dyDescent="0.25">
      <c r="E5260"/>
    </row>
    <row r="5261" spans="5:5" x14ac:dyDescent="0.25">
      <c r="E5261"/>
    </row>
    <row r="5262" spans="5:5" x14ac:dyDescent="0.25">
      <c r="E5262"/>
    </row>
    <row r="5263" spans="5:5" x14ac:dyDescent="0.25">
      <c r="E5263"/>
    </row>
    <row r="5264" spans="5:5" x14ac:dyDescent="0.25">
      <c r="E5264"/>
    </row>
    <row r="5265" spans="5:5" x14ac:dyDescent="0.25">
      <c r="E5265"/>
    </row>
    <row r="5266" spans="5:5" x14ac:dyDescent="0.25">
      <c r="E5266"/>
    </row>
    <row r="5267" spans="5:5" x14ac:dyDescent="0.25">
      <c r="E5267"/>
    </row>
    <row r="5268" spans="5:5" x14ac:dyDescent="0.25">
      <c r="E5268"/>
    </row>
    <row r="5269" spans="5:5" x14ac:dyDescent="0.25">
      <c r="E5269"/>
    </row>
    <row r="5270" spans="5:5" x14ac:dyDescent="0.25">
      <c r="E5270"/>
    </row>
    <row r="5271" spans="5:5" x14ac:dyDescent="0.25">
      <c r="E5271"/>
    </row>
    <row r="5272" spans="5:5" x14ac:dyDescent="0.25">
      <c r="E5272"/>
    </row>
    <row r="5273" spans="5:5" x14ac:dyDescent="0.25">
      <c r="E5273"/>
    </row>
    <row r="5274" spans="5:5" x14ac:dyDescent="0.25">
      <c r="E5274"/>
    </row>
    <row r="5275" spans="5:5" x14ac:dyDescent="0.25">
      <c r="E5275"/>
    </row>
    <row r="5276" spans="5:5" x14ac:dyDescent="0.25">
      <c r="E5276"/>
    </row>
    <row r="5277" spans="5:5" x14ac:dyDescent="0.25">
      <c r="E5277"/>
    </row>
    <row r="5278" spans="5:5" x14ac:dyDescent="0.25">
      <c r="E5278"/>
    </row>
    <row r="5279" spans="5:5" x14ac:dyDescent="0.25">
      <c r="E5279"/>
    </row>
    <row r="5280" spans="5:5" x14ac:dyDescent="0.25">
      <c r="E5280"/>
    </row>
    <row r="5281" spans="5:5" x14ac:dyDescent="0.25">
      <c r="E5281"/>
    </row>
    <row r="5282" spans="5:5" x14ac:dyDescent="0.25">
      <c r="E5282"/>
    </row>
    <row r="5283" spans="5:5" x14ac:dyDescent="0.25">
      <c r="E5283"/>
    </row>
    <row r="5284" spans="5:5" x14ac:dyDescent="0.25">
      <c r="E5284"/>
    </row>
    <row r="5285" spans="5:5" x14ac:dyDescent="0.25">
      <c r="E5285"/>
    </row>
    <row r="5286" spans="5:5" x14ac:dyDescent="0.25">
      <c r="E5286"/>
    </row>
    <row r="5287" spans="5:5" x14ac:dyDescent="0.25">
      <c r="E5287"/>
    </row>
    <row r="5288" spans="5:5" x14ac:dyDescent="0.25">
      <c r="E5288"/>
    </row>
    <row r="5289" spans="5:5" x14ac:dyDescent="0.25">
      <c r="E5289"/>
    </row>
    <row r="5290" spans="5:5" x14ac:dyDescent="0.25">
      <c r="E5290"/>
    </row>
    <row r="5291" spans="5:5" x14ac:dyDescent="0.25">
      <c r="E5291"/>
    </row>
    <row r="5292" spans="5:5" x14ac:dyDescent="0.25">
      <c r="E5292"/>
    </row>
    <row r="5293" spans="5:5" x14ac:dyDescent="0.25">
      <c r="E5293"/>
    </row>
    <row r="5294" spans="5:5" x14ac:dyDescent="0.25">
      <c r="E5294"/>
    </row>
    <row r="5295" spans="5:5" x14ac:dyDescent="0.25">
      <c r="E5295"/>
    </row>
    <row r="5296" spans="5:5" x14ac:dyDescent="0.25">
      <c r="E5296"/>
    </row>
    <row r="5297" spans="5:5" x14ac:dyDescent="0.25">
      <c r="E5297"/>
    </row>
    <row r="5298" spans="5:5" x14ac:dyDescent="0.25">
      <c r="E5298"/>
    </row>
    <row r="5299" spans="5:5" x14ac:dyDescent="0.25">
      <c r="E5299"/>
    </row>
    <row r="5300" spans="5:5" x14ac:dyDescent="0.25">
      <c r="E5300"/>
    </row>
    <row r="5301" spans="5:5" x14ac:dyDescent="0.25">
      <c r="E5301"/>
    </row>
    <row r="5302" spans="5:5" x14ac:dyDescent="0.25">
      <c r="E5302"/>
    </row>
    <row r="5303" spans="5:5" x14ac:dyDescent="0.25">
      <c r="E5303"/>
    </row>
    <row r="5304" spans="5:5" x14ac:dyDescent="0.25">
      <c r="E5304"/>
    </row>
    <row r="5305" spans="5:5" x14ac:dyDescent="0.25">
      <c r="E5305"/>
    </row>
    <row r="5306" spans="5:5" x14ac:dyDescent="0.25">
      <c r="E5306"/>
    </row>
    <row r="5307" spans="5:5" x14ac:dyDescent="0.25">
      <c r="E5307"/>
    </row>
    <row r="5308" spans="5:5" x14ac:dyDescent="0.25">
      <c r="E5308"/>
    </row>
    <row r="5309" spans="5:5" x14ac:dyDescent="0.25">
      <c r="E5309"/>
    </row>
    <row r="5310" spans="5:5" x14ac:dyDescent="0.25">
      <c r="E5310"/>
    </row>
    <row r="5311" spans="5:5" x14ac:dyDescent="0.25">
      <c r="E5311"/>
    </row>
    <row r="5312" spans="5:5" x14ac:dyDescent="0.25">
      <c r="E5312"/>
    </row>
    <row r="5313" spans="5:5" x14ac:dyDescent="0.25">
      <c r="E5313"/>
    </row>
    <row r="5314" spans="5:5" x14ac:dyDescent="0.25">
      <c r="E5314"/>
    </row>
    <row r="5315" spans="5:5" x14ac:dyDescent="0.25">
      <c r="E5315"/>
    </row>
    <row r="5316" spans="5:5" x14ac:dyDescent="0.25">
      <c r="E5316"/>
    </row>
    <row r="5317" spans="5:5" x14ac:dyDescent="0.25">
      <c r="E5317"/>
    </row>
    <row r="5318" spans="5:5" x14ac:dyDescent="0.25">
      <c r="E5318"/>
    </row>
    <row r="5319" spans="5:5" x14ac:dyDescent="0.25">
      <c r="E5319"/>
    </row>
    <row r="5320" spans="5:5" x14ac:dyDescent="0.25">
      <c r="E5320"/>
    </row>
    <row r="5321" spans="5:5" x14ac:dyDescent="0.25">
      <c r="E5321"/>
    </row>
    <row r="5322" spans="5:5" x14ac:dyDescent="0.25">
      <c r="E5322"/>
    </row>
    <row r="5323" spans="5:5" x14ac:dyDescent="0.25">
      <c r="E5323"/>
    </row>
    <row r="5324" spans="5:5" x14ac:dyDescent="0.25">
      <c r="E5324"/>
    </row>
    <row r="5325" spans="5:5" x14ac:dyDescent="0.25">
      <c r="E5325"/>
    </row>
    <row r="5326" spans="5:5" x14ac:dyDescent="0.25">
      <c r="E5326"/>
    </row>
    <row r="5327" spans="5:5" x14ac:dyDescent="0.25">
      <c r="E5327"/>
    </row>
    <row r="5328" spans="5:5" x14ac:dyDescent="0.25">
      <c r="E5328"/>
    </row>
    <row r="5329" spans="5:5" x14ac:dyDescent="0.25">
      <c r="E5329"/>
    </row>
    <row r="5330" spans="5:5" x14ac:dyDescent="0.25">
      <c r="E5330"/>
    </row>
    <row r="5331" spans="5:5" x14ac:dyDescent="0.25">
      <c r="E5331"/>
    </row>
    <row r="5332" spans="5:5" x14ac:dyDescent="0.25">
      <c r="E5332"/>
    </row>
    <row r="5333" spans="5:5" x14ac:dyDescent="0.25">
      <c r="E5333"/>
    </row>
    <row r="5334" spans="5:5" x14ac:dyDescent="0.25">
      <c r="E5334"/>
    </row>
    <row r="5335" spans="5:5" x14ac:dyDescent="0.25">
      <c r="E5335"/>
    </row>
    <row r="5336" spans="5:5" x14ac:dyDescent="0.25">
      <c r="E5336"/>
    </row>
    <row r="5337" spans="5:5" x14ac:dyDescent="0.25">
      <c r="E5337"/>
    </row>
    <row r="5338" spans="5:5" x14ac:dyDescent="0.25">
      <c r="E5338"/>
    </row>
    <row r="5339" spans="5:5" x14ac:dyDescent="0.25">
      <c r="E5339"/>
    </row>
    <row r="5340" spans="5:5" x14ac:dyDescent="0.25">
      <c r="E5340"/>
    </row>
    <row r="5341" spans="5:5" x14ac:dyDescent="0.25">
      <c r="E5341"/>
    </row>
    <row r="5342" spans="5:5" x14ac:dyDescent="0.25">
      <c r="E5342"/>
    </row>
    <row r="5343" spans="5:5" x14ac:dyDescent="0.25">
      <c r="E5343"/>
    </row>
    <row r="5344" spans="5:5" x14ac:dyDescent="0.25">
      <c r="E5344"/>
    </row>
    <row r="5345" spans="5:5" x14ac:dyDescent="0.25">
      <c r="E5345"/>
    </row>
    <row r="5346" spans="5:5" x14ac:dyDescent="0.25">
      <c r="E5346"/>
    </row>
    <row r="5347" spans="5:5" x14ac:dyDescent="0.25">
      <c r="E5347"/>
    </row>
    <row r="5348" spans="5:5" x14ac:dyDescent="0.25">
      <c r="E5348"/>
    </row>
    <row r="5349" spans="5:5" x14ac:dyDescent="0.25">
      <c r="E5349"/>
    </row>
    <row r="5350" spans="5:5" x14ac:dyDescent="0.25">
      <c r="E5350"/>
    </row>
    <row r="5351" spans="5:5" x14ac:dyDescent="0.25">
      <c r="E5351"/>
    </row>
    <row r="5352" spans="5:5" x14ac:dyDescent="0.25">
      <c r="E5352"/>
    </row>
    <row r="5353" spans="5:5" x14ac:dyDescent="0.25">
      <c r="E5353"/>
    </row>
    <row r="5354" spans="5:5" x14ac:dyDescent="0.25">
      <c r="E5354"/>
    </row>
    <row r="5355" spans="5:5" x14ac:dyDescent="0.25">
      <c r="E5355"/>
    </row>
    <row r="5356" spans="5:5" x14ac:dyDescent="0.25">
      <c r="E5356"/>
    </row>
    <row r="5357" spans="5:5" x14ac:dyDescent="0.25">
      <c r="E5357"/>
    </row>
    <row r="5358" spans="5:5" x14ac:dyDescent="0.25">
      <c r="E5358"/>
    </row>
    <row r="5359" spans="5:5" x14ac:dyDescent="0.25">
      <c r="E5359"/>
    </row>
    <row r="5360" spans="5:5" x14ac:dyDescent="0.25">
      <c r="E5360"/>
    </row>
    <row r="5361" spans="5:5" x14ac:dyDescent="0.25">
      <c r="E5361"/>
    </row>
    <row r="5362" spans="5:5" x14ac:dyDescent="0.25">
      <c r="E5362"/>
    </row>
    <row r="5363" spans="5:5" x14ac:dyDescent="0.25">
      <c r="E5363"/>
    </row>
    <row r="5364" spans="5:5" x14ac:dyDescent="0.25">
      <c r="E5364"/>
    </row>
    <row r="5365" spans="5:5" x14ac:dyDescent="0.25">
      <c r="E5365"/>
    </row>
    <row r="5366" spans="5:5" x14ac:dyDescent="0.25">
      <c r="E5366"/>
    </row>
    <row r="5367" spans="5:5" x14ac:dyDescent="0.25">
      <c r="E5367"/>
    </row>
    <row r="5368" spans="5:5" x14ac:dyDescent="0.25">
      <c r="E5368"/>
    </row>
    <row r="5369" spans="5:5" x14ac:dyDescent="0.25">
      <c r="E5369"/>
    </row>
    <row r="5370" spans="5:5" x14ac:dyDescent="0.25">
      <c r="E5370"/>
    </row>
    <row r="5371" spans="5:5" x14ac:dyDescent="0.25">
      <c r="E5371"/>
    </row>
    <row r="5372" spans="5:5" x14ac:dyDescent="0.25">
      <c r="E5372"/>
    </row>
    <row r="5373" spans="5:5" x14ac:dyDescent="0.25">
      <c r="E5373"/>
    </row>
    <row r="5374" spans="5:5" x14ac:dyDescent="0.25">
      <c r="E5374"/>
    </row>
    <row r="5375" spans="5:5" x14ac:dyDescent="0.25">
      <c r="E5375"/>
    </row>
    <row r="5376" spans="5:5" x14ac:dyDescent="0.25">
      <c r="E5376"/>
    </row>
    <row r="5377" spans="5:5" x14ac:dyDescent="0.25">
      <c r="E5377"/>
    </row>
    <row r="5378" spans="5:5" x14ac:dyDescent="0.25">
      <c r="E5378"/>
    </row>
    <row r="5379" spans="5:5" x14ac:dyDescent="0.25">
      <c r="E5379"/>
    </row>
    <row r="5380" spans="5:5" x14ac:dyDescent="0.25">
      <c r="E5380"/>
    </row>
    <row r="5381" spans="5:5" x14ac:dyDescent="0.25">
      <c r="E5381"/>
    </row>
    <row r="5382" spans="5:5" x14ac:dyDescent="0.25">
      <c r="E5382"/>
    </row>
    <row r="5383" spans="5:5" x14ac:dyDescent="0.25">
      <c r="E5383"/>
    </row>
    <row r="5384" spans="5:5" x14ac:dyDescent="0.25">
      <c r="E5384"/>
    </row>
    <row r="5385" spans="5:5" x14ac:dyDescent="0.25">
      <c r="E5385"/>
    </row>
    <row r="5386" spans="5:5" x14ac:dyDescent="0.25">
      <c r="E5386"/>
    </row>
    <row r="5387" spans="5:5" x14ac:dyDescent="0.25">
      <c r="E5387"/>
    </row>
    <row r="5388" spans="5:5" x14ac:dyDescent="0.25">
      <c r="E5388"/>
    </row>
    <row r="5389" spans="5:5" x14ac:dyDescent="0.25">
      <c r="E5389"/>
    </row>
    <row r="5390" spans="5:5" x14ac:dyDescent="0.25">
      <c r="E5390"/>
    </row>
    <row r="5391" spans="5:5" x14ac:dyDescent="0.25">
      <c r="E5391"/>
    </row>
    <row r="5392" spans="5:5" x14ac:dyDescent="0.25">
      <c r="E5392"/>
    </row>
    <row r="5393" spans="5:5" x14ac:dyDescent="0.25">
      <c r="E5393"/>
    </row>
    <row r="5394" spans="5:5" x14ac:dyDescent="0.25">
      <c r="E5394"/>
    </row>
    <row r="5395" spans="5:5" x14ac:dyDescent="0.25">
      <c r="E5395"/>
    </row>
    <row r="5396" spans="5:5" x14ac:dyDescent="0.25">
      <c r="E5396"/>
    </row>
    <row r="5397" spans="5:5" x14ac:dyDescent="0.25">
      <c r="E5397"/>
    </row>
    <row r="5398" spans="5:5" x14ac:dyDescent="0.25">
      <c r="E5398"/>
    </row>
    <row r="5399" spans="5:5" x14ac:dyDescent="0.25">
      <c r="E5399"/>
    </row>
    <row r="5400" spans="5:5" x14ac:dyDescent="0.25">
      <c r="E5400"/>
    </row>
    <row r="5401" spans="5:5" x14ac:dyDescent="0.25">
      <c r="E5401"/>
    </row>
    <row r="5402" spans="5:5" x14ac:dyDescent="0.25">
      <c r="E5402"/>
    </row>
    <row r="5403" spans="5:5" x14ac:dyDescent="0.25">
      <c r="E5403"/>
    </row>
    <row r="5404" spans="5:5" x14ac:dyDescent="0.25">
      <c r="E5404"/>
    </row>
    <row r="5405" spans="5:5" x14ac:dyDescent="0.25">
      <c r="E5405"/>
    </row>
    <row r="5406" spans="5:5" x14ac:dyDescent="0.25">
      <c r="E5406"/>
    </row>
    <row r="5407" spans="5:5" x14ac:dyDescent="0.25">
      <c r="E5407"/>
    </row>
    <row r="5408" spans="5:5" x14ac:dyDescent="0.25">
      <c r="E5408"/>
    </row>
    <row r="5409" spans="5:5" x14ac:dyDescent="0.25">
      <c r="E5409"/>
    </row>
    <row r="5410" spans="5:5" x14ac:dyDescent="0.25">
      <c r="E5410"/>
    </row>
    <row r="5411" spans="5:5" x14ac:dyDescent="0.25">
      <c r="E5411"/>
    </row>
    <row r="5412" spans="5:5" x14ac:dyDescent="0.25">
      <c r="E5412"/>
    </row>
    <row r="5413" spans="5:5" x14ac:dyDescent="0.25">
      <c r="E5413"/>
    </row>
    <row r="5414" spans="5:5" x14ac:dyDescent="0.25">
      <c r="E5414"/>
    </row>
    <row r="5415" spans="5:5" x14ac:dyDescent="0.25">
      <c r="E5415"/>
    </row>
    <row r="5416" spans="5:5" x14ac:dyDescent="0.25">
      <c r="E5416"/>
    </row>
    <row r="5417" spans="5:5" x14ac:dyDescent="0.25">
      <c r="E5417"/>
    </row>
    <row r="5418" spans="5:5" x14ac:dyDescent="0.25">
      <c r="E5418"/>
    </row>
    <row r="5419" spans="5:5" x14ac:dyDescent="0.25">
      <c r="E5419"/>
    </row>
    <row r="5420" spans="5:5" x14ac:dyDescent="0.25">
      <c r="E5420"/>
    </row>
    <row r="5421" spans="5:5" x14ac:dyDescent="0.25">
      <c r="E5421"/>
    </row>
    <row r="5422" spans="5:5" x14ac:dyDescent="0.25">
      <c r="E5422"/>
    </row>
    <row r="5423" spans="5:5" x14ac:dyDescent="0.25">
      <c r="E5423"/>
    </row>
    <row r="5424" spans="5:5" x14ac:dyDescent="0.25">
      <c r="E5424"/>
    </row>
    <row r="5425" spans="5:5" x14ac:dyDescent="0.25">
      <c r="E5425"/>
    </row>
    <row r="5426" spans="5:5" x14ac:dyDescent="0.25">
      <c r="E5426"/>
    </row>
    <row r="5427" spans="5:5" x14ac:dyDescent="0.25">
      <c r="E5427"/>
    </row>
    <row r="5428" spans="5:5" x14ac:dyDescent="0.25">
      <c r="E5428"/>
    </row>
    <row r="5429" spans="5:5" x14ac:dyDescent="0.25">
      <c r="E5429"/>
    </row>
    <row r="5430" spans="5:5" x14ac:dyDescent="0.25">
      <c r="E5430"/>
    </row>
    <row r="5431" spans="5:5" x14ac:dyDescent="0.25">
      <c r="E5431"/>
    </row>
    <row r="5432" spans="5:5" x14ac:dyDescent="0.25">
      <c r="E5432"/>
    </row>
    <row r="5433" spans="5:5" x14ac:dyDescent="0.25">
      <c r="E5433"/>
    </row>
    <row r="5434" spans="5:5" x14ac:dyDescent="0.25">
      <c r="E5434"/>
    </row>
    <row r="5435" spans="5:5" x14ac:dyDescent="0.25">
      <c r="E5435"/>
    </row>
    <row r="5436" spans="5:5" x14ac:dyDescent="0.25">
      <c r="E5436"/>
    </row>
    <row r="5437" spans="5:5" x14ac:dyDescent="0.25">
      <c r="E5437"/>
    </row>
    <row r="5438" spans="5:5" x14ac:dyDescent="0.25">
      <c r="E5438"/>
    </row>
    <row r="5439" spans="5:5" x14ac:dyDescent="0.25">
      <c r="E5439"/>
    </row>
    <row r="5440" spans="5:5" x14ac:dyDescent="0.25">
      <c r="E5440"/>
    </row>
    <row r="5441" spans="5:5" x14ac:dyDescent="0.25">
      <c r="E5441"/>
    </row>
    <row r="5442" spans="5:5" x14ac:dyDescent="0.25">
      <c r="E5442"/>
    </row>
    <row r="5443" spans="5:5" x14ac:dyDescent="0.25">
      <c r="E5443"/>
    </row>
    <row r="5444" spans="5:5" x14ac:dyDescent="0.25">
      <c r="E5444"/>
    </row>
    <row r="5445" spans="5:5" x14ac:dyDescent="0.25">
      <c r="E5445"/>
    </row>
    <row r="5446" spans="5:5" x14ac:dyDescent="0.25">
      <c r="E5446"/>
    </row>
    <row r="5447" spans="5:5" x14ac:dyDescent="0.25">
      <c r="E5447"/>
    </row>
    <row r="5448" spans="5:5" x14ac:dyDescent="0.25">
      <c r="E5448"/>
    </row>
    <row r="5449" spans="5:5" x14ac:dyDescent="0.25">
      <c r="E5449"/>
    </row>
    <row r="5450" spans="5:5" x14ac:dyDescent="0.25">
      <c r="E5450"/>
    </row>
    <row r="5451" spans="5:5" x14ac:dyDescent="0.25">
      <c r="E5451"/>
    </row>
    <row r="5452" spans="5:5" x14ac:dyDescent="0.25">
      <c r="E5452"/>
    </row>
    <row r="5453" spans="5:5" x14ac:dyDescent="0.25">
      <c r="E5453"/>
    </row>
    <row r="5454" spans="5:5" x14ac:dyDescent="0.25">
      <c r="E5454"/>
    </row>
    <row r="5455" spans="5:5" x14ac:dyDescent="0.25">
      <c r="E5455"/>
    </row>
    <row r="5456" spans="5:5" x14ac:dyDescent="0.25">
      <c r="E5456"/>
    </row>
    <row r="5457" spans="5:5" x14ac:dyDescent="0.25">
      <c r="E5457"/>
    </row>
    <row r="5458" spans="5:5" x14ac:dyDescent="0.25">
      <c r="E5458"/>
    </row>
    <row r="5459" spans="5:5" x14ac:dyDescent="0.25">
      <c r="E5459"/>
    </row>
    <row r="5460" spans="5:5" x14ac:dyDescent="0.25">
      <c r="E5460"/>
    </row>
    <row r="5461" spans="5:5" x14ac:dyDescent="0.25">
      <c r="E5461"/>
    </row>
    <row r="5462" spans="5:5" x14ac:dyDescent="0.25">
      <c r="E5462"/>
    </row>
    <row r="5463" spans="5:5" x14ac:dyDescent="0.25">
      <c r="E5463"/>
    </row>
    <row r="5464" spans="5:5" x14ac:dyDescent="0.25">
      <c r="E5464"/>
    </row>
    <row r="5465" spans="5:5" x14ac:dyDescent="0.25">
      <c r="E5465"/>
    </row>
    <row r="5466" spans="5:5" x14ac:dyDescent="0.25">
      <c r="E5466"/>
    </row>
    <row r="5467" spans="5:5" x14ac:dyDescent="0.25">
      <c r="E5467"/>
    </row>
    <row r="5468" spans="5:5" x14ac:dyDescent="0.25">
      <c r="E5468"/>
    </row>
    <row r="5469" spans="5:5" x14ac:dyDescent="0.25">
      <c r="E5469"/>
    </row>
    <row r="5470" spans="5:5" x14ac:dyDescent="0.25">
      <c r="E5470"/>
    </row>
    <row r="5471" spans="5:5" x14ac:dyDescent="0.25">
      <c r="E5471"/>
    </row>
    <row r="5472" spans="5:5" x14ac:dyDescent="0.25">
      <c r="E5472"/>
    </row>
    <row r="5473" spans="5:5" x14ac:dyDescent="0.25">
      <c r="E5473"/>
    </row>
    <row r="5474" spans="5:5" x14ac:dyDescent="0.25">
      <c r="E5474"/>
    </row>
    <row r="5475" spans="5:5" x14ac:dyDescent="0.25">
      <c r="E5475"/>
    </row>
    <row r="5476" spans="5:5" x14ac:dyDescent="0.25">
      <c r="E5476"/>
    </row>
    <row r="5477" spans="5:5" x14ac:dyDescent="0.25">
      <c r="E5477"/>
    </row>
    <row r="5478" spans="5:5" x14ac:dyDescent="0.25">
      <c r="E5478"/>
    </row>
    <row r="5479" spans="5:5" x14ac:dyDescent="0.25">
      <c r="E5479"/>
    </row>
    <row r="5480" spans="5:5" x14ac:dyDescent="0.25">
      <c r="E5480"/>
    </row>
    <row r="5481" spans="5:5" x14ac:dyDescent="0.25">
      <c r="E5481"/>
    </row>
    <row r="5482" spans="5:5" x14ac:dyDescent="0.25">
      <c r="E5482"/>
    </row>
    <row r="5483" spans="5:5" x14ac:dyDescent="0.25">
      <c r="E5483"/>
    </row>
    <row r="5484" spans="5:5" x14ac:dyDescent="0.25">
      <c r="E5484"/>
    </row>
    <row r="5485" spans="5:5" x14ac:dyDescent="0.25">
      <c r="E5485"/>
    </row>
    <row r="5486" spans="5:5" x14ac:dyDescent="0.25">
      <c r="E5486"/>
    </row>
    <row r="5487" spans="5:5" x14ac:dyDescent="0.25">
      <c r="E5487"/>
    </row>
    <row r="5488" spans="5:5" x14ac:dyDescent="0.25">
      <c r="E5488"/>
    </row>
    <row r="5489" spans="5:5" x14ac:dyDescent="0.25">
      <c r="E5489"/>
    </row>
    <row r="5490" spans="5:5" x14ac:dyDescent="0.25">
      <c r="E5490"/>
    </row>
    <row r="5491" spans="5:5" x14ac:dyDescent="0.25">
      <c r="E5491"/>
    </row>
    <row r="5492" spans="5:5" x14ac:dyDescent="0.25">
      <c r="E5492"/>
    </row>
    <row r="5493" spans="5:5" x14ac:dyDescent="0.25">
      <c r="E5493"/>
    </row>
    <row r="5494" spans="5:5" x14ac:dyDescent="0.25">
      <c r="E5494"/>
    </row>
    <row r="5495" spans="5:5" x14ac:dyDescent="0.25">
      <c r="E5495"/>
    </row>
    <row r="5496" spans="5:5" x14ac:dyDescent="0.25">
      <c r="E5496"/>
    </row>
    <row r="5497" spans="5:5" x14ac:dyDescent="0.25">
      <c r="E5497"/>
    </row>
    <row r="5498" spans="5:5" x14ac:dyDescent="0.25">
      <c r="E5498"/>
    </row>
    <row r="5499" spans="5:5" x14ac:dyDescent="0.25">
      <c r="E5499"/>
    </row>
    <row r="5500" spans="5:5" x14ac:dyDescent="0.25">
      <c r="E5500"/>
    </row>
    <row r="5501" spans="5:5" x14ac:dyDescent="0.25">
      <c r="E5501"/>
    </row>
    <row r="5502" spans="5:5" x14ac:dyDescent="0.25">
      <c r="E5502"/>
    </row>
    <row r="5503" spans="5:5" x14ac:dyDescent="0.25">
      <c r="E5503"/>
    </row>
    <row r="5504" spans="5:5" x14ac:dyDescent="0.25">
      <c r="E5504"/>
    </row>
    <row r="5505" spans="5:5" x14ac:dyDescent="0.25">
      <c r="E5505"/>
    </row>
    <row r="5506" spans="5:5" x14ac:dyDescent="0.25">
      <c r="E5506"/>
    </row>
    <row r="5507" spans="5:5" x14ac:dyDescent="0.25">
      <c r="E5507"/>
    </row>
    <row r="5508" spans="5:5" x14ac:dyDescent="0.25">
      <c r="E5508"/>
    </row>
    <row r="5509" spans="5:5" x14ac:dyDescent="0.25">
      <c r="E5509"/>
    </row>
    <row r="5510" spans="5:5" x14ac:dyDescent="0.25">
      <c r="E5510"/>
    </row>
    <row r="5511" spans="5:5" x14ac:dyDescent="0.25">
      <c r="E5511"/>
    </row>
    <row r="5512" spans="5:5" x14ac:dyDescent="0.25">
      <c r="E5512"/>
    </row>
    <row r="5513" spans="5:5" x14ac:dyDescent="0.25">
      <c r="E5513"/>
    </row>
    <row r="5514" spans="5:5" x14ac:dyDescent="0.25">
      <c r="E5514"/>
    </row>
    <row r="5515" spans="5:5" x14ac:dyDescent="0.25">
      <c r="E5515"/>
    </row>
    <row r="5516" spans="5:5" x14ac:dyDescent="0.25">
      <c r="E5516"/>
    </row>
    <row r="5517" spans="5:5" x14ac:dyDescent="0.25">
      <c r="E5517"/>
    </row>
    <row r="5518" spans="5:5" x14ac:dyDescent="0.25">
      <c r="E5518"/>
    </row>
    <row r="5519" spans="5:5" x14ac:dyDescent="0.25">
      <c r="E5519"/>
    </row>
    <row r="5520" spans="5:5" x14ac:dyDescent="0.25">
      <c r="E5520"/>
    </row>
    <row r="5521" spans="5:5" x14ac:dyDescent="0.25">
      <c r="E5521"/>
    </row>
    <row r="5522" spans="5:5" x14ac:dyDescent="0.25">
      <c r="E5522"/>
    </row>
    <row r="5523" spans="5:5" x14ac:dyDescent="0.25">
      <c r="E5523"/>
    </row>
    <row r="5524" spans="5:5" x14ac:dyDescent="0.25">
      <c r="E5524"/>
    </row>
    <row r="5525" spans="5:5" x14ac:dyDescent="0.25">
      <c r="E5525"/>
    </row>
    <row r="5526" spans="5:5" x14ac:dyDescent="0.25">
      <c r="E5526"/>
    </row>
    <row r="5527" spans="5:5" x14ac:dyDescent="0.25">
      <c r="E5527"/>
    </row>
    <row r="5528" spans="5:5" x14ac:dyDescent="0.25">
      <c r="E5528"/>
    </row>
    <row r="5529" spans="5:5" x14ac:dyDescent="0.25">
      <c r="E5529"/>
    </row>
    <row r="5530" spans="5:5" x14ac:dyDescent="0.25">
      <c r="E5530"/>
    </row>
    <row r="5531" spans="5:5" x14ac:dyDescent="0.25">
      <c r="E5531"/>
    </row>
    <row r="5532" spans="5:5" x14ac:dyDescent="0.25">
      <c r="E5532"/>
    </row>
    <row r="5533" spans="5:5" x14ac:dyDescent="0.25">
      <c r="E5533"/>
    </row>
    <row r="5534" spans="5:5" x14ac:dyDescent="0.25">
      <c r="E5534"/>
    </row>
    <row r="5535" spans="5:5" x14ac:dyDescent="0.25">
      <c r="E5535"/>
    </row>
    <row r="5536" spans="5:5" x14ac:dyDescent="0.25">
      <c r="E5536"/>
    </row>
    <row r="5537" spans="5:5" x14ac:dyDescent="0.25">
      <c r="E5537"/>
    </row>
    <row r="5538" spans="5:5" x14ac:dyDescent="0.25">
      <c r="E5538"/>
    </row>
    <row r="5539" spans="5:5" x14ac:dyDescent="0.25">
      <c r="E5539"/>
    </row>
    <row r="5540" spans="5:5" x14ac:dyDescent="0.25">
      <c r="E5540"/>
    </row>
    <row r="5541" spans="5:5" x14ac:dyDescent="0.25">
      <c r="E5541"/>
    </row>
    <row r="5542" spans="5:5" x14ac:dyDescent="0.25">
      <c r="E5542"/>
    </row>
    <row r="5543" spans="5:5" x14ac:dyDescent="0.25">
      <c r="E5543"/>
    </row>
    <row r="5544" spans="5:5" x14ac:dyDescent="0.25">
      <c r="E5544"/>
    </row>
    <row r="5545" spans="5:5" x14ac:dyDescent="0.25">
      <c r="E5545"/>
    </row>
    <row r="5546" spans="5:5" x14ac:dyDescent="0.25">
      <c r="E5546"/>
    </row>
    <row r="5547" spans="5:5" x14ac:dyDescent="0.25">
      <c r="E5547"/>
    </row>
    <row r="5548" spans="5:5" x14ac:dyDescent="0.25">
      <c r="E5548"/>
    </row>
    <row r="5549" spans="5:5" x14ac:dyDescent="0.25">
      <c r="E5549"/>
    </row>
    <row r="5550" spans="5:5" x14ac:dyDescent="0.25">
      <c r="E5550"/>
    </row>
    <row r="5551" spans="5:5" x14ac:dyDescent="0.25">
      <c r="E5551"/>
    </row>
    <row r="5552" spans="5:5" x14ac:dyDescent="0.25">
      <c r="E5552"/>
    </row>
    <row r="5553" spans="5:5" x14ac:dyDescent="0.25">
      <c r="E5553"/>
    </row>
    <row r="5554" spans="5:5" x14ac:dyDescent="0.25">
      <c r="E5554"/>
    </row>
    <row r="5555" spans="5:5" x14ac:dyDescent="0.25">
      <c r="E5555"/>
    </row>
    <row r="5556" spans="5:5" x14ac:dyDescent="0.25">
      <c r="E5556"/>
    </row>
    <row r="5557" spans="5:5" x14ac:dyDescent="0.25">
      <c r="E5557"/>
    </row>
    <row r="5558" spans="5:5" x14ac:dyDescent="0.25">
      <c r="E5558"/>
    </row>
    <row r="5559" spans="5:5" x14ac:dyDescent="0.25">
      <c r="E5559"/>
    </row>
    <row r="5560" spans="5:5" x14ac:dyDescent="0.25">
      <c r="E5560"/>
    </row>
    <row r="5561" spans="5:5" x14ac:dyDescent="0.25">
      <c r="E5561"/>
    </row>
    <row r="5562" spans="5:5" x14ac:dyDescent="0.25">
      <c r="E5562"/>
    </row>
    <row r="5563" spans="5:5" x14ac:dyDescent="0.25">
      <c r="E5563"/>
    </row>
    <row r="5564" spans="5:5" x14ac:dyDescent="0.25">
      <c r="E5564"/>
    </row>
    <row r="5565" spans="5:5" x14ac:dyDescent="0.25">
      <c r="E5565"/>
    </row>
    <row r="5566" spans="5:5" x14ac:dyDescent="0.25">
      <c r="E5566"/>
    </row>
    <row r="5567" spans="5:5" x14ac:dyDescent="0.25">
      <c r="E5567"/>
    </row>
    <row r="5568" spans="5:5" x14ac:dyDescent="0.25">
      <c r="E5568"/>
    </row>
    <row r="5569" spans="5:5" x14ac:dyDescent="0.25">
      <c r="E5569"/>
    </row>
    <row r="5570" spans="5:5" x14ac:dyDescent="0.25">
      <c r="E5570"/>
    </row>
    <row r="5571" spans="5:5" x14ac:dyDescent="0.25">
      <c r="E5571"/>
    </row>
    <row r="5572" spans="5:5" x14ac:dyDescent="0.25">
      <c r="E5572"/>
    </row>
    <row r="5573" spans="5:5" x14ac:dyDescent="0.25">
      <c r="E5573"/>
    </row>
    <row r="5574" spans="5:5" x14ac:dyDescent="0.25">
      <c r="E5574"/>
    </row>
    <row r="5575" spans="5:5" x14ac:dyDescent="0.25">
      <c r="E5575"/>
    </row>
    <row r="5576" spans="5:5" x14ac:dyDescent="0.25">
      <c r="E5576"/>
    </row>
    <row r="5577" spans="5:5" x14ac:dyDescent="0.25">
      <c r="E5577"/>
    </row>
    <row r="5578" spans="5:5" x14ac:dyDescent="0.25">
      <c r="E5578"/>
    </row>
    <row r="5579" spans="5:5" x14ac:dyDescent="0.25">
      <c r="E5579"/>
    </row>
    <row r="5580" spans="5:5" x14ac:dyDescent="0.25">
      <c r="E5580"/>
    </row>
    <row r="5581" spans="5:5" x14ac:dyDescent="0.25">
      <c r="E5581"/>
    </row>
    <row r="5582" spans="5:5" x14ac:dyDescent="0.25">
      <c r="E5582"/>
    </row>
    <row r="5583" spans="5:5" x14ac:dyDescent="0.25">
      <c r="E5583"/>
    </row>
    <row r="5584" spans="5:5" x14ac:dyDescent="0.25">
      <c r="E5584"/>
    </row>
    <row r="5585" spans="5:5" x14ac:dyDescent="0.25">
      <c r="E5585"/>
    </row>
    <row r="5586" spans="5:5" x14ac:dyDescent="0.25">
      <c r="E5586"/>
    </row>
    <row r="5587" spans="5:5" x14ac:dyDescent="0.25">
      <c r="E5587"/>
    </row>
    <row r="5588" spans="5:5" x14ac:dyDescent="0.25">
      <c r="E5588"/>
    </row>
    <row r="5589" spans="5:5" x14ac:dyDescent="0.25">
      <c r="E5589"/>
    </row>
    <row r="5590" spans="5:5" x14ac:dyDescent="0.25">
      <c r="E5590"/>
    </row>
    <row r="5591" spans="5:5" x14ac:dyDescent="0.25">
      <c r="E5591"/>
    </row>
    <row r="5592" spans="5:5" x14ac:dyDescent="0.25">
      <c r="E5592"/>
    </row>
    <row r="5593" spans="5:5" x14ac:dyDescent="0.25">
      <c r="E5593"/>
    </row>
    <row r="5594" spans="5:5" x14ac:dyDescent="0.25">
      <c r="E5594"/>
    </row>
    <row r="5595" spans="5:5" x14ac:dyDescent="0.25">
      <c r="E5595"/>
    </row>
    <row r="5596" spans="5:5" x14ac:dyDescent="0.25">
      <c r="E5596"/>
    </row>
    <row r="5597" spans="5:5" x14ac:dyDescent="0.25">
      <c r="E5597"/>
    </row>
    <row r="5598" spans="5:5" x14ac:dyDescent="0.25">
      <c r="E5598"/>
    </row>
    <row r="5599" spans="5:5" x14ac:dyDescent="0.25">
      <c r="E5599"/>
    </row>
    <row r="5600" spans="5:5" x14ac:dyDescent="0.25">
      <c r="E5600"/>
    </row>
    <row r="5601" spans="5:5" x14ac:dyDescent="0.25">
      <c r="E5601"/>
    </row>
    <row r="5602" spans="5:5" x14ac:dyDescent="0.25">
      <c r="E5602"/>
    </row>
    <row r="5603" spans="5:5" x14ac:dyDescent="0.25">
      <c r="E5603"/>
    </row>
    <row r="5604" spans="5:5" x14ac:dyDescent="0.25">
      <c r="E5604"/>
    </row>
    <row r="5605" spans="5:5" x14ac:dyDescent="0.25">
      <c r="E5605"/>
    </row>
    <row r="5606" spans="5:5" x14ac:dyDescent="0.25">
      <c r="E5606"/>
    </row>
    <row r="5607" spans="5:5" x14ac:dyDescent="0.25">
      <c r="E5607"/>
    </row>
    <row r="5608" spans="5:5" x14ac:dyDescent="0.25">
      <c r="E5608"/>
    </row>
    <row r="5609" spans="5:5" x14ac:dyDescent="0.25">
      <c r="E5609"/>
    </row>
    <row r="5610" spans="5:5" x14ac:dyDescent="0.25">
      <c r="E5610"/>
    </row>
    <row r="5611" spans="5:5" x14ac:dyDescent="0.25">
      <c r="E5611"/>
    </row>
    <row r="5612" spans="5:5" x14ac:dyDescent="0.25">
      <c r="E5612"/>
    </row>
    <row r="5613" spans="5:5" x14ac:dyDescent="0.25">
      <c r="E5613"/>
    </row>
    <row r="5614" spans="5:5" x14ac:dyDescent="0.25">
      <c r="E5614"/>
    </row>
    <row r="5615" spans="5:5" x14ac:dyDescent="0.25">
      <c r="E5615"/>
    </row>
    <row r="5616" spans="5:5" x14ac:dyDescent="0.25">
      <c r="E5616"/>
    </row>
    <row r="5617" spans="5:5" x14ac:dyDescent="0.25">
      <c r="E5617"/>
    </row>
    <row r="5618" spans="5:5" x14ac:dyDescent="0.25">
      <c r="E5618"/>
    </row>
    <row r="5619" spans="5:5" x14ac:dyDescent="0.25">
      <c r="E5619"/>
    </row>
    <row r="5620" spans="5:5" x14ac:dyDescent="0.25">
      <c r="E5620"/>
    </row>
    <row r="5621" spans="5:5" x14ac:dyDescent="0.25">
      <c r="E5621"/>
    </row>
    <row r="5622" spans="5:5" x14ac:dyDescent="0.25">
      <c r="E5622"/>
    </row>
    <row r="5623" spans="5:5" x14ac:dyDescent="0.25">
      <c r="E5623"/>
    </row>
    <row r="5624" spans="5:5" x14ac:dyDescent="0.25">
      <c r="E5624"/>
    </row>
    <row r="5625" spans="5:5" x14ac:dyDescent="0.25">
      <c r="E5625"/>
    </row>
    <row r="5626" spans="5:5" x14ac:dyDescent="0.25">
      <c r="E5626"/>
    </row>
    <row r="5627" spans="5:5" x14ac:dyDescent="0.25">
      <c r="E5627"/>
    </row>
    <row r="5628" spans="5:5" x14ac:dyDescent="0.25">
      <c r="E5628"/>
    </row>
    <row r="5629" spans="5:5" x14ac:dyDescent="0.25">
      <c r="E5629"/>
    </row>
    <row r="5630" spans="5:5" x14ac:dyDescent="0.25">
      <c r="E5630"/>
    </row>
    <row r="5631" spans="5:5" x14ac:dyDescent="0.25">
      <c r="E5631"/>
    </row>
    <row r="5632" spans="5:5" x14ac:dyDescent="0.25">
      <c r="E5632"/>
    </row>
    <row r="5633" spans="5:5" x14ac:dyDescent="0.25">
      <c r="E5633"/>
    </row>
    <row r="5634" spans="5:5" x14ac:dyDescent="0.25">
      <c r="E5634"/>
    </row>
    <row r="5635" spans="5:5" x14ac:dyDescent="0.25">
      <c r="E5635"/>
    </row>
    <row r="5636" spans="5:5" x14ac:dyDescent="0.25">
      <c r="E5636"/>
    </row>
    <row r="5637" spans="5:5" x14ac:dyDescent="0.25">
      <c r="E5637"/>
    </row>
    <row r="5638" spans="5:5" x14ac:dyDescent="0.25">
      <c r="E5638"/>
    </row>
    <row r="5639" spans="5:5" x14ac:dyDescent="0.25">
      <c r="E5639"/>
    </row>
    <row r="5640" spans="5:5" x14ac:dyDescent="0.25">
      <c r="E5640"/>
    </row>
    <row r="5641" spans="5:5" x14ac:dyDescent="0.25">
      <c r="E5641"/>
    </row>
    <row r="5642" spans="5:5" x14ac:dyDescent="0.25">
      <c r="E5642"/>
    </row>
    <row r="5643" spans="5:5" x14ac:dyDescent="0.25">
      <c r="E5643"/>
    </row>
    <row r="5644" spans="5:5" x14ac:dyDescent="0.25">
      <c r="E5644"/>
    </row>
    <row r="5645" spans="5:5" x14ac:dyDescent="0.25">
      <c r="E5645"/>
    </row>
    <row r="5646" spans="5:5" x14ac:dyDescent="0.25">
      <c r="E5646"/>
    </row>
    <row r="5647" spans="5:5" x14ac:dyDescent="0.25">
      <c r="E5647"/>
    </row>
    <row r="5648" spans="5:5" x14ac:dyDescent="0.25">
      <c r="E5648"/>
    </row>
    <row r="5649" spans="5:5" x14ac:dyDescent="0.25">
      <c r="E5649"/>
    </row>
    <row r="5650" spans="5:5" x14ac:dyDescent="0.25">
      <c r="E5650"/>
    </row>
    <row r="5651" spans="5:5" x14ac:dyDescent="0.25">
      <c r="E5651"/>
    </row>
    <row r="5652" spans="5:5" x14ac:dyDescent="0.25">
      <c r="E5652"/>
    </row>
    <row r="5653" spans="5:5" x14ac:dyDescent="0.25">
      <c r="E5653"/>
    </row>
    <row r="5654" spans="5:5" x14ac:dyDescent="0.25">
      <c r="E5654"/>
    </row>
    <row r="5655" spans="5:5" x14ac:dyDescent="0.25">
      <c r="E5655"/>
    </row>
    <row r="5656" spans="5:5" x14ac:dyDescent="0.25">
      <c r="E5656"/>
    </row>
    <row r="5657" spans="5:5" x14ac:dyDescent="0.25">
      <c r="E5657"/>
    </row>
    <row r="5658" spans="5:5" x14ac:dyDescent="0.25">
      <c r="E5658"/>
    </row>
    <row r="5659" spans="5:5" x14ac:dyDescent="0.25">
      <c r="E5659"/>
    </row>
    <row r="5660" spans="5:5" x14ac:dyDescent="0.25">
      <c r="E5660"/>
    </row>
    <row r="5661" spans="5:5" x14ac:dyDescent="0.25">
      <c r="E5661"/>
    </row>
    <row r="5662" spans="5:5" x14ac:dyDescent="0.25">
      <c r="E5662"/>
    </row>
    <row r="5663" spans="5:5" x14ac:dyDescent="0.25">
      <c r="E5663"/>
    </row>
    <row r="5664" spans="5:5" x14ac:dyDescent="0.25">
      <c r="E5664"/>
    </row>
    <row r="5665" spans="5:5" x14ac:dyDescent="0.25">
      <c r="E5665"/>
    </row>
    <row r="5666" spans="5:5" x14ac:dyDescent="0.25">
      <c r="E5666"/>
    </row>
    <row r="5667" spans="5:5" x14ac:dyDescent="0.25">
      <c r="E5667"/>
    </row>
    <row r="5668" spans="5:5" x14ac:dyDescent="0.25">
      <c r="E5668"/>
    </row>
    <row r="5669" spans="5:5" x14ac:dyDescent="0.25">
      <c r="E5669"/>
    </row>
    <row r="5670" spans="5:5" x14ac:dyDescent="0.25">
      <c r="E5670"/>
    </row>
    <row r="5671" spans="5:5" x14ac:dyDescent="0.25">
      <c r="E5671"/>
    </row>
    <row r="5672" spans="5:5" x14ac:dyDescent="0.25">
      <c r="E5672"/>
    </row>
    <row r="5673" spans="5:5" x14ac:dyDescent="0.25">
      <c r="E5673"/>
    </row>
    <row r="5674" spans="5:5" x14ac:dyDescent="0.25">
      <c r="E5674"/>
    </row>
    <row r="5675" spans="5:5" x14ac:dyDescent="0.25">
      <c r="E5675"/>
    </row>
    <row r="5676" spans="5:5" x14ac:dyDescent="0.25">
      <c r="E5676"/>
    </row>
    <row r="5677" spans="5:5" x14ac:dyDescent="0.25">
      <c r="E5677"/>
    </row>
    <row r="5678" spans="5:5" x14ac:dyDescent="0.25">
      <c r="E5678"/>
    </row>
    <row r="5679" spans="5:5" x14ac:dyDescent="0.25">
      <c r="E5679"/>
    </row>
    <row r="5680" spans="5:5" x14ac:dyDescent="0.25">
      <c r="E5680"/>
    </row>
    <row r="5681" spans="5:5" x14ac:dyDescent="0.25">
      <c r="E5681"/>
    </row>
    <row r="5682" spans="5:5" x14ac:dyDescent="0.25">
      <c r="E5682"/>
    </row>
    <row r="5683" spans="5:5" x14ac:dyDescent="0.25">
      <c r="E5683"/>
    </row>
    <row r="5684" spans="5:5" x14ac:dyDescent="0.25">
      <c r="E5684"/>
    </row>
    <row r="5685" spans="5:5" x14ac:dyDescent="0.25">
      <c r="E5685"/>
    </row>
    <row r="5686" spans="5:5" x14ac:dyDescent="0.25">
      <c r="E5686"/>
    </row>
    <row r="5687" spans="5:5" x14ac:dyDescent="0.25">
      <c r="E5687"/>
    </row>
    <row r="5688" spans="5:5" x14ac:dyDescent="0.25">
      <c r="E5688"/>
    </row>
    <row r="5689" spans="5:5" x14ac:dyDescent="0.25">
      <c r="E5689"/>
    </row>
    <row r="5690" spans="5:5" x14ac:dyDescent="0.25">
      <c r="E5690"/>
    </row>
    <row r="5691" spans="5:5" x14ac:dyDescent="0.25">
      <c r="E5691"/>
    </row>
    <row r="5692" spans="5:5" x14ac:dyDescent="0.25">
      <c r="E5692"/>
    </row>
    <row r="5693" spans="5:5" x14ac:dyDescent="0.25">
      <c r="E5693"/>
    </row>
    <row r="5694" spans="5:5" x14ac:dyDescent="0.25">
      <c r="E5694"/>
    </row>
    <row r="5695" spans="5:5" x14ac:dyDescent="0.25">
      <c r="E5695"/>
    </row>
    <row r="5696" spans="5:5" x14ac:dyDescent="0.25">
      <c r="E5696"/>
    </row>
    <row r="5697" spans="5:5" x14ac:dyDescent="0.25">
      <c r="E5697"/>
    </row>
    <row r="5698" spans="5:5" x14ac:dyDescent="0.25">
      <c r="E5698"/>
    </row>
    <row r="5699" spans="5:5" x14ac:dyDescent="0.25">
      <c r="E5699"/>
    </row>
    <row r="5700" spans="5:5" x14ac:dyDescent="0.25">
      <c r="E5700"/>
    </row>
    <row r="5701" spans="5:5" x14ac:dyDescent="0.25">
      <c r="E5701"/>
    </row>
    <row r="5702" spans="5:5" x14ac:dyDescent="0.25">
      <c r="E5702"/>
    </row>
    <row r="5703" spans="5:5" x14ac:dyDescent="0.25">
      <c r="E5703"/>
    </row>
    <row r="5704" spans="5:5" x14ac:dyDescent="0.25">
      <c r="E5704"/>
    </row>
    <row r="5705" spans="5:5" x14ac:dyDescent="0.25">
      <c r="E5705"/>
    </row>
    <row r="5706" spans="5:5" x14ac:dyDescent="0.25">
      <c r="E5706"/>
    </row>
    <row r="5707" spans="5:5" x14ac:dyDescent="0.25">
      <c r="E5707"/>
    </row>
    <row r="5708" spans="5:5" x14ac:dyDescent="0.25">
      <c r="E5708"/>
    </row>
    <row r="5709" spans="5:5" x14ac:dyDescent="0.25">
      <c r="E5709"/>
    </row>
    <row r="5710" spans="5:5" x14ac:dyDescent="0.25">
      <c r="E5710"/>
    </row>
    <row r="5711" spans="5:5" x14ac:dyDescent="0.25">
      <c r="E5711"/>
    </row>
    <row r="5712" spans="5:5" x14ac:dyDescent="0.25">
      <c r="E5712"/>
    </row>
    <row r="5713" spans="5:5" x14ac:dyDescent="0.25">
      <c r="E5713"/>
    </row>
    <row r="5714" spans="5:5" x14ac:dyDescent="0.25">
      <c r="E5714"/>
    </row>
    <row r="5715" spans="5:5" x14ac:dyDescent="0.25">
      <c r="E5715"/>
    </row>
    <row r="5716" spans="5:5" x14ac:dyDescent="0.25">
      <c r="E5716"/>
    </row>
    <row r="5717" spans="5:5" x14ac:dyDescent="0.25">
      <c r="E5717"/>
    </row>
    <row r="5718" spans="5:5" x14ac:dyDescent="0.25">
      <c r="E5718"/>
    </row>
    <row r="5719" spans="5:5" x14ac:dyDescent="0.25">
      <c r="E5719"/>
    </row>
    <row r="5720" spans="5:5" x14ac:dyDescent="0.25">
      <c r="E5720"/>
    </row>
    <row r="5721" spans="5:5" x14ac:dyDescent="0.25">
      <c r="E5721"/>
    </row>
    <row r="5722" spans="5:5" x14ac:dyDescent="0.25">
      <c r="E5722"/>
    </row>
    <row r="5723" spans="5:5" x14ac:dyDescent="0.25">
      <c r="E5723"/>
    </row>
    <row r="5724" spans="5:5" x14ac:dyDescent="0.25">
      <c r="E5724"/>
    </row>
    <row r="5725" spans="5:5" x14ac:dyDescent="0.25">
      <c r="E5725"/>
    </row>
    <row r="5726" spans="5:5" x14ac:dyDescent="0.25">
      <c r="E5726"/>
    </row>
    <row r="5727" spans="5:5" x14ac:dyDescent="0.25">
      <c r="E5727"/>
    </row>
    <row r="5728" spans="5:5" x14ac:dyDescent="0.25">
      <c r="E5728"/>
    </row>
    <row r="5729" spans="5:5" x14ac:dyDescent="0.25">
      <c r="E5729"/>
    </row>
    <row r="5730" spans="5:5" x14ac:dyDescent="0.25">
      <c r="E5730"/>
    </row>
    <row r="5731" spans="5:5" x14ac:dyDescent="0.25">
      <c r="E5731"/>
    </row>
    <row r="5732" spans="5:5" x14ac:dyDescent="0.25">
      <c r="E5732"/>
    </row>
    <row r="5733" spans="5:5" x14ac:dyDescent="0.25">
      <c r="E5733"/>
    </row>
    <row r="5734" spans="5:5" x14ac:dyDescent="0.25">
      <c r="E5734"/>
    </row>
    <row r="5735" spans="5:5" x14ac:dyDescent="0.25">
      <c r="E5735"/>
    </row>
    <row r="5736" spans="5:5" x14ac:dyDescent="0.25">
      <c r="E5736"/>
    </row>
    <row r="5737" spans="5:5" x14ac:dyDescent="0.25">
      <c r="E5737"/>
    </row>
    <row r="5738" spans="5:5" x14ac:dyDescent="0.25">
      <c r="E5738"/>
    </row>
    <row r="5739" spans="5:5" x14ac:dyDescent="0.25">
      <c r="E5739"/>
    </row>
    <row r="5740" spans="5:5" x14ac:dyDescent="0.25">
      <c r="E5740"/>
    </row>
    <row r="5741" spans="5:5" x14ac:dyDescent="0.25">
      <c r="E5741"/>
    </row>
    <row r="5742" spans="5:5" x14ac:dyDescent="0.25">
      <c r="E5742"/>
    </row>
    <row r="5743" spans="5:5" x14ac:dyDescent="0.25">
      <c r="E5743"/>
    </row>
    <row r="5744" spans="5:5" x14ac:dyDescent="0.25">
      <c r="E5744"/>
    </row>
    <row r="5745" spans="5:5" x14ac:dyDescent="0.25">
      <c r="E5745"/>
    </row>
    <row r="5746" spans="5:5" x14ac:dyDescent="0.25">
      <c r="E5746"/>
    </row>
    <row r="5747" spans="5:5" x14ac:dyDescent="0.25">
      <c r="E5747"/>
    </row>
    <row r="5748" spans="5:5" x14ac:dyDescent="0.25">
      <c r="E5748"/>
    </row>
    <row r="5749" spans="5:5" x14ac:dyDescent="0.25">
      <c r="E5749"/>
    </row>
    <row r="5750" spans="5:5" x14ac:dyDescent="0.25">
      <c r="E5750"/>
    </row>
    <row r="5751" spans="5:5" x14ac:dyDescent="0.25">
      <c r="E5751"/>
    </row>
    <row r="5752" spans="5:5" x14ac:dyDescent="0.25">
      <c r="E5752"/>
    </row>
    <row r="5753" spans="5:5" x14ac:dyDescent="0.25">
      <c r="E5753"/>
    </row>
    <row r="5754" spans="5:5" x14ac:dyDescent="0.25">
      <c r="E5754"/>
    </row>
    <row r="5755" spans="5:5" x14ac:dyDescent="0.25">
      <c r="E5755"/>
    </row>
    <row r="5756" spans="5:5" x14ac:dyDescent="0.25">
      <c r="E5756"/>
    </row>
    <row r="5757" spans="5:5" x14ac:dyDescent="0.25">
      <c r="E5757"/>
    </row>
    <row r="5758" spans="5:5" x14ac:dyDescent="0.25">
      <c r="E5758"/>
    </row>
    <row r="5759" spans="5:5" x14ac:dyDescent="0.25">
      <c r="E5759"/>
    </row>
    <row r="5760" spans="5:5" x14ac:dyDescent="0.25">
      <c r="E5760"/>
    </row>
    <row r="5761" spans="5:5" x14ac:dyDescent="0.25">
      <c r="E5761"/>
    </row>
    <row r="5762" spans="5:5" x14ac:dyDescent="0.25">
      <c r="E5762"/>
    </row>
    <row r="5763" spans="5:5" x14ac:dyDescent="0.25">
      <c r="E5763"/>
    </row>
    <row r="5764" spans="5:5" x14ac:dyDescent="0.25">
      <c r="E5764"/>
    </row>
    <row r="5765" spans="5:5" x14ac:dyDescent="0.25">
      <c r="E5765"/>
    </row>
    <row r="5766" spans="5:5" x14ac:dyDescent="0.25">
      <c r="E5766"/>
    </row>
    <row r="5767" spans="5:5" x14ac:dyDescent="0.25">
      <c r="E5767"/>
    </row>
    <row r="5768" spans="5:5" x14ac:dyDescent="0.25">
      <c r="E5768"/>
    </row>
    <row r="5769" spans="5:5" x14ac:dyDescent="0.25">
      <c r="E5769"/>
    </row>
    <row r="5770" spans="5:5" x14ac:dyDescent="0.25">
      <c r="E5770"/>
    </row>
    <row r="5771" spans="5:5" x14ac:dyDescent="0.25">
      <c r="E5771"/>
    </row>
    <row r="5772" spans="5:5" x14ac:dyDescent="0.25">
      <c r="E5772"/>
    </row>
    <row r="5773" spans="5:5" x14ac:dyDescent="0.25">
      <c r="E5773"/>
    </row>
    <row r="5774" spans="5:5" x14ac:dyDescent="0.25">
      <c r="E5774"/>
    </row>
    <row r="5775" spans="5:5" x14ac:dyDescent="0.25">
      <c r="E5775"/>
    </row>
    <row r="5776" spans="5:5" x14ac:dyDescent="0.25">
      <c r="E5776"/>
    </row>
    <row r="5777" spans="5:5" x14ac:dyDescent="0.25">
      <c r="E5777"/>
    </row>
    <row r="5778" spans="5:5" x14ac:dyDescent="0.25">
      <c r="E5778"/>
    </row>
    <row r="5779" spans="5:5" x14ac:dyDescent="0.25">
      <c r="E5779"/>
    </row>
    <row r="5780" spans="5:5" x14ac:dyDescent="0.25">
      <c r="E5780"/>
    </row>
    <row r="5781" spans="5:5" x14ac:dyDescent="0.25">
      <c r="E5781"/>
    </row>
    <row r="5782" spans="5:5" x14ac:dyDescent="0.25">
      <c r="E5782"/>
    </row>
    <row r="5783" spans="5:5" x14ac:dyDescent="0.25">
      <c r="E5783"/>
    </row>
    <row r="5784" spans="5:5" x14ac:dyDescent="0.25">
      <c r="E5784"/>
    </row>
    <row r="5785" spans="5:5" x14ac:dyDescent="0.25">
      <c r="E5785"/>
    </row>
    <row r="5786" spans="5:5" x14ac:dyDescent="0.25">
      <c r="E5786"/>
    </row>
    <row r="5787" spans="5:5" x14ac:dyDescent="0.25">
      <c r="E5787"/>
    </row>
    <row r="5788" spans="5:5" x14ac:dyDescent="0.25">
      <c r="E5788"/>
    </row>
    <row r="5789" spans="5:5" x14ac:dyDescent="0.25">
      <c r="E5789"/>
    </row>
    <row r="5790" spans="5:5" x14ac:dyDescent="0.25">
      <c r="E5790"/>
    </row>
    <row r="5791" spans="5:5" x14ac:dyDescent="0.25">
      <c r="E5791"/>
    </row>
    <row r="5792" spans="5:5" x14ac:dyDescent="0.25">
      <c r="E5792"/>
    </row>
    <row r="5793" spans="5:5" x14ac:dyDescent="0.25">
      <c r="E5793"/>
    </row>
    <row r="5794" spans="5:5" x14ac:dyDescent="0.25">
      <c r="E5794"/>
    </row>
    <row r="5795" spans="5:5" x14ac:dyDescent="0.25">
      <c r="E5795"/>
    </row>
    <row r="5796" spans="5:5" x14ac:dyDescent="0.25">
      <c r="E5796"/>
    </row>
    <row r="5797" spans="5:5" x14ac:dyDescent="0.25">
      <c r="E5797"/>
    </row>
    <row r="5798" spans="5:5" x14ac:dyDescent="0.25">
      <c r="E5798"/>
    </row>
    <row r="5799" spans="5:5" x14ac:dyDescent="0.25">
      <c r="E5799"/>
    </row>
    <row r="5800" spans="5:5" x14ac:dyDescent="0.25">
      <c r="E5800"/>
    </row>
    <row r="5801" spans="5:5" x14ac:dyDescent="0.25">
      <c r="E5801"/>
    </row>
    <row r="5802" spans="5:5" x14ac:dyDescent="0.25">
      <c r="E5802"/>
    </row>
    <row r="5803" spans="5:5" x14ac:dyDescent="0.25">
      <c r="E5803"/>
    </row>
    <row r="5804" spans="5:5" x14ac:dyDescent="0.25">
      <c r="E5804"/>
    </row>
    <row r="5805" spans="5:5" x14ac:dyDescent="0.25">
      <c r="E5805"/>
    </row>
    <row r="5806" spans="5:5" x14ac:dyDescent="0.25">
      <c r="E5806"/>
    </row>
    <row r="5807" spans="5:5" x14ac:dyDescent="0.25">
      <c r="E5807"/>
    </row>
    <row r="5808" spans="5:5" x14ac:dyDescent="0.25">
      <c r="E5808"/>
    </row>
    <row r="5809" spans="5:5" x14ac:dyDescent="0.25">
      <c r="E5809"/>
    </row>
    <row r="5810" spans="5:5" x14ac:dyDescent="0.25">
      <c r="E5810"/>
    </row>
    <row r="5811" spans="5:5" x14ac:dyDescent="0.25">
      <c r="E5811"/>
    </row>
    <row r="5812" spans="5:5" x14ac:dyDescent="0.25">
      <c r="E5812"/>
    </row>
    <row r="5813" spans="5:5" x14ac:dyDescent="0.25">
      <c r="E5813"/>
    </row>
    <row r="5814" spans="5:5" x14ac:dyDescent="0.25">
      <c r="E5814"/>
    </row>
    <row r="5815" spans="5:5" x14ac:dyDescent="0.25">
      <c r="E5815"/>
    </row>
    <row r="5816" spans="5:5" x14ac:dyDescent="0.25">
      <c r="E5816"/>
    </row>
    <row r="5817" spans="5:5" x14ac:dyDescent="0.25">
      <c r="E5817"/>
    </row>
    <row r="5818" spans="5:5" x14ac:dyDescent="0.25">
      <c r="E5818"/>
    </row>
    <row r="5819" spans="5:5" x14ac:dyDescent="0.25">
      <c r="E5819"/>
    </row>
    <row r="5820" spans="5:5" x14ac:dyDescent="0.25">
      <c r="E5820"/>
    </row>
    <row r="5821" spans="5:5" x14ac:dyDescent="0.25">
      <c r="E5821"/>
    </row>
    <row r="5822" spans="5:5" x14ac:dyDescent="0.25">
      <c r="E5822"/>
    </row>
    <row r="5823" spans="5:5" x14ac:dyDescent="0.25">
      <c r="E5823"/>
    </row>
    <row r="5824" spans="5:5" x14ac:dyDescent="0.25">
      <c r="E5824"/>
    </row>
    <row r="5825" spans="5:5" x14ac:dyDescent="0.25">
      <c r="E5825"/>
    </row>
    <row r="5826" spans="5:5" x14ac:dyDescent="0.25">
      <c r="E5826"/>
    </row>
    <row r="5827" spans="5:5" x14ac:dyDescent="0.25">
      <c r="E5827"/>
    </row>
    <row r="5828" spans="5:5" x14ac:dyDescent="0.25">
      <c r="E5828"/>
    </row>
    <row r="5829" spans="5:5" x14ac:dyDescent="0.25">
      <c r="E5829"/>
    </row>
    <row r="5830" spans="5:5" x14ac:dyDescent="0.25">
      <c r="E5830"/>
    </row>
    <row r="5831" spans="5:5" x14ac:dyDescent="0.25">
      <c r="E5831"/>
    </row>
    <row r="5832" spans="5:5" x14ac:dyDescent="0.25">
      <c r="E5832"/>
    </row>
    <row r="5833" spans="5:5" x14ac:dyDescent="0.25">
      <c r="E5833"/>
    </row>
    <row r="5834" spans="5:5" x14ac:dyDescent="0.25">
      <c r="E5834"/>
    </row>
    <row r="5835" spans="5:5" x14ac:dyDescent="0.25">
      <c r="E5835"/>
    </row>
    <row r="5836" spans="5:5" x14ac:dyDescent="0.25">
      <c r="E5836"/>
    </row>
    <row r="5837" spans="5:5" x14ac:dyDescent="0.25">
      <c r="E5837"/>
    </row>
    <row r="5838" spans="5:5" x14ac:dyDescent="0.25">
      <c r="E5838"/>
    </row>
    <row r="5839" spans="5:5" x14ac:dyDescent="0.25">
      <c r="E5839"/>
    </row>
    <row r="5840" spans="5:5" x14ac:dyDescent="0.25">
      <c r="E5840"/>
    </row>
    <row r="5841" spans="5:5" x14ac:dyDescent="0.25">
      <c r="E5841"/>
    </row>
    <row r="5842" spans="5:5" x14ac:dyDescent="0.25">
      <c r="E5842"/>
    </row>
    <row r="5843" spans="5:5" x14ac:dyDescent="0.25">
      <c r="E5843"/>
    </row>
    <row r="5844" spans="5:5" x14ac:dyDescent="0.25">
      <c r="E5844"/>
    </row>
    <row r="5845" spans="5:5" x14ac:dyDescent="0.25">
      <c r="E5845"/>
    </row>
    <row r="5846" spans="5:5" x14ac:dyDescent="0.25">
      <c r="E5846"/>
    </row>
    <row r="5847" spans="5:5" x14ac:dyDescent="0.25">
      <c r="E5847"/>
    </row>
    <row r="5848" spans="5:5" x14ac:dyDescent="0.25">
      <c r="E5848"/>
    </row>
    <row r="5849" spans="5:5" x14ac:dyDescent="0.25">
      <c r="E5849"/>
    </row>
    <row r="5850" spans="5:5" x14ac:dyDescent="0.25">
      <c r="E5850"/>
    </row>
    <row r="5851" spans="5:5" x14ac:dyDescent="0.25">
      <c r="E5851"/>
    </row>
    <row r="5852" spans="5:5" x14ac:dyDescent="0.25">
      <c r="E5852"/>
    </row>
    <row r="5853" spans="5:5" x14ac:dyDescent="0.25">
      <c r="E5853"/>
    </row>
    <row r="5854" spans="5:5" x14ac:dyDescent="0.25">
      <c r="E5854"/>
    </row>
    <row r="5855" spans="5:5" x14ac:dyDescent="0.25">
      <c r="E5855"/>
    </row>
    <row r="5856" spans="5:5" x14ac:dyDescent="0.25">
      <c r="E5856"/>
    </row>
    <row r="5857" spans="5:5" x14ac:dyDescent="0.25">
      <c r="E5857"/>
    </row>
    <row r="5858" spans="5:5" x14ac:dyDescent="0.25">
      <c r="E5858"/>
    </row>
    <row r="5859" spans="5:5" x14ac:dyDescent="0.25">
      <c r="E5859"/>
    </row>
    <row r="5860" spans="5:5" x14ac:dyDescent="0.25">
      <c r="E5860"/>
    </row>
    <row r="5861" spans="5:5" x14ac:dyDescent="0.25">
      <c r="E5861"/>
    </row>
    <row r="5862" spans="5:5" x14ac:dyDescent="0.25">
      <c r="E5862"/>
    </row>
    <row r="5863" spans="5:5" x14ac:dyDescent="0.25">
      <c r="E5863"/>
    </row>
    <row r="5864" spans="5:5" x14ac:dyDescent="0.25">
      <c r="E5864"/>
    </row>
    <row r="5865" spans="5:5" x14ac:dyDescent="0.25">
      <c r="E5865"/>
    </row>
    <row r="5866" spans="5:5" x14ac:dyDescent="0.25">
      <c r="E5866"/>
    </row>
    <row r="5867" spans="5:5" x14ac:dyDescent="0.25">
      <c r="E5867"/>
    </row>
    <row r="5868" spans="5:5" x14ac:dyDescent="0.25">
      <c r="E5868"/>
    </row>
    <row r="5869" spans="5:5" x14ac:dyDescent="0.25">
      <c r="E5869"/>
    </row>
    <row r="5870" spans="5:5" x14ac:dyDescent="0.25">
      <c r="E5870"/>
    </row>
    <row r="5871" spans="5:5" x14ac:dyDescent="0.25">
      <c r="E5871"/>
    </row>
    <row r="5872" spans="5:5" x14ac:dyDescent="0.25">
      <c r="E5872"/>
    </row>
    <row r="5873" spans="5:5" x14ac:dyDescent="0.25">
      <c r="E5873"/>
    </row>
    <row r="5874" spans="5:5" x14ac:dyDescent="0.25">
      <c r="E5874"/>
    </row>
    <row r="5875" spans="5:5" x14ac:dyDescent="0.25">
      <c r="E5875"/>
    </row>
    <row r="5876" spans="5:5" x14ac:dyDescent="0.25">
      <c r="E5876"/>
    </row>
    <row r="5877" spans="5:5" x14ac:dyDescent="0.25">
      <c r="E5877"/>
    </row>
    <row r="5878" spans="5:5" x14ac:dyDescent="0.25">
      <c r="E5878"/>
    </row>
    <row r="5879" spans="5:5" x14ac:dyDescent="0.25">
      <c r="E5879"/>
    </row>
    <row r="5880" spans="5:5" x14ac:dyDescent="0.25">
      <c r="E5880"/>
    </row>
    <row r="5881" spans="5:5" x14ac:dyDescent="0.25">
      <c r="E5881"/>
    </row>
    <row r="5882" spans="5:5" x14ac:dyDescent="0.25">
      <c r="E5882"/>
    </row>
    <row r="5883" spans="5:5" x14ac:dyDescent="0.25">
      <c r="E5883"/>
    </row>
    <row r="5884" spans="5:5" x14ac:dyDescent="0.25">
      <c r="E5884"/>
    </row>
    <row r="5885" spans="5:5" x14ac:dyDescent="0.25">
      <c r="E5885"/>
    </row>
    <row r="5886" spans="5:5" x14ac:dyDescent="0.25">
      <c r="E5886"/>
    </row>
    <row r="5887" spans="5:5" x14ac:dyDescent="0.25">
      <c r="E5887"/>
    </row>
    <row r="5888" spans="5:5" x14ac:dyDescent="0.25">
      <c r="E5888"/>
    </row>
    <row r="5889" spans="5:5" x14ac:dyDescent="0.25">
      <c r="E5889"/>
    </row>
    <row r="5890" spans="5:5" x14ac:dyDescent="0.25">
      <c r="E5890"/>
    </row>
    <row r="5891" spans="5:5" x14ac:dyDescent="0.25">
      <c r="E5891"/>
    </row>
    <row r="5892" spans="5:5" x14ac:dyDescent="0.25">
      <c r="E5892"/>
    </row>
    <row r="5893" spans="5:5" x14ac:dyDescent="0.25">
      <c r="E5893"/>
    </row>
    <row r="5894" spans="5:5" x14ac:dyDescent="0.25">
      <c r="E5894"/>
    </row>
    <row r="5895" spans="5:5" x14ac:dyDescent="0.25">
      <c r="E5895"/>
    </row>
    <row r="5896" spans="5:5" x14ac:dyDescent="0.25">
      <c r="E5896"/>
    </row>
    <row r="5897" spans="5:5" x14ac:dyDescent="0.25">
      <c r="E5897"/>
    </row>
    <row r="5898" spans="5:5" x14ac:dyDescent="0.25">
      <c r="E5898"/>
    </row>
    <row r="5899" spans="5:5" x14ac:dyDescent="0.25">
      <c r="E5899"/>
    </row>
    <row r="5900" spans="5:5" x14ac:dyDescent="0.25">
      <c r="E5900"/>
    </row>
    <row r="5901" spans="5:5" x14ac:dyDescent="0.25">
      <c r="E5901"/>
    </row>
    <row r="5902" spans="5:5" x14ac:dyDescent="0.25">
      <c r="E5902"/>
    </row>
    <row r="5903" spans="5:5" x14ac:dyDescent="0.25">
      <c r="E5903"/>
    </row>
    <row r="5904" spans="5:5" x14ac:dyDescent="0.25">
      <c r="E5904"/>
    </row>
    <row r="5905" spans="5:5" x14ac:dyDescent="0.25">
      <c r="E5905"/>
    </row>
    <row r="5906" spans="5:5" x14ac:dyDescent="0.25">
      <c r="E5906"/>
    </row>
    <row r="5907" spans="5:5" x14ac:dyDescent="0.25">
      <c r="E5907"/>
    </row>
    <row r="5908" spans="5:5" x14ac:dyDescent="0.25">
      <c r="E5908"/>
    </row>
    <row r="5909" spans="5:5" x14ac:dyDescent="0.25">
      <c r="E5909"/>
    </row>
    <row r="5910" spans="5:5" x14ac:dyDescent="0.25">
      <c r="E5910"/>
    </row>
    <row r="5911" spans="5:5" x14ac:dyDescent="0.25">
      <c r="E5911"/>
    </row>
    <row r="5912" spans="5:5" x14ac:dyDescent="0.25">
      <c r="E5912"/>
    </row>
    <row r="5913" spans="5:5" x14ac:dyDescent="0.25">
      <c r="E5913"/>
    </row>
    <row r="5914" spans="5:5" x14ac:dyDescent="0.25">
      <c r="E5914"/>
    </row>
    <row r="5915" spans="5:5" x14ac:dyDescent="0.25">
      <c r="E5915"/>
    </row>
    <row r="5916" spans="5:5" x14ac:dyDescent="0.25">
      <c r="E5916"/>
    </row>
    <row r="5917" spans="5:5" x14ac:dyDescent="0.25">
      <c r="E5917"/>
    </row>
    <row r="5918" spans="5:5" x14ac:dyDescent="0.25">
      <c r="E5918"/>
    </row>
    <row r="5919" spans="5:5" x14ac:dyDescent="0.25">
      <c r="E5919"/>
    </row>
    <row r="5920" spans="5:5" x14ac:dyDescent="0.25">
      <c r="E5920"/>
    </row>
    <row r="5921" spans="5:5" x14ac:dyDescent="0.25">
      <c r="E5921"/>
    </row>
    <row r="5922" spans="5:5" x14ac:dyDescent="0.25">
      <c r="E5922"/>
    </row>
    <row r="5923" spans="5:5" x14ac:dyDescent="0.25">
      <c r="E5923"/>
    </row>
    <row r="5924" spans="5:5" x14ac:dyDescent="0.25">
      <c r="E5924"/>
    </row>
    <row r="5925" spans="5:5" x14ac:dyDescent="0.25">
      <c r="E5925"/>
    </row>
    <row r="5926" spans="5:5" x14ac:dyDescent="0.25">
      <c r="E5926"/>
    </row>
    <row r="5927" spans="5:5" x14ac:dyDescent="0.25">
      <c r="E5927"/>
    </row>
    <row r="5928" spans="5:5" x14ac:dyDescent="0.25">
      <c r="E5928"/>
    </row>
    <row r="5929" spans="5:5" x14ac:dyDescent="0.25">
      <c r="E5929"/>
    </row>
    <row r="5930" spans="5:5" x14ac:dyDescent="0.25">
      <c r="E5930"/>
    </row>
    <row r="5931" spans="5:5" x14ac:dyDescent="0.25">
      <c r="E5931"/>
    </row>
    <row r="5932" spans="5:5" x14ac:dyDescent="0.25">
      <c r="E5932"/>
    </row>
    <row r="5933" spans="5:5" x14ac:dyDescent="0.25">
      <c r="E5933"/>
    </row>
    <row r="5934" spans="5:5" x14ac:dyDescent="0.25">
      <c r="E5934"/>
    </row>
    <row r="5935" spans="5:5" x14ac:dyDescent="0.25">
      <c r="E5935"/>
    </row>
    <row r="5936" spans="5:5" x14ac:dyDescent="0.25">
      <c r="E5936"/>
    </row>
    <row r="5937" spans="5:5" x14ac:dyDescent="0.25">
      <c r="E5937"/>
    </row>
    <row r="5938" spans="5:5" x14ac:dyDescent="0.25">
      <c r="E5938"/>
    </row>
    <row r="5939" spans="5:5" x14ac:dyDescent="0.25">
      <c r="E5939"/>
    </row>
    <row r="5940" spans="5:5" x14ac:dyDescent="0.25">
      <c r="E5940"/>
    </row>
    <row r="5941" spans="5:5" x14ac:dyDescent="0.25">
      <c r="E5941"/>
    </row>
    <row r="5942" spans="5:5" x14ac:dyDescent="0.25">
      <c r="E5942"/>
    </row>
    <row r="5943" spans="5:5" x14ac:dyDescent="0.25">
      <c r="E5943"/>
    </row>
    <row r="5944" spans="5:5" x14ac:dyDescent="0.25">
      <c r="E5944"/>
    </row>
    <row r="5945" spans="5:5" x14ac:dyDescent="0.25">
      <c r="E5945"/>
    </row>
    <row r="5946" spans="5:5" x14ac:dyDescent="0.25">
      <c r="E5946"/>
    </row>
    <row r="5947" spans="5:5" x14ac:dyDescent="0.25">
      <c r="E5947"/>
    </row>
    <row r="5948" spans="5:5" x14ac:dyDescent="0.25">
      <c r="E5948"/>
    </row>
    <row r="5949" spans="5:5" x14ac:dyDescent="0.25">
      <c r="E5949"/>
    </row>
    <row r="5950" spans="5:5" x14ac:dyDescent="0.25">
      <c r="E5950"/>
    </row>
    <row r="5951" spans="5:5" x14ac:dyDescent="0.25">
      <c r="E5951"/>
    </row>
    <row r="5952" spans="5:5" x14ac:dyDescent="0.25">
      <c r="E5952"/>
    </row>
    <row r="5953" spans="5:5" x14ac:dyDescent="0.25">
      <c r="E5953"/>
    </row>
    <row r="5954" spans="5:5" x14ac:dyDescent="0.25">
      <c r="E5954"/>
    </row>
    <row r="5955" spans="5:5" x14ac:dyDescent="0.25">
      <c r="E5955"/>
    </row>
    <row r="5956" spans="5:5" x14ac:dyDescent="0.25">
      <c r="E5956"/>
    </row>
    <row r="5957" spans="5:5" x14ac:dyDescent="0.25">
      <c r="E5957"/>
    </row>
    <row r="5958" spans="5:5" x14ac:dyDescent="0.25">
      <c r="E5958"/>
    </row>
    <row r="5959" spans="5:5" x14ac:dyDescent="0.25">
      <c r="E5959"/>
    </row>
    <row r="5960" spans="5:5" x14ac:dyDescent="0.25">
      <c r="E5960"/>
    </row>
    <row r="5961" spans="5:5" x14ac:dyDescent="0.25">
      <c r="E5961"/>
    </row>
    <row r="5962" spans="5:5" x14ac:dyDescent="0.25">
      <c r="E5962"/>
    </row>
    <row r="5963" spans="5:5" x14ac:dyDescent="0.25">
      <c r="E5963"/>
    </row>
    <row r="5964" spans="5:5" x14ac:dyDescent="0.25">
      <c r="E5964"/>
    </row>
    <row r="5965" spans="5:5" x14ac:dyDescent="0.25">
      <c r="E5965"/>
    </row>
    <row r="5966" spans="5:5" x14ac:dyDescent="0.25">
      <c r="E5966"/>
    </row>
    <row r="5967" spans="5:5" x14ac:dyDescent="0.25">
      <c r="E5967"/>
    </row>
    <row r="5968" spans="5:5" x14ac:dyDescent="0.25">
      <c r="E5968"/>
    </row>
    <row r="5969" spans="5:5" x14ac:dyDescent="0.25">
      <c r="E5969"/>
    </row>
    <row r="5970" spans="5:5" x14ac:dyDescent="0.25">
      <c r="E5970"/>
    </row>
    <row r="5971" spans="5:5" x14ac:dyDescent="0.25">
      <c r="E5971"/>
    </row>
    <row r="5972" spans="5:5" x14ac:dyDescent="0.25">
      <c r="E5972"/>
    </row>
    <row r="5973" spans="5:5" x14ac:dyDescent="0.25">
      <c r="E5973"/>
    </row>
    <row r="5974" spans="5:5" x14ac:dyDescent="0.25">
      <c r="E5974"/>
    </row>
    <row r="5975" spans="5:5" x14ac:dyDescent="0.25">
      <c r="E5975"/>
    </row>
    <row r="5976" spans="5:5" x14ac:dyDescent="0.25">
      <c r="E5976"/>
    </row>
    <row r="5977" spans="5:5" x14ac:dyDescent="0.25">
      <c r="E5977"/>
    </row>
    <row r="5978" spans="5:5" x14ac:dyDescent="0.25">
      <c r="E5978"/>
    </row>
    <row r="5979" spans="5:5" x14ac:dyDescent="0.25">
      <c r="E5979"/>
    </row>
    <row r="5980" spans="5:5" x14ac:dyDescent="0.25">
      <c r="E5980"/>
    </row>
    <row r="5981" spans="5:5" x14ac:dyDescent="0.25">
      <c r="E5981"/>
    </row>
    <row r="5982" spans="5:5" x14ac:dyDescent="0.25">
      <c r="E5982"/>
    </row>
    <row r="5983" spans="5:5" x14ac:dyDescent="0.25">
      <c r="E5983"/>
    </row>
    <row r="5984" spans="5:5" x14ac:dyDescent="0.25">
      <c r="E5984"/>
    </row>
    <row r="5985" spans="5:5" x14ac:dyDescent="0.25">
      <c r="E5985"/>
    </row>
    <row r="5986" spans="5:5" x14ac:dyDescent="0.25">
      <c r="E5986"/>
    </row>
    <row r="5987" spans="5:5" x14ac:dyDescent="0.25">
      <c r="E5987"/>
    </row>
    <row r="5988" spans="5:5" x14ac:dyDescent="0.25">
      <c r="E5988"/>
    </row>
    <row r="5989" spans="5:5" x14ac:dyDescent="0.25">
      <c r="E5989"/>
    </row>
    <row r="5990" spans="5:5" x14ac:dyDescent="0.25">
      <c r="E5990"/>
    </row>
    <row r="5991" spans="5:5" x14ac:dyDescent="0.25">
      <c r="E5991"/>
    </row>
    <row r="5992" spans="5:5" x14ac:dyDescent="0.25">
      <c r="E5992"/>
    </row>
    <row r="5993" spans="5:5" x14ac:dyDescent="0.25">
      <c r="E5993"/>
    </row>
    <row r="5994" spans="5:5" x14ac:dyDescent="0.25">
      <c r="E5994"/>
    </row>
    <row r="5995" spans="5:5" x14ac:dyDescent="0.25">
      <c r="E5995"/>
    </row>
    <row r="5996" spans="5:5" x14ac:dyDescent="0.25">
      <c r="E5996"/>
    </row>
    <row r="5997" spans="5:5" x14ac:dyDescent="0.25">
      <c r="E5997"/>
    </row>
    <row r="5998" spans="5:5" x14ac:dyDescent="0.25">
      <c r="E5998"/>
    </row>
    <row r="5999" spans="5:5" x14ac:dyDescent="0.25">
      <c r="E5999"/>
    </row>
    <row r="6000" spans="5:5" x14ac:dyDescent="0.25">
      <c r="E6000"/>
    </row>
    <row r="6001" spans="5:5" x14ac:dyDescent="0.25">
      <c r="E6001"/>
    </row>
    <row r="6002" spans="5:5" x14ac:dyDescent="0.25">
      <c r="E6002"/>
    </row>
    <row r="6003" spans="5:5" x14ac:dyDescent="0.25">
      <c r="E6003"/>
    </row>
    <row r="6004" spans="5:5" x14ac:dyDescent="0.25">
      <c r="E6004"/>
    </row>
    <row r="6005" spans="5:5" x14ac:dyDescent="0.25">
      <c r="E6005"/>
    </row>
    <row r="6006" spans="5:5" x14ac:dyDescent="0.25">
      <c r="E6006"/>
    </row>
    <row r="6007" spans="5:5" x14ac:dyDescent="0.25">
      <c r="E6007"/>
    </row>
    <row r="6008" spans="5:5" x14ac:dyDescent="0.25">
      <c r="E6008"/>
    </row>
    <row r="6009" spans="5:5" x14ac:dyDescent="0.25">
      <c r="E6009"/>
    </row>
    <row r="6010" spans="5:5" x14ac:dyDescent="0.25">
      <c r="E6010"/>
    </row>
    <row r="6011" spans="5:5" x14ac:dyDescent="0.25">
      <c r="E6011"/>
    </row>
    <row r="6012" spans="5:5" x14ac:dyDescent="0.25">
      <c r="E6012"/>
    </row>
    <row r="6013" spans="5:5" x14ac:dyDescent="0.25">
      <c r="E6013"/>
    </row>
    <row r="6014" spans="5:5" x14ac:dyDescent="0.25">
      <c r="E6014"/>
    </row>
    <row r="6015" spans="5:5" x14ac:dyDescent="0.25">
      <c r="E6015"/>
    </row>
    <row r="6016" spans="5:5" x14ac:dyDescent="0.25">
      <c r="E6016"/>
    </row>
    <row r="6017" spans="5:5" x14ac:dyDescent="0.25">
      <c r="E6017"/>
    </row>
    <row r="6018" spans="5:5" x14ac:dyDescent="0.25">
      <c r="E6018"/>
    </row>
    <row r="6019" spans="5:5" x14ac:dyDescent="0.25">
      <c r="E6019"/>
    </row>
    <row r="6020" spans="5:5" x14ac:dyDescent="0.25">
      <c r="E6020"/>
    </row>
    <row r="6021" spans="5:5" x14ac:dyDescent="0.25">
      <c r="E6021"/>
    </row>
    <row r="6022" spans="5:5" x14ac:dyDescent="0.25">
      <c r="E6022"/>
    </row>
    <row r="6023" spans="5:5" x14ac:dyDescent="0.25">
      <c r="E6023"/>
    </row>
    <row r="6024" spans="5:5" x14ac:dyDescent="0.25">
      <c r="E6024"/>
    </row>
    <row r="6025" spans="5:5" x14ac:dyDescent="0.25">
      <c r="E6025"/>
    </row>
    <row r="6026" spans="5:5" x14ac:dyDescent="0.25">
      <c r="E6026"/>
    </row>
    <row r="6027" spans="5:5" x14ac:dyDescent="0.25">
      <c r="E6027"/>
    </row>
    <row r="6028" spans="5:5" x14ac:dyDescent="0.25">
      <c r="E6028"/>
    </row>
    <row r="6029" spans="5:5" x14ac:dyDescent="0.25">
      <c r="E6029"/>
    </row>
    <row r="6030" spans="5:5" x14ac:dyDescent="0.25">
      <c r="E6030"/>
    </row>
    <row r="6031" spans="5:5" x14ac:dyDescent="0.25">
      <c r="E6031"/>
    </row>
    <row r="6032" spans="5:5" x14ac:dyDescent="0.25">
      <c r="E6032"/>
    </row>
    <row r="6033" spans="5:5" x14ac:dyDescent="0.25">
      <c r="E6033"/>
    </row>
    <row r="6034" spans="5:5" x14ac:dyDescent="0.25">
      <c r="E6034"/>
    </row>
    <row r="6035" spans="5:5" x14ac:dyDescent="0.25">
      <c r="E6035"/>
    </row>
    <row r="6036" spans="5:5" x14ac:dyDescent="0.25">
      <c r="E6036"/>
    </row>
    <row r="6037" spans="5:5" x14ac:dyDescent="0.25">
      <c r="E6037"/>
    </row>
    <row r="6038" spans="5:5" x14ac:dyDescent="0.25">
      <c r="E6038"/>
    </row>
    <row r="6039" spans="5:5" x14ac:dyDescent="0.25">
      <c r="E6039"/>
    </row>
    <row r="6040" spans="5:5" x14ac:dyDescent="0.25">
      <c r="E6040"/>
    </row>
    <row r="6041" spans="5:5" x14ac:dyDescent="0.25">
      <c r="E6041"/>
    </row>
    <row r="6042" spans="5:5" x14ac:dyDescent="0.25">
      <c r="E6042"/>
    </row>
    <row r="6043" spans="5:5" x14ac:dyDescent="0.25">
      <c r="E6043"/>
    </row>
    <row r="6044" spans="5:5" x14ac:dyDescent="0.25">
      <c r="E6044"/>
    </row>
    <row r="6045" spans="5:5" x14ac:dyDescent="0.25">
      <c r="E6045"/>
    </row>
    <row r="6046" spans="5:5" x14ac:dyDescent="0.25">
      <c r="E6046"/>
    </row>
    <row r="6047" spans="5:5" x14ac:dyDescent="0.25">
      <c r="E6047"/>
    </row>
    <row r="6048" spans="5:5" x14ac:dyDescent="0.25">
      <c r="E6048"/>
    </row>
    <row r="6049" spans="5:5" x14ac:dyDescent="0.25">
      <c r="E6049"/>
    </row>
    <row r="6050" spans="5:5" x14ac:dyDescent="0.25">
      <c r="E6050"/>
    </row>
    <row r="6051" spans="5:5" x14ac:dyDescent="0.25">
      <c r="E6051"/>
    </row>
    <row r="6052" spans="5:5" x14ac:dyDescent="0.25">
      <c r="E6052"/>
    </row>
    <row r="6053" spans="5:5" x14ac:dyDescent="0.25">
      <c r="E6053"/>
    </row>
    <row r="6054" spans="5:5" x14ac:dyDescent="0.25">
      <c r="E6054"/>
    </row>
    <row r="6055" spans="5:5" x14ac:dyDescent="0.25">
      <c r="E6055"/>
    </row>
    <row r="6056" spans="5:5" x14ac:dyDescent="0.25">
      <c r="E6056"/>
    </row>
    <row r="6057" spans="5:5" x14ac:dyDescent="0.25">
      <c r="E6057"/>
    </row>
    <row r="6058" spans="5:5" x14ac:dyDescent="0.25">
      <c r="E6058"/>
    </row>
    <row r="6059" spans="5:5" x14ac:dyDescent="0.25">
      <c r="E6059"/>
    </row>
    <row r="6060" spans="5:5" x14ac:dyDescent="0.25">
      <c r="E6060"/>
    </row>
    <row r="6061" spans="5:5" x14ac:dyDescent="0.25">
      <c r="E6061"/>
    </row>
    <row r="6062" spans="5:5" x14ac:dyDescent="0.25">
      <c r="E6062"/>
    </row>
    <row r="6063" spans="5:5" x14ac:dyDescent="0.25">
      <c r="E6063"/>
    </row>
    <row r="6064" spans="5:5" x14ac:dyDescent="0.25">
      <c r="E6064"/>
    </row>
    <row r="6065" spans="5:5" x14ac:dyDescent="0.25">
      <c r="E6065"/>
    </row>
    <row r="6066" spans="5:5" x14ac:dyDescent="0.25">
      <c r="E6066"/>
    </row>
    <row r="6067" spans="5:5" x14ac:dyDescent="0.25">
      <c r="E6067"/>
    </row>
    <row r="6068" spans="5:5" x14ac:dyDescent="0.25">
      <c r="E6068"/>
    </row>
    <row r="6069" spans="5:5" x14ac:dyDescent="0.25">
      <c r="E6069"/>
    </row>
    <row r="6070" spans="5:5" x14ac:dyDescent="0.25">
      <c r="E6070"/>
    </row>
    <row r="6071" spans="5:5" x14ac:dyDescent="0.25">
      <c r="E6071"/>
    </row>
    <row r="6072" spans="5:5" x14ac:dyDescent="0.25">
      <c r="E6072"/>
    </row>
    <row r="6073" spans="5:5" x14ac:dyDescent="0.25">
      <c r="E6073"/>
    </row>
    <row r="6074" spans="5:5" x14ac:dyDescent="0.25">
      <c r="E6074"/>
    </row>
    <row r="6075" spans="5:5" x14ac:dyDescent="0.25">
      <c r="E6075"/>
    </row>
    <row r="6076" spans="5:5" x14ac:dyDescent="0.25">
      <c r="E6076"/>
    </row>
    <row r="6077" spans="5:5" x14ac:dyDescent="0.25">
      <c r="E6077"/>
    </row>
    <row r="6078" spans="5:5" x14ac:dyDescent="0.25">
      <c r="E6078"/>
    </row>
    <row r="6079" spans="5:5" x14ac:dyDescent="0.25">
      <c r="E6079"/>
    </row>
    <row r="6080" spans="5:5" x14ac:dyDescent="0.25">
      <c r="E6080"/>
    </row>
    <row r="6081" spans="5:5" x14ac:dyDescent="0.25">
      <c r="E6081"/>
    </row>
    <row r="6082" spans="5:5" x14ac:dyDescent="0.25">
      <c r="E6082"/>
    </row>
    <row r="6083" spans="5:5" x14ac:dyDescent="0.25">
      <c r="E6083"/>
    </row>
    <row r="6084" spans="5:5" x14ac:dyDescent="0.25">
      <c r="E6084"/>
    </row>
    <row r="6085" spans="5:5" x14ac:dyDescent="0.25">
      <c r="E6085"/>
    </row>
    <row r="6086" spans="5:5" x14ac:dyDescent="0.25">
      <c r="E6086"/>
    </row>
    <row r="6087" spans="5:5" x14ac:dyDescent="0.25">
      <c r="E6087"/>
    </row>
    <row r="6088" spans="5:5" x14ac:dyDescent="0.25">
      <c r="E6088"/>
    </row>
    <row r="6089" spans="5:5" x14ac:dyDescent="0.25">
      <c r="E6089"/>
    </row>
    <row r="6090" spans="5:5" x14ac:dyDescent="0.25">
      <c r="E6090"/>
    </row>
    <row r="6091" spans="5:5" x14ac:dyDescent="0.25">
      <c r="E6091"/>
    </row>
    <row r="6092" spans="5:5" x14ac:dyDescent="0.25">
      <c r="E6092"/>
    </row>
    <row r="6093" spans="5:5" x14ac:dyDescent="0.25">
      <c r="E6093"/>
    </row>
    <row r="6094" spans="5:5" x14ac:dyDescent="0.25">
      <c r="E6094"/>
    </row>
    <row r="6095" spans="5:5" x14ac:dyDescent="0.25">
      <c r="E6095"/>
    </row>
    <row r="6096" spans="5:5" x14ac:dyDescent="0.25">
      <c r="E6096"/>
    </row>
    <row r="6097" spans="5:5" x14ac:dyDescent="0.25">
      <c r="E6097"/>
    </row>
    <row r="6098" spans="5:5" x14ac:dyDescent="0.25">
      <c r="E6098"/>
    </row>
    <row r="6099" spans="5:5" x14ac:dyDescent="0.25">
      <c r="E6099"/>
    </row>
    <row r="6100" spans="5:5" x14ac:dyDescent="0.25">
      <c r="E6100"/>
    </row>
    <row r="6101" spans="5:5" x14ac:dyDescent="0.25">
      <c r="E6101"/>
    </row>
    <row r="6102" spans="5:5" x14ac:dyDescent="0.25">
      <c r="E6102"/>
    </row>
    <row r="6103" spans="5:5" x14ac:dyDescent="0.25">
      <c r="E6103"/>
    </row>
    <row r="6104" spans="5:5" x14ac:dyDescent="0.25">
      <c r="E6104"/>
    </row>
    <row r="6105" spans="5:5" x14ac:dyDescent="0.25">
      <c r="E6105"/>
    </row>
    <row r="6106" spans="5:5" x14ac:dyDescent="0.25">
      <c r="E6106"/>
    </row>
    <row r="6107" spans="5:5" x14ac:dyDescent="0.25">
      <c r="E6107"/>
    </row>
    <row r="6108" spans="5:5" x14ac:dyDescent="0.25">
      <c r="E6108"/>
    </row>
    <row r="6109" spans="5:5" x14ac:dyDescent="0.25">
      <c r="E6109"/>
    </row>
    <row r="6110" spans="5:5" x14ac:dyDescent="0.25">
      <c r="E6110"/>
    </row>
    <row r="6111" spans="5:5" x14ac:dyDescent="0.25">
      <c r="E6111"/>
    </row>
    <row r="6112" spans="5:5" x14ac:dyDescent="0.25">
      <c r="E6112"/>
    </row>
    <row r="6113" spans="5:5" x14ac:dyDescent="0.25">
      <c r="E6113"/>
    </row>
    <row r="6114" spans="5:5" x14ac:dyDescent="0.25">
      <c r="E6114"/>
    </row>
    <row r="6115" spans="5:5" x14ac:dyDescent="0.25">
      <c r="E6115"/>
    </row>
    <row r="6116" spans="5:5" x14ac:dyDescent="0.25">
      <c r="E6116"/>
    </row>
    <row r="6117" spans="5:5" x14ac:dyDescent="0.25">
      <c r="E6117"/>
    </row>
    <row r="6118" spans="5:5" x14ac:dyDescent="0.25">
      <c r="E6118"/>
    </row>
    <row r="6119" spans="5:5" x14ac:dyDescent="0.25">
      <c r="E6119"/>
    </row>
    <row r="6120" spans="5:5" x14ac:dyDescent="0.25">
      <c r="E6120"/>
    </row>
    <row r="6121" spans="5:5" x14ac:dyDescent="0.25">
      <c r="E6121"/>
    </row>
    <row r="6122" spans="5:5" x14ac:dyDescent="0.25">
      <c r="E6122"/>
    </row>
    <row r="6123" spans="5:5" x14ac:dyDescent="0.25">
      <c r="E6123"/>
    </row>
    <row r="6124" spans="5:5" x14ac:dyDescent="0.25">
      <c r="E6124"/>
    </row>
    <row r="6125" spans="5:5" x14ac:dyDescent="0.25">
      <c r="E6125"/>
    </row>
    <row r="6126" spans="5:5" x14ac:dyDescent="0.25">
      <c r="E6126"/>
    </row>
    <row r="6127" spans="5:5" x14ac:dyDescent="0.25">
      <c r="E6127"/>
    </row>
    <row r="6128" spans="5:5" x14ac:dyDescent="0.25">
      <c r="E6128"/>
    </row>
    <row r="6129" spans="5:5" x14ac:dyDescent="0.25">
      <c r="E6129"/>
    </row>
    <row r="6130" spans="5:5" x14ac:dyDescent="0.25">
      <c r="E6130"/>
    </row>
    <row r="6131" spans="5:5" x14ac:dyDescent="0.25">
      <c r="E6131"/>
    </row>
    <row r="6132" spans="5:5" x14ac:dyDescent="0.25">
      <c r="E6132"/>
    </row>
    <row r="6133" spans="5:5" x14ac:dyDescent="0.25">
      <c r="E6133"/>
    </row>
    <row r="6134" spans="5:5" x14ac:dyDescent="0.25">
      <c r="E6134"/>
    </row>
    <row r="6135" spans="5:5" x14ac:dyDescent="0.25">
      <c r="E6135"/>
    </row>
    <row r="6136" spans="5:5" x14ac:dyDescent="0.25">
      <c r="E6136"/>
    </row>
    <row r="6137" spans="5:5" x14ac:dyDescent="0.25">
      <c r="E6137"/>
    </row>
    <row r="6138" spans="5:5" x14ac:dyDescent="0.25">
      <c r="E6138"/>
    </row>
    <row r="6139" spans="5:5" x14ac:dyDescent="0.25">
      <c r="E6139"/>
    </row>
    <row r="6140" spans="5:5" x14ac:dyDescent="0.25">
      <c r="E6140"/>
    </row>
    <row r="6141" spans="5:5" x14ac:dyDescent="0.25">
      <c r="E6141"/>
    </row>
    <row r="6142" spans="5:5" x14ac:dyDescent="0.25">
      <c r="E6142"/>
    </row>
    <row r="6143" spans="5:5" x14ac:dyDescent="0.25">
      <c r="E6143"/>
    </row>
    <row r="6144" spans="5:5" x14ac:dyDescent="0.25">
      <c r="E6144"/>
    </row>
    <row r="6145" spans="5:5" x14ac:dyDescent="0.25">
      <c r="E6145"/>
    </row>
    <row r="6146" spans="5:5" x14ac:dyDescent="0.25">
      <c r="E6146"/>
    </row>
    <row r="6147" spans="5:5" x14ac:dyDescent="0.25">
      <c r="E6147"/>
    </row>
    <row r="6148" spans="5:5" x14ac:dyDescent="0.25">
      <c r="E6148"/>
    </row>
    <row r="6149" spans="5:5" x14ac:dyDescent="0.25">
      <c r="E6149"/>
    </row>
    <row r="6150" spans="5:5" x14ac:dyDescent="0.25">
      <c r="E6150"/>
    </row>
    <row r="6151" spans="5:5" x14ac:dyDescent="0.25">
      <c r="E6151"/>
    </row>
    <row r="6152" spans="5:5" x14ac:dyDescent="0.25">
      <c r="E6152"/>
    </row>
    <row r="6153" spans="5:5" x14ac:dyDescent="0.25">
      <c r="E6153"/>
    </row>
    <row r="6154" spans="5:5" x14ac:dyDescent="0.25">
      <c r="E6154"/>
    </row>
    <row r="6155" spans="5:5" x14ac:dyDescent="0.25">
      <c r="E6155"/>
    </row>
    <row r="6156" spans="5:5" x14ac:dyDescent="0.25">
      <c r="E6156"/>
    </row>
    <row r="6157" spans="5:5" x14ac:dyDescent="0.25">
      <c r="E6157"/>
    </row>
    <row r="6158" spans="5:5" x14ac:dyDescent="0.25">
      <c r="E6158"/>
    </row>
    <row r="6159" spans="5:5" x14ac:dyDescent="0.25">
      <c r="E6159"/>
    </row>
    <row r="6160" spans="5:5" x14ac:dyDescent="0.25">
      <c r="E6160"/>
    </row>
    <row r="6161" spans="5:5" x14ac:dyDescent="0.25">
      <c r="E6161"/>
    </row>
    <row r="6162" spans="5:5" x14ac:dyDescent="0.25">
      <c r="E6162"/>
    </row>
    <row r="6163" spans="5:5" x14ac:dyDescent="0.25">
      <c r="E6163"/>
    </row>
    <row r="6164" spans="5:5" x14ac:dyDescent="0.25">
      <c r="E6164"/>
    </row>
    <row r="6165" spans="5:5" x14ac:dyDescent="0.25">
      <c r="E6165"/>
    </row>
    <row r="6166" spans="5:5" x14ac:dyDescent="0.25">
      <c r="E6166"/>
    </row>
    <row r="6167" spans="5:5" x14ac:dyDescent="0.25">
      <c r="E6167"/>
    </row>
    <row r="6168" spans="5:5" x14ac:dyDescent="0.25">
      <c r="E6168"/>
    </row>
    <row r="6169" spans="5:5" x14ac:dyDescent="0.25">
      <c r="E6169"/>
    </row>
    <row r="6170" spans="5:5" x14ac:dyDescent="0.25">
      <c r="E6170"/>
    </row>
    <row r="6171" spans="5:5" x14ac:dyDescent="0.25">
      <c r="E6171"/>
    </row>
    <row r="6172" spans="5:5" x14ac:dyDescent="0.25">
      <c r="E6172"/>
    </row>
    <row r="6173" spans="5:5" x14ac:dyDescent="0.25">
      <c r="E6173"/>
    </row>
    <row r="6174" spans="5:5" x14ac:dyDescent="0.25">
      <c r="E6174"/>
    </row>
    <row r="6175" spans="5:5" x14ac:dyDescent="0.25">
      <c r="E6175"/>
    </row>
    <row r="6176" spans="5:5" x14ac:dyDescent="0.25">
      <c r="E6176"/>
    </row>
    <row r="6177" spans="5:5" x14ac:dyDescent="0.25">
      <c r="E6177"/>
    </row>
    <row r="6178" spans="5:5" x14ac:dyDescent="0.25">
      <c r="E6178"/>
    </row>
    <row r="6179" spans="5:5" x14ac:dyDescent="0.25">
      <c r="E6179"/>
    </row>
    <row r="6180" spans="5:5" x14ac:dyDescent="0.25">
      <c r="E6180"/>
    </row>
    <row r="6181" spans="5:5" x14ac:dyDescent="0.25">
      <c r="E6181"/>
    </row>
    <row r="6182" spans="5:5" x14ac:dyDescent="0.25">
      <c r="E6182"/>
    </row>
    <row r="6183" spans="5:5" x14ac:dyDescent="0.25">
      <c r="E6183"/>
    </row>
    <row r="6184" spans="5:5" x14ac:dyDescent="0.25">
      <c r="E6184"/>
    </row>
    <row r="6185" spans="5:5" x14ac:dyDescent="0.25">
      <c r="E6185"/>
    </row>
    <row r="6186" spans="5:5" x14ac:dyDescent="0.25">
      <c r="E6186"/>
    </row>
    <row r="6187" spans="5:5" x14ac:dyDescent="0.25">
      <c r="E6187"/>
    </row>
    <row r="6188" spans="5:5" x14ac:dyDescent="0.25">
      <c r="E6188"/>
    </row>
    <row r="6189" spans="5:5" x14ac:dyDescent="0.25">
      <c r="E6189"/>
    </row>
    <row r="6190" spans="5:5" x14ac:dyDescent="0.25">
      <c r="E6190"/>
    </row>
    <row r="6191" spans="5:5" x14ac:dyDescent="0.25">
      <c r="E6191"/>
    </row>
    <row r="6192" spans="5:5" x14ac:dyDescent="0.25">
      <c r="E6192"/>
    </row>
    <row r="6193" spans="5:5" x14ac:dyDescent="0.25">
      <c r="E6193"/>
    </row>
    <row r="6194" spans="5:5" x14ac:dyDescent="0.25">
      <c r="E6194"/>
    </row>
    <row r="6195" spans="5:5" x14ac:dyDescent="0.25">
      <c r="E6195"/>
    </row>
    <row r="6196" spans="5:5" x14ac:dyDescent="0.25">
      <c r="E6196"/>
    </row>
    <row r="6197" spans="5:5" x14ac:dyDescent="0.25">
      <c r="E6197"/>
    </row>
    <row r="6198" spans="5:5" x14ac:dyDescent="0.25">
      <c r="E6198"/>
    </row>
    <row r="6199" spans="5:5" x14ac:dyDescent="0.25">
      <c r="E6199"/>
    </row>
    <row r="6200" spans="5:5" x14ac:dyDescent="0.25">
      <c r="E6200"/>
    </row>
    <row r="6201" spans="5:5" x14ac:dyDescent="0.25">
      <c r="E6201"/>
    </row>
    <row r="6202" spans="5:5" x14ac:dyDescent="0.25">
      <c r="E6202"/>
    </row>
    <row r="6203" spans="5:5" x14ac:dyDescent="0.25">
      <c r="E6203"/>
    </row>
    <row r="6204" spans="5:5" x14ac:dyDescent="0.25">
      <c r="E6204"/>
    </row>
    <row r="6205" spans="5:5" x14ac:dyDescent="0.25">
      <c r="E6205"/>
    </row>
    <row r="6206" spans="5:5" x14ac:dyDescent="0.25">
      <c r="E6206"/>
    </row>
    <row r="6207" spans="5:5" x14ac:dyDescent="0.25">
      <c r="E6207"/>
    </row>
    <row r="6208" spans="5:5" x14ac:dyDescent="0.25">
      <c r="E6208"/>
    </row>
    <row r="6209" spans="5:5" x14ac:dyDescent="0.25">
      <c r="E6209"/>
    </row>
    <row r="6210" spans="5:5" x14ac:dyDescent="0.25">
      <c r="E6210"/>
    </row>
    <row r="6211" spans="5:5" x14ac:dyDescent="0.25">
      <c r="E6211"/>
    </row>
    <row r="6212" spans="5:5" x14ac:dyDescent="0.25">
      <c r="E6212"/>
    </row>
    <row r="6213" spans="5:5" x14ac:dyDescent="0.25">
      <c r="E6213"/>
    </row>
    <row r="6214" spans="5:5" x14ac:dyDescent="0.25">
      <c r="E6214"/>
    </row>
    <row r="6215" spans="5:5" x14ac:dyDescent="0.25">
      <c r="E6215"/>
    </row>
    <row r="6216" spans="5:5" x14ac:dyDescent="0.25">
      <c r="E6216"/>
    </row>
    <row r="6217" spans="5:5" x14ac:dyDescent="0.25">
      <c r="E6217"/>
    </row>
    <row r="6218" spans="5:5" x14ac:dyDescent="0.25">
      <c r="E6218"/>
    </row>
    <row r="6219" spans="5:5" x14ac:dyDescent="0.25">
      <c r="E6219"/>
    </row>
    <row r="6220" spans="5:5" x14ac:dyDescent="0.25">
      <c r="E6220"/>
    </row>
    <row r="6221" spans="5:5" x14ac:dyDescent="0.25">
      <c r="E6221"/>
    </row>
    <row r="6222" spans="5:5" x14ac:dyDescent="0.25">
      <c r="E6222"/>
    </row>
    <row r="6223" spans="5:5" x14ac:dyDescent="0.25">
      <c r="E6223"/>
    </row>
    <row r="6224" spans="5:5" x14ac:dyDescent="0.25">
      <c r="E6224"/>
    </row>
    <row r="6225" spans="5:5" x14ac:dyDescent="0.25">
      <c r="E6225"/>
    </row>
    <row r="6226" spans="5:5" x14ac:dyDescent="0.25">
      <c r="E6226"/>
    </row>
    <row r="6227" spans="5:5" x14ac:dyDescent="0.25">
      <c r="E6227"/>
    </row>
    <row r="6228" spans="5:5" x14ac:dyDescent="0.25">
      <c r="E6228"/>
    </row>
    <row r="6229" spans="5:5" x14ac:dyDescent="0.25">
      <c r="E6229"/>
    </row>
    <row r="6230" spans="5:5" x14ac:dyDescent="0.25">
      <c r="E6230"/>
    </row>
    <row r="6231" spans="5:5" x14ac:dyDescent="0.25">
      <c r="E6231"/>
    </row>
    <row r="6232" spans="5:5" x14ac:dyDescent="0.25">
      <c r="E6232"/>
    </row>
    <row r="6233" spans="5:5" x14ac:dyDescent="0.25">
      <c r="E6233"/>
    </row>
    <row r="6234" spans="5:5" x14ac:dyDescent="0.25">
      <c r="E6234"/>
    </row>
    <row r="6235" spans="5:5" x14ac:dyDescent="0.25">
      <c r="E6235"/>
    </row>
    <row r="6236" spans="5:5" x14ac:dyDescent="0.25">
      <c r="E6236"/>
    </row>
    <row r="6237" spans="5:5" x14ac:dyDescent="0.25">
      <c r="E6237"/>
    </row>
    <row r="6238" spans="5:5" x14ac:dyDescent="0.25">
      <c r="E6238"/>
    </row>
    <row r="6239" spans="5:5" x14ac:dyDescent="0.25">
      <c r="E6239"/>
    </row>
    <row r="6240" spans="5:5" x14ac:dyDescent="0.25">
      <c r="E6240"/>
    </row>
    <row r="6241" spans="5:5" x14ac:dyDescent="0.25">
      <c r="E6241"/>
    </row>
    <row r="6242" spans="5:5" x14ac:dyDescent="0.25">
      <c r="E6242"/>
    </row>
    <row r="6243" spans="5:5" x14ac:dyDescent="0.25">
      <c r="E6243"/>
    </row>
    <row r="6244" spans="5:5" x14ac:dyDescent="0.25">
      <c r="E6244"/>
    </row>
    <row r="6245" spans="5:5" x14ac:dyDescent="0.25">
      <c r="E6245"/>
    </row>
    <row r="6246" spans="5:5" x14ac:dyDescent="0.25">
      <c r="E6246"/>
    </row>
    <row r="6247" spans="5:5" x14ac:dyDescent="0.25">
      <c r="E6247"/>
    </row>
    <row r="6248" spans="5:5" x14ac:dyDescent="0.25">
      <c r="E6248"/>
    </row>
    <row r="6249" spans="5:5" x14ac:dyDescent="0.25">
      <c r="E6249"/>
    </row>
    <row r="6250" spans="5:5" x14ac:dyDescent="0.25">
      <c r="E6250"/>
    </row>
    <row r="6251" spans="5:5" x14ac:dyDescent="0.25">
      <c r="E6251"/>
    </row>
    <row r="6252" spans="5:5" x14ac:dyDescent="0.25">
      <c r="E6252"/>
    </row>
    <row r="6253" spans="5:5" x14ac:dyDescent="0.25">
      <c r="E6253"/>
    </row>
    <row r="6254" spans="5:5" x14ac:dyDescent="0.25">
      <c r="E6254"/>
    </row>
    <row r="6255" spans="5:5" x14ac:dyDescent="0.25">
      <c r="E6255"/>
    </row>
    <row r="6256" spans="5:5" x14ac:dyDescent="0.25">
      <c r="E6256"/>
    </row>
    <row r="6257" spans="5:5" x14ac:dyDescent="0.25">
      <c r="E6257"/>
    </row>
    <row r="6258" spans="5:5" x14ac:dyDescent="0.25">
      <c r="E6258"/>
    </row>
    <row r="6259" spans="5:5" x14ac:dyDescent="0.25">
      <c r="E6259"/>
    </row>
    <row r="6260" spans="5:5" x14ac:dyDescent="0.25">
      <c r="E6260"/>
    </row>
    <row r="6261" spans="5:5" x14ac:dyDescent="0.25">
      <c r="E6261"/>
    </row>
    <row r="6262" spans="5:5" x14ac:dyDescent="0.25">
      <c r="E6262"/>
    </row>
    <row r="6263" spans="5:5" x14ac:dyDescent="0.25">
      <c r="E6263"/>
    </row>
    <row r="6264" spans="5:5" x14ac:dyDescent="0.25">
      <c r="E6264"/>
    </row>
    <row r="6265" spans="5:5" x14ac:dyDescent="0.25">
      <c r="E6265"/>
    </row>
    <row r="6266" spans="5:5" x14ac:dyDescent="0.25">
      <c r="E6266"/>
    </row>
    <row r="6267" spans="5:5" x14ac:dyDescent="0.25">
      <c r="E6267"/>
    </row>
    <row r="6268" spans="5:5" x14ac:dyDescent="0.25">
      <c r="E6268"/>
    </row>
    <row r="6269" spans="5:5" x14ac:dyDescent="0.25">
      <c r="E6269"/>
    </row>
    <row r="6270" spans="5:5" x14ac:dyDescent="0.25">
      <c r="E6270"/>
    </row>
    <row r="6271" spans="5:5" x14ac:dyDescent="0.25">
      <c r="E6271"/>
    </row>
    <row r="6272" spans="5:5" x14ac:dyDescent="0.25">
      <c r="E6272"/>
    </row>
    <row r="6273" spans="5:5" x14ac:dyDescent="0.25">
      <c r="E6273"/>
    </row>
    <row r="6274" spans="5:5" x14ac:dyDescent="0.25">
      <c r="E6274"/>
    </row>
    <row r="6275" spans="5:5" x14ac:dyDescent="0.25">
      <c r="E6275"/>
    </row>
    <row r="6276" spans="5:5" x14ac:dyDescent="0.25">
      <c r="E6276"/>
    </row>
    <row r="6277" spans="5:5" x14ac:dyDescent="0.25">
      <c r="E6277"/>
    </row>
    <row r="6278" spans="5:5" x14ac:dyDescent="0.25">
      <c r="E6278"/>
    </row>
    <row r="6279" spans="5:5" x14ac:dyDescent="0.25">
      <c r="E6279"/>
    </row>
    <row r="6280" spans="5:5" x14ac:dyDescent="0.25">
      <c r="E6280"/>
    </row>
    <row r="6281" spans="5:5" x14ac:dyDescent="0.25">
      <c r="E6281"/>
    </row>
    <row r="6282" spans="5:5" x14ac:dyDescent="0.25">
      <c r="E6282"/>
    </row>
    <row r="6283" spans="5:5" x14ac:dyDescent="0.25">
      <c r="E6283"/>
    </row>
    <row r="6284" spans="5:5" x14ac:dyDescent="0.25">
      <c r="E6284"/>
    </row>
    <row r="6285" spans="5:5" x14ac:dyDescent="0.25">
      <c r="E6285"/>
    </row>
    <row r="6286" spans="5:5" x14ac:dyDescent="0.25">
      <c r="E6286"/>
    </row>
    <row r="6287" spans="5:5" x14ac:dyDescent="0.25">
      <c r="E6287"/>
    </row>
    <row r="6288" spans="5:5" x14ac:dyDescent="0.25">
      <c r="E6288"/>
    </row>
    <row r="6289" spans="5:5" x14ac:dyDescent="0.25">
      <c r="E6289"/>
    </row>
    <row r="6290" spans="5:5" x14ac:dyDescent="0.25">
      <c r="E6290"/>
    </row>
    <row r="6291" spans="5:5" x14ac:dyDescent="0.25">
      <c r="E6291"/>
    </row>
    <row r="6292" spans="5:5" x14ac:dyDescent="0.25">
      <c r="E6292"/>
    </row>
    <row r="6293" spans="5:5" x14ac:dyDescent="0.25">
      <c r="E6293"/>
    </row>
    <row r="6294" spans="5:5" x14ac:dyDescent="0.25">
      <c r="E6294"/>
    </row>
    <row r="6295" spans="5:5" x14ac:dyDescent="0.25">
      <c r="E6295"/>
    </row>
    <row r="6296" spans="5:5" x14ac:dyDescent="0.25">
      <c r="E6296"/>
    </row>
    <row r="6297" spans="5:5" x14ac:dyDescent="0.25">
      <c r="E6297"/>
    </row>
    <row r="6298" spans="5:5" x14ac:dyDescent="0.25">
      <c r="E6298"/>
    </row>
    <row r="6299" spans="5:5" x14ac:dyDescent="0.25">
      <c r="E6299"/>
    </row>
    <row r="6300" spans="5:5" x14ac:dyDescent="0.25">
      <c r="E6300"/>
    </row>
    <row r="6301" spans="5:5" x14ac:dyDescent="0.25">
      <c r="E6301"/>
    </row>
    <row r="6302" spans="5:5" x14ac:dyDescent="0.25">
      <c r="E6302"/>
    </row>
    <row r="6303" spans="5:5" x14ac:dyDescent="0.25">
      <c r="E6303"/>
    </row>
    <row r="6304" spans="5:5" x14ac:dyDescent="0.25">
      <c r="E6304"/>
    </row>
    <row r="6305" spans="5:5" x14ac:dyDescent="0.25">
      <c r="E6305"/>
    </row>
    <row r="6306" spans="5:5" x14ac:dyDescent="0.25">
      <c r="E6306"/>
    </row>
    <row r="6307" spans="5:5" x14ac:dyDescent="0.25">
      <c r="E6307"/>
    </row>
    <row r="6308" spans="5:5" x14ac:dyDescent="0.25">
      <c r="E6308"/>
    </row>
    <row r="6309" spans="5:5" x14ac:dyDescent="0.25">
      <c r="E6309"/>
    </row>
    <row r="6310" spans="5:5" x14ac:dyDescent="0.25">
      <c r="E6310"/>
    </row>
    <row r="6311" spans="5:5" x14ac:dyDescent="0.25">
      <c r="E6311"/>
    </row>
    <row r="6312" spans="5:5" x14ac:dyDescent="0.25">
      <c r="E6312"/>
    </row>
    <row r="6313" spans="5:5" x14ac:dyDescent="0.25">
      <c r="E6313"/>
    </row>
    <row r="6314" spans="5:5" x14ac:dyDescent="0.25">
      <c r="E6314"/>
    </row>
    <row r="6315" spans="5:5" x14ac:dyDescent="0.25">
      <c r="E6315"/>
    </row>
    <row r="6316" spans="5:5" x14ac:dyDescent="0.25">
      <c r="E6316"/>
    </row>
    <row r="6317" spans="5:5" x14ac:dyDescent="0.25">
      <c r="E6317"/>
    </row>
    <row r="6318" spans="5:5" x14ac:dyDescent="0.25">
      <c r="E6318"/>
    </row>
    <row r="6319" spans="5:5" x14ac:dyDescent="0.25">
      <c r="E6319"/>
    </row>
    <row r="6320" spans="5:5" x14ac:dyDescent="0.25">
      <c r="E6320"/>
    </row>
    <row r="6321" spans="5:5" x14ac:dyDescent="0.25">
      <c r="E6321"/>
    </row>
    <row r="6322" spans="5:5" x14ac:dyDescent="0.25">
      <c r="E6322"/>
    </row>
    <row r="6323" spans="5:5" x14ac:dyDescent="0.25">
      <c r="E6323"/>
    </row>
    <row r="6324" spans="5:5" x14ac:dyDescent="0.25">
      <c r="E6324"/>
    </row>
    <row r="6325" spans="5:5" x14ac:dyDescent="0.25">
      <c r="E6325"/>
    </row>
    <row r="6326" spans="5:5" x14ac:dyDescent="0.25">
      <c r="E6326"/>
    </row>
    <row r="6327" spans="5:5" x14ac:dyDescent="0.25">
      <c r="E6327"/>
    </row>
    <row r="6328" spans="5:5" x14ac:dyDescent="0.25">
      <c r="E6328"/>
    </row>
    <row r="6329" spans="5:5" x14ac:dyDescent="0.25">
      <c r="E6329"/>
    </row>
    <row r="6330" spans="5:5" x14ac:dyDescent="0.25">
      <c r="E6330"/>
    </row>
    <row r="6331" spans="5:5" x14ac:dyDescent="0.25">
      <c r="E6331"/>
    </row>
    <row r="6332" spans="5:5" x14ac:dyDescent="0.25">
      <c r="E6332"/>
    </row>
    <row r="6333" spans="5:5" x14ac:dyDescent="0.25">
      <c r="E6333"/>
    </row>
    <row r="6334" spans="5:5" x14ac:dyDescent="0.25">
      <c r="E6334"/>
    </row>
    <row r="6335" spans="5:5" x14ac:dyDescent="0.25">
      <c r="E6335"/>
    </row>
    <row r="6336" spans="5:5" x14ac:dyDescent="0.25">
      <c r="E6336"/>
    </row>
    <row r="6337" spans="5:5" x14ac:dyDescent="0.25">
      <c r="E6337"/>
    </row>
    <row r="6338" spans="5:5" x14ac:dyDescent="0.25">
      <c r="E6338"/>
    </row>
    <row r="6339" spans="5:5" x14ac:dyDescent="0.25">
      <c r="E6339"/>
    </row>
    <row r="6340" spans="5:5" x14ac:dyDescent="0.25">
      <c r="E6340"/>
    </row>
    <row r="6341" spans="5:5" x14ac:dyDescent="0.25">
      <c r="E6341"/>
    </row>
    <row r="6342" spans="5:5" x14ac:dyDescent="0.25">
      <c r="E6342"/>
    </row>
    <row r="6343" spans="5:5" x14ac:dyDescent="0.25">
      <c r="E6343"/>
    </row>
    <row r="6344" spans="5:5" x14ac:dyDescent="0.25">
      <c r="E6344"/>
    </row>
    <row r="6345" spans="5:5" x14ac:dyDescent="0.25">
      <c r="E6345"/>
    </row>
    <row r="6346" spans="5:5" x14ac:dyDescent="0.25">
      <c r="E6346"/>
    </row>
    <row r="6347" spans="5:5" x14ac:dyDescent="0.25">
      <c r="E6347"/>
    </row>
    <row r="6348" spans="5:5" x14ac:dyDescent="0.25">
      <c r="E6348"/>
    </row>
    <row r="6349" spans="5:5" x14ac:dyDescent="0.25">
      <c r="E6349"/>
    </row>
    <row r="6350" spans="5:5" x14ac:dyDescent="0.25">
      <c r="E6350"/>
    </row>
    <row r="6351" spans="5:5" x14ac:dyDescent="0.25">
      <c r="E6351"/>
    </row>
    <row r="6352" spans="5:5" x14ac:dyDescent="0.25">
      <c r="E6352"/>
    </row>
    <row r="6353" spans="5:5" x14ac:dyDescent="0.25">
      <c r="E6353"/>
    </row>
    <row r="6354" spans="5:5" x14ac:dyDescent="0.25">
      <c r="E6354"/>
    </row>
    <row r="6355" spans="5:5" x14ac:dyDescent="0.25">
      <c r="E6355"/>
    </row>
    <row r="6356" spans="5:5" x14ac:dyDescent="0.25">
      <c r="E6356"/>
    </row>
    <row r="6357" spans="5:5" x14ac:dyDescent="0.25">
      <c r="E6357"/>
    </row>
    <row r="6358" spans="5:5" x14ac:dyDescent="0.25">
      <c r="E6358"/>
    </row>
    <row r="6359" spans="5:5" x14ac:dyDescent="0.25">
      <c r="E6359"/>
    </row>
    <row r="6360" spans="5:5" x14ac:dyDescent="0.25">
      <c r="E6360"/>
    </row>
    <row r="6361" spans="5:5" x14ac:dyDescent="0.25">
      <c r="E6361"/>
    </row>
    <row r="6362" spans="5:5" x14ac:dyDescent="0.25">
      <c r="E6362"/>
    </row>
    <row r="6363" spans="5:5" x14ac:dyDescent="0.25">
      <c r="E6363"/>
    </row>
    <row r="6364" spans="5:5" x14ac:dyDescent="0.25">
      <c r="E6364"/>
    </row>
    <row r="6365" spans="5:5" x14ac:dyDescent="0.25">
      <c r="E6365"/>
    </row>
    <row r="6366" spans="5:5" x14ac:dyDescent="0.25">
      <c r="E6366"/>
    </row>
    <row r="6367" spans="5:5" x14ac:dyDescent="0.25">
      <c r="E6367"/>
    </row>
    <row r="6368" spans="5:5" x14ac:dyDescent="0.25">
      <c r="E6368"/>
    </row>
    <row r="6369" spans="5:5" x14ac:dyDescent="0.25">
      <c r="E6369"/>
    </row>
    <row r="6370" spans="5:5" x14ac:dyDescent="0.25">
      <c r="E6370"/>
    </row>
    <row r="6371" spans="5:5" x14ac:dyDescent="0.25">
      <c r="E6371"/>
    </row>
    <row r="6372" spans="5:5" x14ac:dyDescent="0.25">
      <c r="E6372"/>
    </row>
    <row r="6373" spans="5:5" x14ac:dyDescent="0.25">
      <c r="E6373"/>
    </row>
    <row r="6374" spans="5:5" x14ac:dyDescent="0.25">
      <c r="E6374"/>
    </row>
    <row r="6375" spans="5:5" x14ac:dyDescent="0.25">
      <c r="E6375"/>
    </row>
    <row r="6376" spans="5:5" x14ac:dyDescent="0.25">
      <c r="E6376"/>
    </row>
    <row r="6377" spans="5:5" x14ac:dyDescent="0.25">
      <c r="E6377"/>
    </row>
    <row r="6378" spans="5:5" x14ac:dyDescent="0.25">
      <c r="E6378"/>
    </row>
    <row r="6379" spans="5:5" x14ac:dyDescent="0.25">
      <c r="E6379"/>
    </row>
    <row r="6380" spans="5:5" x14ac:dyDescent="0.25">
      <c r="E6380"/>
    </row>
    <row r="6381" spans="5:5" x14ac:dyDescent="0.25">
      <c r="E6381"/>
    </row>
    <row r="6382" spans="5:5" x14ac:dyDescent="0.25">
      <c r="E6382"/>
    </row>
    <row r="6383" spans="5:5" x14ac:dyDescent="0.25">
      <c r="E6383"/>
    </row>
    <row r="6384" spans="5:5" x14ac:dyDescent="0.25">
      <c r="E6384"/>
    </row>
    <row r="6385" spans="5:5" x14ac:dyDescent="0.25">
      <c r="E6385"/>
    </row>
    <row r="6386" spans="5:5" x14ac:dyDescent="0.25">
      <c r="E6386"/>
    </row>
    <row r="6387" spans="5:5" x14ac:dyDescent="0.25">
      <c r="E6387"/>
    </row>
    <row r="6388" spans="5:5" x14ac:dyDescent="0.25">
      <c r="E6388"/>
    </row>
    <row r="6389" spans="5:5" x14ac:dyDescent="0.25">
      <c r="E6389"/>
    </row>
    <row r="6390" spans="5:5" x14ac:dyDescent="0.25">
      <c r="E6390"/>
    </row>
    <row r="6391" spans="5:5" x14ac:dyDescent="0.25">
      <c r="E6391"/>
    </row>
    <row r="6392" spans="5:5" x14ac:dyDescent="0.25">
      <c r="E6392"/>
    </row>
    <row r="6393" spans="5:5" x14ac:dyDescent="0.25">
      <c r="E6393"/>
    </row>
    <row r="6394" spans="5:5" x14ac:dyDescent="0.25">
      <c r="E6394"/>
    </row>
    <row r="6395" spans="5:5" x14ac:dyDescent="0.25">
      <c r="E6395"/>
    </row>
    <row r="6396" spans="5:5" x14ac:dyDescent="0.25">
      <c r="E6396"/>
    </row>
    <row r="6397" spans="5:5" x14ac:dyDescent="0.25">
      <c r="E6397"/>
    </row>
    <row r="6398" spans="5:5" x14ac:dyDescent="0.25">
      <c r="E6398"/>
    </row>
    <row r="6399" spans="5:5" x14ac:dyDescent="0.25">
      <c r="E6399"/>
    </row>
    <row r="6400" spans="5:5" x14ac:dyDescent="0.25">
      <c r="E6400"/>
    </row>
    <row r="6401" spans="5:5" x14ac:dyDescent="0.25">
      <c r="E6401"/>
    </row>
    <row r="6402" spans="5:5" x14ac:dyDescent="0.25">
      <c r="E6402"/>
    </row>
    <row r="6403" spans="5:5" x14ac:dyDescent="0.25">
      <c r="E6403"/>
    </row>
    <row r="6404" spans="5:5" x14ac:dyDescent="0.25">
      <c r="E6404"/>
    </row>
    <row r="6405" spans="5:5" x14ac:dyDescent="0.25">
      <c r="E6405"/>
    </row>
    <row r="6406" spans="5:5" x14ac:dyDescent="0.25">
      <c r="E6406"/>
    </row>
    <row r="6407" spans="5:5" x14ac:dyDescent="0.25">
      <c r="E6407"/>
    </row>
    <row r="6408" spans="5:5" x14ac:dyDescent="0.25">
      <c r="E6408"/>
    </row>
    <row r="6409" spans="5:5" x14ac:dyDescent="0.25">
      <c r="E6409"/>
    </row>
    <row r="6410" spans="5:5" x14ac:dyDescent="0.25">
      <c r="E6410"/>
    </row>
    <row r="6411" spans="5:5" x14ac:dyDescent="0.25">
      <c r="E6411"/>
    </row>
    <row r="6412" spans="5:5" x14ac:dyDescent="0.25">
      <c r="E6412"/>
    </row>
    <row r="6413" spans="5:5" x14ac:dyDescent="0.25">
      <c r="E6413"/>
    </row>
    <row r="6414" spans="5:5" x14ac:dyDescent="0.25">
      <c r="E6414"/>
    </row>
    <row r="6415" spans="5:5" x14ac:dyDescent="0.25">
      <c r="E6415"/>
    </row>
    <row r="6416" spans="5:5" x14ac:dyDescent="0.25">
      <c r="E6416"/>
    </row>
    <row r="6417" spans="5:5" x14ac:dyDescent="0.25">
      <c r="E6417"/>
    </row>
    <row r="6418" spans="5:5" x14ac:dyDescent="0.25">
      <c r="E6418"/>
    </row>
    <row r="6419" spans="5:5" x14ac:dyDescent="0.25">
      <c r="E6419"/>
    </row>
    <row r="6420" spans="5:5" x14ac:dyDescent="0.25">
      <c r="E6420"/>
    </row>
    <row r="6421" spans="5:5" x14ac:dyDescent="0.25">
      <c r="E6421"/>
    </row>
    <row r="6422" spans="5:5" x14ac:dyDescent="0.25">
      <c r="E6422"/>
    </row>
    <row r="6423" spans="5:5" x14ac:dyDescent="0.25">
      <c r="E6423"/>
    </row>
    <row r="6424" spans="5:5" x14ac:dyDescent="0.25">
      <c r="E6424"/>
    </row>
    <row r="6425" spans="5:5" x14ac:dyDescent="0.25">
      <c r="E6425"/>
    </row>
    <row r="6426" spans="5:5" x14ac:dyDescent="0.25">
      <c r="E6426"/>
    </row>
    <row r="6427" spans="5:5" x14ac:dyDescent="0.25">
      <c r="E6427"/>
    </row>
    <row r="6428" spans="5:5" x14ac:dyDescent="0.25">
      <c r="E6428"/>
    </row>
    <row r="6429" spans="5:5" x14ac:dyDescent="0.25">
      <c r="E6429"/>
    </row>
    <row r="6430" spans="5:5" x14ac:dyDescent="0.25">
      <c r="E6430"/>
    </row>
    <row r="6431" spans="5:5" x14ac:dyDescent="0.25">
      <c r="E6431"/>
    </row>
    <row r="6432" spans="5:5" x14ac:dyDescent="0.25">
      <c r="E6432"/>
    </row>
    <row r="6433" spans="5:5" x14ac:dyDescent="0.25">
      <c r="E6433"/>
    </row>
    <row r="6434" spans="5:5" x14ac:dyDescent="0.25">
      <c r="E6434"/>
    </row>
    <row r="6435" spans="5:5" x14ac:dyDescent="0.25">
      <c r="E6435"/>
    </row>
    <row r="6436" spans="5:5" x14ac:dyDescent="0.25">
      <c r="E6436"/>
    </row>
    <row r="6437" spans="5:5" x14ac:dyDescent="0.25">
      <c r="E6437"/>
    </row>
    <row r="6438" spans="5:5" x14ac:dyDescent="0.25">
      <c r="E6438"/>
    </row>
    <row r="6439" spans="5:5" x14ac:dyDescent="0.25">
      <c r="E6439"/>
    </row>
    <row r="6440" spans="5:5" x14ac:dyDescent="0.25">
      <c r="E6440"/>
    </row>
    <row r="6441" spans="5:5" x14ac:dyDescent="0.25">
      <c r="E6441"/>
    </row>
    <row r="6442" spans="5:5" x14ac:dyDescent="0.25">
      <c r="E6442"/>
    </row>
    <row r="6443" spans="5:5" x14ac:dyDescent="0.25">
      <c r="E6443"/>
    </row>
    <row r="6444" spans="5:5" x14ac:dyDescent="0.25">
      <c r="E6444"/>
    </row>
    <row r="6445" spans="5:5" x14ac:dyDescent="0.25">
      <c r="E6445"/>
    </row>
    <row r="6446" spans="5:5" x14ac:dyDescent="0.25">
      <c r="E6446"/>
    </row>
    <row r="6447" spans="5:5" x14ac:dyDescent="0.25">
      <c r="E6447"/>
    </row>
    <row r="6448" spans="5:5" x14ac:dyDescent="0.25">
      <c r="E6448"/>
    </row>
    <row r="6449" spans="5:5" x14ac:dyDescent="0.25">
      <c r="E6449"/>
    </row>
    <row r="6450" spans="5:5" x14ac:dyDescent="0.25">
      <c r="E6450"/>
    </row>
    <row r="6451" spans="5:5" x14ac:dyDescent="0.25">
      <c r="E6451"/>
    </row>
    <row r="6452" spans="5:5" x14ac:dyDescent="0.25">
      <c r="E6452"/>
    </row>
    <row r="6453" spans="5:5" x14ac:dyDescent="0.25">
      <c r="E6453"/>
    </row>
    <row r="6454" spans="5:5" x14ac:dyDescent="0.25">
      <c r="E6454"/>
    </row>
    <row r="6455" spans="5:5" x14ac:dyDescent="0.25">
      <c r="E6455"/>
    </row>
    <row r="6456" spans="5:5" x14ac:dyDescent="0.25">
      <c r="E6456"/>
    </row>
    <row r="6457" spans="5:5" x14ac:dyDescent="0.25">
      <c r="E6457"/>
    </row>
    <row r="6458" spans="5:5" x14ac:dyDescent="0.25">
      <c r="E6458"/>
    </row>
    <row r="6459" spans="5:5" x14ac:dyDescent="0.25">
      <c r="E6459"/>
    </row>
    <row r="6460" spans="5:5" x14ac:dyDescent="0.25">
      <c r="E6460"/>
    </row>
    <row r="6461" spans="5:5" x14ac:dyDescent="0.25">
      <c r="E6461"/>
    </row>
    <row r="6462" spans="5:5" x14ac:dyDescent="0.25">
      <c r="E6462"/>
    </row>
    <row r="6463" spans="5:5" x14ac:dyDescent="0.25">
      <c r="E6463"/>
    </row>
    <row r="6464" spans="5:5" x14ac:dyDescent="0.25">
      <c r="E6464"/>
    </row>
    <row r="6465" spans="5:5" x14ac:dyDescent="0.25">
      <c r="E6465"/>
    </row>
    <row r="6466" spans="5:5" x14ac:dyDescent="0.25">
      <c r="E6466"/>
    </row>
    <row r="6467" spans="5:5" x14ac:dyDescent="0.25">
      <c r="E6467"/>
    </row>
    <row r="6468" spans="5:5" x14ac:dyDescent="0.25">
      <c r="E6468"/>
    </row>
    <row r="6469" spans="5:5" x14ac:dyDescent="0.25">
      <c r="E6469"/>
    </row>
    <row r="6470" spans="5:5" x14ac:dyDescent="0.25">
      <c r="E6470"/>
    </row>
    <row r="6471" spans="5:5" x14ac:dyDescent="0.25">
      <c r="E6471"/>
    </row>
    <row r="6472" spans="5:5" x14ac:dyDescent="0.25">
      <c r="E6472"/>
    </row>
    <row r="6473" spans="5:5" x14ac:dyDescent="0.25">
      <c r="E6473"/>
    </row>
    <row r="6474" spans="5:5" x14ac:dyDescent="0.25">
      <c r="E6474"/>
    </row>
    <row r="6475" spans="5:5" x14ac:dyDescent="0.25">
      <c r="E6475"/>
    </row>
    <row r="6476" spans="5:5" x14ac:dyDescent="0.25">
      <c r="E6476"/>
    </row>
    <row r="6477" spans="5:5" x14ac:dyDescent="0.25">
      <c r="E6477"/>
    </row>
    <row r="6478" spans="5:5" x14ac:dyDescent="0.25">
      <c r="E6478"/>
    </row>
    <row r="6479" spans="5:5" x14ac:dyDescent="0.25">
      <c r="E6479"/>
    </row>
    <row r="6480" spans="5:5" x14ac:dyDescent="0.25">
      <c r="E6480"/>
    </row>
    <row r="6481" spans="5:5" x14ac:dyDescent="0.25">
      <c r="E6481"/>
    </row>
    <row r="6482" spans="5:5" x14ac:dyDescent="0.25">
      <c r="E6482"/>
    </row>
    <row r="6483" spans="5:5" x14ac:dyDescent="0.25">
      <c r="E6483"/>
    </row>
    <row r="6484" spans="5:5" x14ac:dyDescent="0.25">
      <c r="E6484"/>
    </row>
    <row r="6485" spans="5:5" x14ac:dyDescent="0.25">
      <c r="E6485"/>
    </row>
    <row r="6486" spans="5:5" x14ac:dyDescent="0.25">
      <c r="E6486"/>
    </row>
    <row r="6487" spans="5:5" x14ac:dyDescent="0.25">
      <c r="E6487"/>
    </row>
    <row r="6488" spans="5:5" x14ac:dyDescent="0.25">
      <c r="E6488"/>
    </row>
    <row r="6489" spans="5:5" x14ac:dyDescent="0.25">
      <c r="E6489"/>
    </row>
    <row r="6490" spans="5:5" x14ac:dyDescent="0.25">
      <c r="E6490"/>
    </row>
    <row r="6491" spans="5:5" x14ac:dyDescent="0.25">
      <c r="E6491"/>
    </row>
    <row r="6492" spans="5:5" x14ac:dyDescent="0.25">
      <c r="E6492"/>
    </row>
    <row r="6493" spans="5:5" x14ac:dyDescent="0.25">
      <c r="E6493"/>
    </row>
    <row r="6494" spans="5:5" x14ac:dyDescent="0.25">
      <c r="E6494"/>
    </row>
    <row r="6495" spans="5:5" x14ac:dyDescent="0.25">
      <c r="E6495"/>
    </row>
    <row r="6496" spans="5:5" x14ac:dyDescent="0.25">
      <c r="E6496"/>
    </row>
    <row r="6497" spans="5:5" x14ac:dyDescent="0.25">
      <c r="E6497"/>
    </row>
    <row r="6498" spans="5:5" x14ac:dyDescent="0.25">
      <c r="E6498"/>
    </row>
    <row r="6499" spans="5:5" x14ac:dyDescent="0.25">
      <c r="E6499"/>
    </row>
    <row r="6500" spans="5:5" x14ac:dyDescent="0.25">
      <c r="E6500"/>
    </row>
    <row r="6501" spans="5:5" x14ac:dyDescent="0.25">
      <c r="E6501"/>
    </row>
    <row r="6502" spans="5:5" x14ac:dyDescent="0.25">
      <c r="E6502"/>
    </row>
    <row r="6503" spans="5:5" x14ac:dyDescent="0.25">
      <c r="E6503"/>
    </row>
    <row r="6504" spans="5:5" x14ac:dyDescent="0.25">
      <c r="E6504"/>
    </row>
    <row r="6505" spans="5:5" x14ac:dyDescent="0.25">
      <c r="E6505"/>
    </row>
    <row r="6506" spans="5:5" x14ac:dyDescent="0.25">
      <c r="E6506"/>
    </row>
    <row r="6507" spans="5:5" x14ac:dyDescent="0.25">
      <c r="E6507"/>
    </row>
    <row r="6508" spans="5:5" x14ac:dyDescent="0.25">
      <c r="E6508"/>
    </row>
    <row r="6509" spans="5:5" x14ac:dyDescent="0.25">
      <c r="E6509"/>
    </row>
    <row r="6510" spans="5:5" x14ac:dyDescent="0.25">
      <c r="E6510"/>
    </row>
    <row r="6511" spans="5:5" x14ac:dyDescent="0.25">
      <c r="E6511"/>
    </row>
    <row r="6512" spans="5:5" x14ac:dyDescent="0.25">
      <c r="E6512"/>
    </row>
    <row r="6513" spans="5:5" x14ac:dyDescent="0.25">
      <c r="E6513"/>
    </row>
    <row r="6514" spans="5:5" x14ac:dyDescent="0.25">
      <c r="E6514"/>
    </row>
    <row r="6515" spans="5:5" x14ac:dyDescent="0.25">
      <c r="E6515"/>
    </row>
    <row r="6516" spans="5:5" x14ac:dyDescent="0.25">
      <c r="E6516"/>
    </row>
    <row r="6517" spans="5:5" x14ac:dyDescent="0.25">
      <c r="E6517"/>
    </row>
    <row r="6518" spans="5:5" x14ac:dyDescent="0.25">
      <c r="E6518"/>
    </row>
    <row r="6519" spans="5:5" x14ac:dyDescent="0.25">
      <c r="E6519"/>
    </row>
    <row r="6520" spans="5:5" x14ac:dyDescent="0.25">
      <c r="E6520"/>
    </row>
    <row r="6521" spans="5:5" x14ac:dyDescent="0.25">
      <c r="E6521"/>
    </row>
    <row r="6522" spans="5:5" x14ac:dyDescent="0.25">
      <c r="E6522"/>
    </row>
    <row r="6523" spans="5:5" x14ac:dyDescent="0.25">
      <c r="E6523"/>
    </row>
    <row r="6524" spans="5:5" x14ac:dyDescent="0.25">
      <c r="E6524"/>
    </row>
    <row r="6525" spans="5:5" x14ac:dyDescent="0.25">
      <c r="E6525"/>
    </row>
    <row r="6526" spans="5:5" x14ac:dyDescent="0.25">
      <c r="E6526"/>
    </row>
    <row r="6527" spans="5:5" x14ac:dyDescent="0.25">
      <c r="E6527"/>
    </row>
    <row r="6528" spans="5:5" x14ac:dyDescent="0.25">
      <c r="E6528"/>
    </row>
    <row r="6529" spans="5:5" x14ac:dyDescent="0.25">
      <c r="E6529"/>
    </row>
    <row r="6530" spans="5:5" x14ac:dyDescent="0.25">
      <c r="E6530"/>
    </row>
    <row r="6531" spans="5:5" x14ac:dyDescent="0.25">
      <c r="E6531"/>
    </row>
    <row r="6532" spans="5:5" x14ac:dyDescent="0.25">
      <c r="E6532"/>
    </row>
    <row r="6533" spans="5:5" x14ac:dyDescent="0.25">
      <c r="E6533"/>
    </row>
    <row r="6534" spans="5:5" x14ac:dyDescent="0.25">
      <c r="E6534"/>
    </row>
    <row r="6535" spans="5:5" x14ac:dyDescent="0.25">
      <c r="E6535"/>
    </row>
    <row r="6536" spans="5:5" x14ac:dyDescent="0.25">
      <c r="E6536"/>
    </row>
    <row r="6537" spans="5:5" x14ac:dyDescent="0.25">
      <c r="E6537"/>
    </row>
    <row r="6538" spans="5:5" x14ac:dyDescent="0.25">
      <c r="E6538"/>
    </row>
    <row r="6539" spans="5:5" x14ac:dyDescent="0.25">
      <c r="E6539"/>
    </row>
    <row r="6540" spans="5:5" x14ac:dyDescent="0.25">
      <c r="E6540"/>
    </row>
    <row r="6541" spans="5:5" x14ac:dyDescent="0.25">
      <c r="E6541"/>
    </row>
    <row r="6542" spans="5:5" x14ac:dyDescent="0.25">
      <c r="E6542"/>
    </row>
    <row r="6543" spans="5:5" x14ac:dyDescent="0.25">
      <c r="E6543"/>
    </row>
    <row r="6544" spans="5:5" x14ac:dyDescent="0.25">
      <c r="E6544"/>
    </row>
    <row r="6545" spans="5:5" x14ac:dyDescent="0.25">
      <c r="E6545"/>
    </row>
    <row r="6546" spans="5:5" x14ac:dyDescent="0.25">
      <c r="E6546"/>
    </row>
    <row r="6547" spans="5:5" x14ac:dyDescent="0.25">
      <c r="E6547"/>
    </row>
    <row r="6548" spans="5:5" x14ac:dyDescent="0.25">
      <c r="E6548"/>
    </row>
    <row r="6549" spans="5:5" x14ac:dyDescent="0.25">
      <c r="E6549"/>
    </row>
    <row r="6550" spans="5:5" x14ac:dyDescent="0.25">
      <c r="E6550"/>
    </row>
    <row r="6551" spans="5:5" x14ac:dyDescent="0.25">
      <c r="E6551"/>
    </row>
    <row r="6552" spans="5:5" x14ac:dyDescent="0.25">
      <c r="E6552"/>
    </row>
    <row r="6553" spans="5:5" x14ac:dyDescent="0.25">
      <c r="E6553"/>
    </row>
    <row r="6554" spans="5:5" x14ac:dyDescent="0.25">
      <c r="E6554"/>
    </row>
    <row r="6555" spans="5:5" x14ac:dyDescent="0.25">
      <c r="E6555"/>
    </row>
    <row r="6556" spans="5:5" x14ac:dyDescent="0.25">
      <c r="E6556"/>
    </row>
    <row r="6557" spans="5:5" x14ac:dyDescent="0.25">
      <c r="E6557"/>
    </row>
    <row r="6558" spans="5:5" x14ac:dyDescent="0.25">
      <c r="E6558"/>
    </row>
    <row r="6559" spans="5:5" x14ac:dyDescent="0.25">
      <c r="E6559"/>
    </row>
    <row r="6560" spans="5:5" x14ac:dyDescent="0.25">
      <c r="E6560"/>
    </row>
    <row r="6561" spans="5:5" x14ac:dyDescent="0.25">
      <c r="E6561"/>
    </row>
    <row r="6562" spans="5:5" x14ac:dyDescent="0.25">
      <c r="E6562"/>
    </row>
    <row r="6563" spans="5:5" x14ac:dyDescent="0.25">
      <c r="E6563"/>
    </row>
    <row r="6564" spans="5:5" x14ac:dyDescent="0.25">
      <c r="E6564"/>
    </row>
    <row r="6565" spans="5:5" x14ac:dyDescent="0.25">
      <c r="E6565"/>
    </row>
    <row r="6566" spans="5:5" x14ac:dyDescent="0.25">
      <c r="E6566"/>
    </row>
    <row r="6567" spans="5:5" x14ac:dyDescent="0.25">
      <c r="E6567"/>
    </row>
    <row r="6568" spans="5:5" x14ac:dyDescent="0.25">
      <c r="E6568"/>
    </row>
    <row r="6569" spans="5:5" x14ac:dyDescent="0.25">
      <c r="E6569"/>
    </row>
    <row r="6570" spans="5:5" x14ac:dyDescent="0.25">
      <c r="E6570"/>
    </row>
    <row r="6571" spans="5:5" x14ac:dyDescent="0.25">
      <c r="E6571"/>
    </row>
    <row r="6572" spans="5:5" x14ac:dyDescent="0.25">
      <c r="E6572"/>
    </row>
    <row r="6573" spans="5:5" x14ac:dyDescent="0.25">
      <c r="E6573"/>
    </row>
    <row r="6574" spans="5:5" x14ac:dyDescent="0.25">
      <c r="E6574"/>
    </row>
    <row r="6575" spans="5:5" x14ac:dyDescent="0.25">
      <c r="E6575"/>
    </row>
    <row r="6576" spans="5:5" x14ac:dyDescent="0.25">
      <c r="E6576"/>
    </row>
    <row r="6577" spans="5:5" x14ac:dyDescent="0.25">
      <c r="E6577"/>
    </row>
    <row r="6578" spans="5:5" x14ac:dyDescent="0.25">
      <c r="E6578"/>
    </row>
    <row r="6579" spans="5:5" x14ac:dyDescent="0.25">
      <c r="E6579"/>
    </row>
    <row r="6580" spans="5:5" x14ac:dyDescent="0.25">
      <c r="E6580"/>
    </row>
    <row r="6581" spans="5:5" x14ac:dyDescent="0.25">
      <c r="E6581"/>
    </row>
    <row r="6582" spans="5:5" x14ac:dyDescent="0.25">
      <c r="E6582"/>
    </row>
    <row r="6583" spans="5:5" x14ac:dyDescent="0.25">
      <c r="E6583"/>
    </row>
    <row r="6584" spans="5:5" x14ac:dyDescent="0.25">
      <c r="E6584"/>
    </row>
    <row r="6585" spans="5:5" x14ac:dyDescent="0.25">
      <c r="E6585"/>
    </row>
    <row r="6586" spans="5:5" x14ac:dyDescent="0.25">
      <c r="E6586"/>
    </row>
    <row r="6587" spans="5:5" x14ac:dyDescent="0.25">
      <c r="E6587"/>
    </row>
    <row r="6588" spans="5:5" x14ac:dyDescent="0.25">
      <c r="E6588"/>
    </row>
    <row r="6589" spans="5:5" x14ac:dyDescent="0.25">
      <c r="E6589"/>
    </row>
    <row r="6590" spans="5:5" x14ac:dyDescent="0.25">
      <c r="E6590"/>
    </row>
    <row r="6591" spans="5:5" x14ac:dyDescent="0.25">
      <c r="E6591"/>
    </row>
    <row r="6592" spans="5:5" x14ac:dyDescent="0.25">
      <c r="E6592"/>
    </row>
    <row r="6593" spans="5:5" x14ac:dyDescent="0.25">
      <c r="E6593"/>
    </row>
    <row r="6594" spans="5:5" x14ac:dyDescent="0.25">
      <c r="E6594"/>
    </row>
    <row r="6595" spans="5:5" x14ac:dyDescent="0.25">
      <c r="E6595"/>
    </row>
    <row r="6596" spans="5:5" x14ac:dyDescent="0.25">
      <c r="E6596"/>
    </row>
    <row r="6597" spans="5:5" x14ac:dyDescent="0.25">
      <c r="E6597"/>
    </row>
    <row r="6598" spans="5:5" x14ac:dyDescent="0.25">
      <c r="E6598"/>
    </row>
    <row r="6599" spans="5:5" x14ac:dyDescent="0.25">
      <c r="E6599"/>
    </row>
    <row r="6600" spans="5:5" x14ac:dyDescent="0.25">
      <c r="E6600"/>
    </row>
    <row r="6601" spans="5:5" x14ac:dyDescent="0.25">
      <c r="E6601"/>
    </row>
    <row r="6602" spans="5:5" x14ac:dyDescent="0.25">
      <c r="E6602"/>
    </row>
    <row r="6603" spans="5:5" x14ac:dyDescent="0.25">
      <c r="E6603"/>
    </row>
    <row r="6604" spans="5:5" x14ac:dyDescent="0.25">
      <c r="E6604"/>
    </row>
    <row r="6605" spans="5:5" x14ac:dyDescent="0.25">
      <c r="E6605"/>
    </row>
    <row r="6606" spans="5:5" x14ac:dyDescent="0.25">
      <c r="E6606"/>
    </row>
    <row r="6607" spans="5:5" x14ac:dyDescent="0.25">
      <c r="E6607"/>
    </row>
    <row r="6608" spans="5:5" x14ac:dyDescent="0.25">
      <c r="E6608"/>
    </row>
    <row r="6609" spans="5:5" x14ac:dyDescent="0.25">
      <c r="E6609"/>
    </row>
    <row r="6610" spans="5:5" x14ac:dyDescent="0.25">
      <c r="E6610"/>
    </row>
    <row r="6611" spans="5:5" x14ac:dyDescent="0.25">
      <c r="E6611"/>
    </row>
    <row r="6612" spans="5:5" x14ac:dyDescent="0.25">
      <c r="E6612"/>
    </row>
    <row r="6613" spans="5:5" x14ac:dyDescent="0.25">
      <c r="E6613"/>
    </row>
    <row r="6614" spans="5:5" x14ac:dyDescent="0.25">
      <c r="E6614"/>
    </row>
    <row r="6615" spans="5:5" x14ac:dyDescent="0.25">
      <c r="E6615"/>
    </row>
    <row r="6616" spans="5:5" x14ac:dyDescent="0.25">
      <c r="E6616"/>
    </row>
    <row r="6617" spans="5:5" x14ac:dyDescent="0.25">
      <c r="E6617"/>
    </row>
    <row r="6618" spans="5:5" x14ac:dyDescent="0.25">
      <c r="E6618"/>
    </row>
    <row r="6619" spans="5:5" x14ac:dyDescent="0.25">
      <c r="E6619"/>
    </row>
    <row r="6620" spans="5:5" x14ac:dyDescent="0.25">
      <c r="E6620"/>
    </row>
    <row r="6621" spans="5:5" x14ac:dyDescent="0.25">
      <c r="E6621"/>
    </row>
    <row r="6622" spans="5:5" x14ac:dyDescent="0.25">
      <c r="E6622"/>
    </row>
    <row r="6623" spans="5:5" x14ac:dyDescent="0.25">
      <c r="E6623"/>
    </row>
    <row r="6624" spans="5:5" x14ac:dyDescent="0.25">
      <c r="E6624"/>
    </row>
    <row r="6625" spans="5:5" x14ac:dyDescent="0.25">
      <c r="E6625"/>
    </row>
    <row r="6626" spans="5:5" x14ac:dyDescent="0.25">
      <c r="E6626"/>
    </row>
    <row r="6627" spans="5:5" x14ac:dyDescent="0.25">
      <c r="E6627"/>
    </row>
    <row r="6628" spans="5:5" x14ac:dyDescent="0.25">
      <c r="E6628"/>
    </row>
    <row r="6629" spans="5:5" x14ac:dyDescent="0.25">
      <c r="E6629"/>
    </row>
    <row r="6630" spans="5:5" x14ac:dyDescent="0.25">
      <c r="E6630"/>
    </row>
    <row r="6631" spans="5:5" x14ac:dyDescent="0.25">
      <c r="E6631"/>
    </row>
    <row r="6632" spans="5:5" x14ac:dyDescent="0.25">
      <c r="E6632"/>
    </row>
    <row r="6633" spans="5:5" x14ac:dyDescent="0.25">
      <c r="E6633"/>
    </row>
    <row r="6634" spans="5:5" x14ac:dyDescent="0.25">
      <c r="E6634"/>
    </row>
    <row r="6635" spans="5:5" x14ac:dyDescent="0.25">
      <c r="E6635"/>
    </row>
    <row r="6636" spans="5:5" x14ac:dyDescent="0.25">
      <c r="E6636"/>
    </row>
    <row r="6637" spans="5:5" x14ac:dyDescent="0.25">
      <c r="E6637"/>
    </row>
    <row r="6638" spans="5:5" x14ac:dyDescent="0.25">
      <c r="E6638"/>
    </row>
    <row r="6639" spans="5:5" x14ac:dyDescent="0.25">
      <c r="E6639"/>
    </row>
    <row r="6640" spans="5:5" x14ac:dyDescent="0.25">
      <c r="E6640"/>
    </row>
    <row r="6641" spans="5:5" x14ac:dyDescent="0.25">
      <c r="E6641"/>
    </row>
    <row r="6642" spans="5:5" x14ac:dyDescent="0.25">
      <c r="E6642"/>
    </row>
    <row r="6643" spans="5:5" x14ac:dyDescent="0.25">
      <c r="E6643"/>
    </row>
    <row r="6644" spans="5:5" x14ac:dyDescent="0.25">
      <c r="E6644"/>
    </row>
    <row r="6645" spans="5:5" x14ac:dyDescent="0.25">
      <c r="E6645"/>
    </row>
    <row r="6646" spans="5:5" x14ac:dyDescent="0.25">
      <c r="E6646"/>
    </row>
    <row r="6647" spans="5:5" x14ac:dyDescent="0.25">
      <c r="E6647"/>
    </row>
    <row r="6648" spans="5:5" x14ac:dyDescent="0.25">
      <c r="E6648"/>
    </row>
    <row r="6649" spans="5:5" x14ac:dyDescent="0.25">
      <c r="E6649"/>
    </row>
    <row r="6650" spans="5:5" x14ac:dyDescent="0.25">
      <c r="E6650"/>
    </row>
    <row r="6651" spans="5:5" x14ac:dyDescent="0.25">
      <c r="E6651"/>
    </row>
    <row r="6652" spans="5:5" x14ac:dyDescent="0.25">
      <c r="E6652"/>
    </row>
    <row r="6653" spans="5:5" x14ac:dyDescent="0.25">
      <c r="E6653"/>
    </row>
    <row r="6654" spans="5:5" x14ac:dyDescent="0.25">
      <c r="E6654"/>
    </row>
    <row r="6655" spans="5:5" x14ac:dyDescent="0.25">
      <c r="E6655"/>
    </row>
    <row r="6656" spans="5:5" x14ac:dyDescent="0.25">
      <c r="E6656"/>
    </row>
    <row r="6657" spans="5:5" x14ac:dyDescent="0.25">
      <c r="E6657"/>
    </row>
    <row r="6658" spans="5:5" x14ac:dyDescent="0.25">
      <c r="E6658"/>
    </row>
    <row r="6659" spans="5:5" x14ac:dyDescent="0.25">
      <c r="E6659"/>
    </row>
    <row r="6660" spans="5:5" x14ac:dyDescent="0.25">
      <c r="E6660"/>
    </row>
    <row r="6661" spans="5:5" x14ac:dyDescent="0.25">
      <c r="E6661"/>
    </row>
    <row r="6662" spans="5:5" x14ac:dyDescent="0.25">
      <c r="E6662"/>
    </row>
    <row r="6663" spans="5:5" x14ac:dyDescent="0.25">
      <c r="E6663"/>
    </row>
    <row r="6664" spans="5:5" x14ac:dyDescent="0.25">
      <c r="E6664"/>
    </row>
    <row r="6665" spans="5:5" x14ac:dyDescent="0.25">
      <c r="E6665"/>
    </row>
    <row r="6666" spans="5:5" x14ac:dyDescent="0.25">
      <c r="E6666"/>
    </row>
    <row r="6667" spans="5:5" x14ac:dyDescent="0.25">
      <c r="E6667"/>
    </row>
    <row r="6668" spans="5:5" x14ac:dyDescent="0.25">
      <c r="E6668"/>
    </row>
    <row r="6669" spans="5:5" x14ac:dyDescent="0.25">
      <c r="E6669"/>
    </row>
    <row r="6670" spans="5:5" x14ac:dyDescent="0.25">
      <c r="E6670"/>
    </row>
    <row r="6671" spans="5:5" x14ac:dyDescent="0.25">
      <c r="E6671"/>
    </row>
    <row r="6672" spans="5:5" x14ac:dyDescent="0.25">
      <c r="E6672"/>
    </row>
    <row r="6673" spans="5:5" x14ac:dyDescent="0.25">
      <c r="E6673"/>
    </row>
    <row r="6674" spans="5:5" x14ac:dyDescent="0.25">
      <c r="E6674"/>
    </row>
    <row r="6675" spans="5:5" x14ac:dyDescent="0.25">
      <c r="E6675"/>
    </row>
    <row r="6676" spans="5:5" x14ac:dyDescent="0.25">
      <c r="E6676"/>
    </row>
    <row r="6677" spans="5:5" x14ac:dyDescent="0.25">
      <c r="E6677"/>
    </row>
    <row r="6678" spans="5:5" x14ac:dyDescent="0.25">
      <c r="E6678"/>
    </row>
    <row r="6679" spans="5:5" x14ac:dyDescent="0.25">
      <c r="E6679"/>
    </row>
    <row r="6680" spans="5:5" x14ac:dyDescent="0.25">
      <c r="E6680"/>
    </row>
    <row r="6681" spans="5:5" x14ac:dyDescent="0.25">
      <c r="E6681"/>
    </row>
    <row r="6682" spans="5:5" x14ac:dyDescent="0.25">
      <c r="E6682"/>
    </row>
    <row r="6683" spans="5:5" x14ac:dyDescent="0.25">
      <c r="E6683"/>
    </row>
    <row r="6684" spans="5:5" x14ac:dyDescent="0.25">
      <c r="E6684"/>
    </row>
    <row r="6685" spans="5:5" x14ac:dyDescent="0.25">
      <c r="E6685"/>
    </row>
    <row r="6686" spans="5:5" x14ac:dyDescent="0.25">
      <c r="E6686"/>
    </row>
    <row r="6687" spans="5:5" x14ac:dyDescent="0.25">
      <c r="E6687"/>
    </row>
    <row r="6688" spans="5:5" x14ac:dyDescent="0.25">
      <c r="E6688"/>
    </row>
    <row r="6689" spans="5:5" x14ac:dyDescent="0.25">
      <c r="E6689"/>
    </row>
    <row r="6690" spans="5:5" x14ac:dyDescent="0.25">
      <c r="E6690"/>
    </row>
    <row r="6691" spans="5:5" x14ac:dyDescent="0.25">
      <c r="E6691"/>
    </row>
    <row r="6692" spans="5:5" x14ac:dyDescent="0.25">
      <c r="E6692"/>
    </row>
    <row r="6693" spans="5:5" x14ac:dyDescent="0.25">
      <c r="E6693"/>
    </row>
    <row r="6694" spans="5:5" x14ac:dyDescent="0.25">
      <c r="E6694"/>
    </row>
    <row r="6695" spans="5:5" x14ac:dyDescent="0.25">
      <c r="E6695"/>
    </row>
    <row r="6696" spans="5:5" x14ac:dyDescent="0.25">
      <c r="E6696"/>
    </row>
    <row r="6697" spans="5:5" x14ac:dyDescent="0.25">
      <c r="E6697"/>
    </row>
    <row r="6698" spans="5:5" x14ac:dyDescent="0.25">
      <c r="E6698"/>
    </row>
    <row r="6699" spans="5:5" x14ac:dyDescent="0.25">
      <c r="E6699"/>
    </row>
    <row r="6700" spans="5:5" x14ac:dyDescent="0.25">
      <c r="E6700"/>
    </row>
    <row r="6701" spans="5:5" x14ac:dyDescent="0.25">
      <c r="E6701"/>
    </row>
    <row r="6702" spans="5:5" x14ac:dyDescent="0.25">
      <c r="E6702"/>
    </row>
    <row r="6703" spans="5:5" x14ac:dyDescent="0.25">
      <c r="E6703"/>
    </row>
    <row r="6704" spans="5:5" x14ac:dyDescent="0.25">
      <c r="E6704"/>
    </row>
    <row r="6705" spans="5:5" x14ac:dyDescent="0.25">
      <c r="E6705"/>
    </row>
    <row r="6706" spans="5:5" x14ac:dyDescent="0.25">
      <c r="E6706"/>
    </row>
    <row r="6707" spans="5:5" x14ac:dyDescent="0.25">
      <c r="E6707"/>
    </row>
    <row r="6708" spans="5:5" x14ac:dyDescent="0.25">
      <c r="E6708"/>
    </row>
    <row r="6709" spans="5:5" x14ac:dyDescent="0.25">
      <c r="E6709"/>
    </row>
    <row r="6710" spans="5:5" x14ac:dyDescent="0.25">
      <c r="E6710"/>
    </row>
    <row r="6711" spans="5:5" x14ac:dyDescent="0.25">
      <c r="E6711"/>
    </row>
    <row r="6712" spans="5:5" x14ac:dyDescent="0.25">
      <c r="E6712"/>
    </row>
    <row r="6713" spans="5:5" x14ac:dyDescent="0.25">
      <c r="E6713"/>
    </row>
    <row r="6714" spans="5:5" x14ac:dyDescent="0.25">
      <c r="E6714"/>
    </row>
    <row r="6715" spans="5:5" x14ac:dyDescent="0.25">
      <c r="E6715"/>
    </row>
    <row r="6716" spans="5:5" x14ac:dyDescent="0.25">
      <c r="E6716"/>
    </row>
    <row r="6717" spans="5:5" x14ac:dyDescent="0.25">
      <c r="E6717"/>
    </row>
    <row r="6718" spans="5:5" x14ac:dyDescent="0.25">
      <c r="E6718"/>
    </row>
    <row r="6719" spans="5:5" x14ac:dyDescent="0.25">
      <c r="E6719"/>
    </row>
    <row r="6720" spans="5:5" x14ac:dyDescent="0.25">
      <c r="E6720"/>
    </row>
    <row r="6721" spans="5:5" x14ac:dyDescent="0.25">
      <c r="E6721"/>
    </row>
    <row r="6722" spans="5:5" x14ac:dyDescent="0.25">
      <c r="E6722"/>
    </row>
    <row r="6723" spans="5:5" x14ac:dyDescent="0.25">
      <c r="E6723"/>
    </row>
    <row r="6724" spans="5:5" x14ac:dyDescent="0.25">
      <c r="E6724"/>
    </row>
    <row r="6725" spans="5:5" x14ac:dyDescent="0.25">
      <c r="E6725"/>
    </row>
    <row r="6726" spans="5:5" x14ac:dyDescent="0.25">
      <c r="E6726"/>
    </row>
    <row r="6727" spans="5:5" x14ac:dyDescent="0.25">
      <c r="E6727"/>
    </row>
    <row r="6728" spans="5:5" x14ac:dyDescent="0.25">
      <c r="E6728"/>
    </row>
    <row r="6729" spans="5:5" x14ac:dyDescent="0.25">
      <c r="E6729"/>
    </row>
    <row r="6730" spans="5:5" x14ac:dyDescent="0.25">
      <c r="E6730"/>
    </row>
    <row r="6731" spans="5:5" x14ac:dyDescent="0.25">
      <c r="E6731"/>
    </row>
    <row r="6732" spans="5:5" x14ac:dyDescent="0.25">
      <c r="E6732"/>
    </row>
    <row r="6733" spans="5:5" x14ac:dyDescent="0.25">
      <c r="E6733"/>
    </row>
    <row r="6734" spans="5:5" x14ac:dyDescent="0.25">
      <c r="E6734"/>
    </row>
    <row r="6735" spans="5:5" x14ac:dyDescent="0.25">
      <c r="E6735"/>
    </row>
    <row r="6736" spans="5:5" x14ac:dyDescent="0.25">
      <c r="E6736"/>
    </row>
    <row r="6737" spans="5:5" x14ac:dyDescent="0.25">
      <c r="E6737"/>
    </row>
    <row r="6738" spans="5:5" x14ac:dyDescent="0.25">
      <c r="E6738"/>
    </row>
    <row r="6739" spans="5:5" x14ac:dyDescent="0.25">
      <c r="E6739"/>
    </row>
    <row r="6740" spans="5:5" x14ac:dyDescent="0.25">
      <c r="E6740"/>
    </row>
    <row r="6741" spans="5:5" x14ac:dyDescent="0.25">
      <c r="E6741"/>
    </row>
    <row r="6742" spans="5:5" x14ac:dyDescent="0.25">
      <c r="E6742"/>
    </row>
    <row r="6743" spans="5:5" x14ac:dyDescent="0.25">
      <c r="E6743"/>
    </row>
    <row r="6744" spans="5:5" x14ac:dyDescent="0.25">
      <c r="E6744"/>
    </row>
    <row r="6745" spans="5:5" x14ac:dyDescent="0.25">
      <c r="E6745"/>
    </row>
    <row r="6746" spans="5:5" x14ac:dyDescent="0.25">
      <c r="E6746"/>
    </row>
    <row r="6747" spans="5:5" x14ac:dyDescent="0.25">
      <c r="E6747"/>
    </row>
    <row r="6748" spans="5:5" x14ac:dyDescent="0.25">
      <c r="E6748"/>
    </row>
    <row r="6749" spans="5:5" x14ac:dyDescent="0.25">
      <c r="E6749"/>
    </row>
    <row r="6750" spans="5:5" x14ac:dyDescent="0.25">
      <c r="E6750"/>
    </row>
    <row r="6751" spans="5:5" x14ac:dyDescent="0.25">
      <c r="E6751"/>
    </row>
    <row r="6752" spans="5:5" x14ac:dyDescent="0.25">
      <c r="E6752"/>
    </row>
    <row r="6753" spans="5:5" x14ac:dyDescent="0.25">
      <c r="E6753"/>
    </row>
    <row r="6754" spans="5:5" x14ac:dyDescent="0.25">
      <c r="E6754"/>
    </row>
    <row r="6755" spans="5:5" x14ac:dyDescent="0.25">
      <c r="E6755"/>
    </row>
    <row r="6756" spans="5:5" x14ac:dyDescent="0.25">
      <c r="E6756"/>
    </row>
    <row r="6757" spans="5:5" x14ac:dyDescent="0.25">
      <c r="E6757"/>
    </row>
    <row r="6758" spans="5:5" x14ac:dyDescent="0.25">
      <c r="E6758"/>
    </row>
    <row r="6759" spans="5:5" x14ac:dyDescent="0.25">
      <c r="E6759"/>
    </row>
    <row r="6760" spans="5:5" x14ac:dyDescent="0.25">
      <c r="E6760"/>
    </row>
    <row r="6761" spans="5:5" x14ac:dyDescent="0.25">
      <c r="E6761"/>
    </row>
    <row r="6762" spans="5:5" x14ac:dyDescent="0.25">
      <c r="E6762"/>
    </row>
    <row r="6763" spans="5:5" x14ac:dyDescent="0.25">
      <c r="E6763"/>
    </row>
    <row r="6764" spans="5:5" x14ac:dyDescent="0.25">
      <c r="E6764"/>
    </row>
    <row r="6765" spans="5:5" x14ac:dyDescent="0.25">
      <c r="E6765"/>
    </row>
    <row r="6766" spans="5:5" x14ac:dyDescent="0.25">
      <c r="E6766"/>
    </row>
    <row r="6767" spans="5:5" x14ac:dyDescent="0.25">
      <c r="E6767"/>
    </row>
    <row r="6768" spans="5:5" x14ac:dyDescent="0.25">
      <c r="E6768"/>
    </row>
    <row r="6769" spans="5:5" x14ac:dyDescent="0.25">
      <c r="E6769"/>
    </row>
    <row r="6770" spans="5:5" x14ac:dyDescent="0.25">
      <c r="E6770"/>
    </row>
    <row r="6771" spans="5:5" x14ac:dyDescent="0.25">
      <c r="E6771"/>
    </row>
    <row r="6772" spans="5:5" x14ac:dyDescent="0.25">
      <c r="E6772"/>
    </row>
    <row r="6773" spans="5:5" x14ac:dyDescent="0.25">
      <c r="E6773"/>
    </row>
    <row r="6774" spans="5:5" x14ac:dyDescent="0.25">
      <c r="E6774"/>
    </row>
    <row r="6775" spans="5:5" x14ac:dyDescent="0.25">
      <c r="E6775"/>
    </row>
    <row r="6776" spans="5:5" x14ac:dyDescent="0.25">
      <c r="E6776"/>
    </row>
    <row r="6777" spans="5:5" x14ac:dyDescent="0.25">
      <c r="E6777"/>
    </row>
    <row r="6778" spans="5:5" x14ac:dyDescent="0.25">
      <c r="E6778"/>
    </row>
    <row r="6779" spans="5:5" x14ac:dyDescent="0.25">
      <c r="E6779"/>
    </row>
    <row r="6780" spans="5:5" x14ac:dyDescent="0.25">
      <c r="E6780"/>
    </row>
    <row r="6781" spans="5:5" x14ac:dyDescent="0.25">
      <c r="E6781"/>
    </row>
    <row r="6782" spans="5:5" x14ac:dyDescent="0.25">
      <c r="E6782"/>
    </row>
    <row r="6783" spans="5:5" x14ac:dyDescent="0.25">
      <c r="E6783"/>
    </row>
    <row r="6784" spans="5:5" x14ac:dyDescent="0.25">
      <c r="E6784"/>
    </row>
    <row r="6785" spans="5:5" x14ac:dyDescent="0.25">
      <c r="E6785"/>
    </row>
    <row r="6786" spans="5:5" x14ac:dyDescent="0.25">
      <c r="E6786"/>
    </row>
    <row r="6787" spans="5:5" x14ac:dyDescent="0.25">
      <c r="E6787"/>
    </row>
    <row r="6788" spans="5:5" x14ac:dyDescent="0.25">
      <c r="E6788"/>
    </row>
    <row r="6789" spans="5:5" x14ac:dyDescent="0.25">
      <c r="E6789"/>
    </row>
    <row r="6790" spans="5:5" x14ac:dyDescent="0.25">
      <c r="E6790"/>
    </row>
    <row r="6791" spans="5:5" x14ac:dyDescent="0.25">
      <c r="E6791"/>
    </row>
    <row r="6792" spans="5:5" x14ac:dyDescent="0.25">
      <c r="E6792"/>
    </row>
    <row r="6793" spans="5:5" x14ac:dyDescent="0.25">
      <c r="E6793"/>
    </row>
    <row r="6794" spans="5:5" x14ac:dyDescent="0.25">
      <c r="E6794"/>
    </row>
    <row r="6795" spans="5:5" x14ac:dyDescent="0.25">
      <c r="E6795"/>
    </row>
    <row r="6796" spans="5:5" x14ac:dyDescent="0.25">
      <c r="E6796"/>
    </row>
    <row r="6797" spans="5:5" x14ac:dyDescent="0.25">
      <c r="E6797"/>
    </row>
    <row r="6798" spans="5:5" x14ac:dyDescent="0.25">
      <c r="E6798"/>
    </row>
    <row r="6799" spans="5:5" x14ac:dyDescent="0.25">
      <c r="E6799"/>
    </row>
    <row r="6800" spans="5:5" x14ac:dyDescent="0.25">
      <c r="E6800"/>
    </row>
    <row r="6801" spans="5:5" x14ac:dyDescent="0.25">
      <c r="E6801"/>
    </row>
    <row r="6802" spans="5:5" x14ac:dyDescent="0.25">
      <c r="E6802"/>
    </row>
    <row r="6803" spans="5:5" x14ac:dyDescent="0.25">
      <c r="E6803"/>
    </row>
    <row r="6804" spans="5:5" x14ac:dyDescent="0.25">
      <c r="E6804"/>
    </row>
    <row r="6805" spans="5:5" x14ac:dyDescent="0.25">
      <c r="E6805"/>
    </row>
    <row r="6806" spans="5:5" x14ac:dyDescent="0.25">
      <c r="E6806"/>
    </row>
    <row r="6807" spans="5:5" x14ac:dyDescent="0.25">
      <c r="E6807"/>
    </row>
    <row r="6808" spans="5:5" x14ac:dyDescent="0.25">
      <c r="E6808"/>
    </row>
    <row r="6809" spans="5:5" x14ac:dyDescent="0.25">
      <c r="E6809"/>
    </row>
    <row r="6810" spans="5:5" x14ac:dyDescent="0.25">
      <c r="E6810"/>
    </row>
    <row r="6811" spans="5:5" x14ac:dyDescent="0.25">
      <c r="E6811"/>
    </row>
    <row r="6812" spans="5:5" x14ac:dyDescent="0.25">
      <c r="E6812"/>
    </row>
    <row r="6813" spans="5:5" x14ac:dyDescent="0.25">
      <c r="E6813"/>
    </row>
    <row r="6814" spans="5:5" x14ac:dyDescent="0.25">
      <c r="E6814"/>
    </row>
    <row r="6815" spans="5:5" x14ac:dyDescent="0.25">
      <c r="E6815"/>
    </row>
    <row r="6816" spans="5:5" x14ac:dyDescent="0.25">
      <c r="E6816"/>
    </row>
    <row r="6817" spans="5:5" x14ac:dyDescent="0.25">
      <c r="E6817"/>
    </row>
    <row r="6818" spans="5:5" x14ac:dyDescent="0.25">
      <c r="E6818"/>
    </row>
    <row r="6819" spans="5:5" x14ac:dyDescent="0.25">
      <c r="E6819"/>
    </row>
    <row r="6820" spans="5:5" x14ac:dyDescent="0.25">
      <c r="E6820"/>
    </row>
    <row r="6821" spans="5:5" x14ac:dyDescent="0.25">
      <c r="E6821"/>
    </row>
    <row r="6822" spans="5:5" x14ac:dyDescent="0.25">
      <c r="E6822"/>
    </row>
    <row r="6823" spans="5:5" x14ac:dyDescent="0.25">
      <c r="E6823"/>
    </row>
    <row r="6824" spans="5:5" x14ac:dyDescent="0.25">
      <c r="E6824"/>
    </row>
    <row r="6825" spans="5:5" x14ac:dyDescent="0.25">
      <c r="E6825"/>
    </row>
    <row r="6826" spans="5:5" x14ac:dyDescent="0.25">
      <c r="E6826"/>
    </row>
    <row r="6827" spans="5:5" x14ac:dyDescent="0.25">
      <c r="E6827"/>
    </row>
    <row r="6828" spans="5:5" x14ac:dyDescent="0.25">
      <c r="E6828"/>
    </row>
    <row r="6829" spans="5:5" x14ac:dyDescent="0.25">
      <c r="E6829"/>
    </row>
    <row r="6830" spans="5:5" x14ac:dyDescent="0.25">
      <c r="E6830"/>
    </row>
    <row r="6831" spans="5:5" x14ac:dyDescent="0.25">
      <c r="E6831"/>
    </row>
    <row r="6832" spans="5:5" x14ac:dyDescent="0.25">
      <c r="E6832"/>
    </row>
    <row r="6833" spans="5:5" x14ac:dyDescent="0.25">
      <c r="E6833"/>
    </row>
    <row r="6834" spans="5:5" x14ac:dyDescent="0.25">
      <c r="E6834"/>
    </row>
    <row r="6835" spans="5:5" x14ac:dyDescent="0.25">
      <c r="E6835"/>
    </row>
    <row r="6836" spans="5:5" x14ac:dyDescent="0.25">
      <c r="E6836"/>
    </row>
    <row r="6837" spans="5:5" x14ac:dyDescent="0.25">
      <c r="E6837"/>
    </row>
    <row r="6838" spans="5:5" x14ac:dyDescent="0.25">
      <c r="E6838"/>
    </row>
    <row r="6839" spans="5:5" x14ac:dyDescent="0.25">
      <c r="E6839"/>
    </row>
    <row r="6840" spans="5:5" x14ac:dyDescent="0.25">
      <c r="E6840"/>
    </row>
    <row r="6841" spans="5:5" x14ac:dyDescent="0.25">
      <c r="E6841"/>
    </row>
    <row r="6842" spans="5:5" x14ac:dyDescent="0.25">
      <c r="E6842"/>
    </row>
    <row r="6843" spans="5:5" x14ac:dyDescent="0.25">
      <c r="E6843"/>
    </row>
    <row r="6844" spans="5:5" x14ac:dyDescent="0.25">
      <c r="E6844"/>
    </row>
    <row r="6845" spans="5:5" x14ac:dyDescent="0.25">
      <c r="E6845"/>
    </row>
    <row r="6846" spans="5:5" x14ac:dyDescent="0.25">
      <c r="E6846"/>
    </row>
    <row r="6847" spans="5:5" x14ac:dyDescent="0.25">
      <c r="E6847"/>
    </row>
    <row r="6848" spans="5:5" x14ac:dyDescent="0.25">
      <c r="E6848"/>
    </row>
    <row r="6849" spans="5:5" x14ac:dyDescent="0.25">
      <c r="E6849"/>
    </row>
    <row r="6850" spans="5:5" x14ac:dyDescent="0.25">
      <c r="E6850"/>
    </row>
    <row r="6851" spans="5:5" x14ac:dyDescent="0.25">
      <c r="E6851"/>
    </row>
    <row r="6852" spans="5:5" x14ac:dyDescent="0.25">
      <c r="E6852"/>
    </row>
    <row r="6853" spans="5:5" x14ac:dyDescent="0.25">
      <c r="E6853"/>
    </row>
    <row r="6854" spans="5:5" x14ac:dyDescent="0.25">
      <c r="E6854"/>
    </row>
    <row r="6855" spans="5:5" x14ac:dyDescent="0.25">
      <c r="E6855"/>
    </row>
    <row r="6856" spans="5:5" x14ac:dyDescent="0.25">
      <c r="E6856"/>
    </row>
    <row r="6857" spans="5:5" x14ac:dyDescent="0.25">
      <c r="E6857"/>
    </row>
    <row r="6858" spans="5:5" x14ac:dyDescent="0.25">
      <c r="E6858"/>
    </row>
    <row r="6859" spans="5:5" x14ac:dyDescent="0.25">
      <c r="E6859"/>
    </row>
    <row r="6860" spans="5:5" x14ac:dyDescent="0.25">
      <c r="E6860"/>
    </row>
    <row r="6861" spans="5:5" x14ac:dyDescent="0.25">
      <c r="E6861"/>
    </row>
    <row r="6862" spans="5:5" x14ac:dyDescent="0.25">
      <c r="E6862"/>
    </row>
    <row r="6863" spans="5:5" x14ac:dyDescent="0.25">
      <c r="E6863"/>
    </row>
    <row r="6864" spans="5:5" x14ac:dyDescent="0.25">
      <c r="E6864"/>
    </row>
    <row r="6865" spans="5:5" x14ac:dyDescent="0.25">
      <c r="E6865"/>
    </row>
    <row r="6866" spans="5:5" x14ac:dyDescent="0.25">
      <c r="E6866"/>
    </row>
    <row r="6867" spans="5:5" x14ac:dyDescent="0.25">
      <c r="E6867"/>
    </row>
    <row r="6868" spans="5:5" x14ac:dyDescent="0.25">
      <c r="E6868"/>
    </row>
    <row r="6869" spans="5:5" x14ac:dyDescent="0.25">
      <c r="E6869"/>
    </row>
    <row r="6870" spans="5:5" x14ac:dyDescent="0.25">
      <c r="E6870"/>
    </row>
    <row r="6871" spans="5:5" x14ac:dyDescent="0.25">
      <c r="E6871"/>
    </row>
    <row r="6872" spans="5:5" x14ac:dyDescent="0.25">
      <c r="E6872"/>
    </row>
    <row r="6873" spans="5:5" x14ac:dyDescent="0.25">
      <c r="E6873"/>
    </row>
    <row r="6874" spans="5:5" x14ac:dyDescent="0.25">
      <c r="E6874"/>
    </row>
    <row r="6875" spans="5:5" x14ac:dyDescent="0.25">
      <c r="E6875"/>
    </row>
    <row r="6876" spans="5:5" x14ac:dyDescent="0.25">
      <c r="E6876"/>
    </row>
    <row r="6877" spans="5:5" x14ac:dyDescent="0.25">
      <c r="E6877"/>
    </row>
    <row r="6878" spans="5:5" x14ac:dyDescent="0.25">
      <c r="E6878"/>
    </row>
    <row r="6879" spans="5:5" x14ac:dyDescent="0.25">
      <c r="E6879"/>
    </row>
    <row r="6880" spans="5:5" x14ac:dyDescent="0.25">
      <c r="E6880"/>
    </row>
    <row r="6881" spans="5:5" x14ac:dyDescent="0.25">
      <c r="E6881"/>
    </row>
    <row r="6882" spans="5:5" x14ac:dyDescent="0.25">
      <c r="E6882"/>
    </row>
    <row r="6883" spans="5:5" x14ac:dyDescent="0.25">
      <c r="E6883"/>
    </row>
    <row r="6884" spans="5:5" x14ac:dyDescent="0.25">
      <c r="E6884"/>
    </row>
    <row r="6885" spans="5:5" x14ac:dyDescent="0.25">
      <c r="E6885"/>
    </row>
    <row r="6886" spans="5:5" x14ac:dyDescent="0.25">
      <c r="E6886"/>
    </row>
    <row r="6887" spans="5:5" x14ac:dyDescent="0.25">
      <c r="E6887"/>
    </row>
    <row r="6888" spans="5:5" x14ac:dyDescent="0.25">
      <c r="E6888"/>
    </row>
    <row r="6889" spans="5:5" x14ac:dyDescent="0.25">
      <c r="E6889"/>
    </row>
    <row r="6890" spans="5:5" x14ac:dyDescent="0.25">
      <c r="E6890"/>
    </row>
    <row r="6891" spans="5:5" x14ac:dyDescent="0.25">
      <c r="E6891"/>
    </row>
    <row r="6892" spans="5:5" x14ac:dyDescent="0.25">
      <c r="E6892"/>
    </row>
    <row r="6893" spans="5:5" x14ac:dyDescent="0.25">
      <c r="E6893"/>
    </row>
    <row r="6894" spans="5:5" x14ac:dyDescent="0.25">
      <c r="E6894"/>
    </row>
    <row r="6895" spans="5:5" x14ac:dyDescent="0.25">
      <c r="E6895"/>
    </row>
    <row r="6896" spans="5:5" x14ac:dyDescent="0.25">
      <c r="E6896"/>
    </row>
    <row r="6897" spans="5:5" x14ac:dyDescent="0.25">
      <c r="E6897"/>
    </row>
    <row r="6898" spans="5:5" x14ac:dyDescent="0.25">
      <c r="E6898"/>
    </row>
    <row r="6899" spans="5:5" x14ac:dyDescent="0.25">
      <c r="E6899"/>
    </row>
    <row r="6900" spans="5:5" x14ac:dyDescent="0.25">
      <c r="E6900"/>
    </row>
    <row r="6901" spans="5:5" x14ac:dyDescent="0.25">
      <c r="E6901"/>
    </row>
    <row r="6902" spans="5:5" x14ac:dyDescent="0.25">
      <c r="E6902"/>
    </row>
    <row r="6903" spans="5:5" x14ac:dyDescent="0.25">
      <c r="E6903"/>
    </row>
    <row r="6904" spans="5:5" x14ac:dyDescent="0.25">
      <c r="E6904"/>
    </row>
    <row r="6905" spans="5:5" x14ac:dyDescent="0.25">
      <c r="E6905"/>
    </row>
    <row r="6906" spans="5:5" x14ac:dyDescent="0.25">
      <c r="E6906"/>
    </row>
    <row r="6907" spans="5:5" x14ac:dyDescent="0.25">
      <c r="E6907"/>
    </row>
    <row r="6908" spans="5:5" x14ac:dyDescent="0.25">
      <c r="E6908"/>
    </row>
    <row r="6909" spans="5:5" x14ac:dyDescent="0.25">
      <c r="E6909"/>
    </row>
    <row r="6910" spans="5:5" x14ac:dyDescent="0.25">
      <c r="E6910"/>
    </row>
    <row r="6911" spans="5:5" x14ac:dyDescent="0.25">
      <c r="E6911"/>
    </row>
    <row r="6912" spans="5:5" x14ac:dyDescent="0.25">
      <c r="E6912"/>
    </row>
    <row r="6913" spans="5:5" x14ac:dyDescent="0.25">
      <c r="E6913"/>
    </row>
    <row r="6914" spans="5:5" x14ac:dyDescent="0.25">
      <c r="E6914"/>
    </row>
    <row r="6915" spans="5:5" x14ac:dyDescent="0.25">
      <c r="E6915"/>
    </row>
    <row r="6916" spans="5:5" x14ac:dyDescent="0.25">
      <c r="E6916"/>
    </row>
    <row r="6917" spans="5:5" x14ac:dyDescent="0.25">
      <c r="E6917"/>
    </row>
    <row r="6918" spans="5:5" x14ac:dyDescent="0.25">
      <c r="E6918"/>
    </row>
    <row r="6919" spans="5:5" x14ac:dyDescent="0.25">
      <c r="E6919"/>
    </row>
    <row r="6920" spans="5:5" x14ac:dyDescent="0.25">
      <c r="E6920"/>
    </row>
    <row r="6921" spans="5:5" x14ac:dyDescent="0.25">
      <c r="E6921"/>
    </row>
    <row r="6922" spans="5:5" x14ac:dyDescent="0.25">
      <c r="E6922"/>
    </row>
    <row r="6923" spans="5:5" x14ac:dyDescent="0.25">
      <c r="E6923"/>
    </row>
    <row r="6924" spans="5:5" x14ac:dyDescent="0.25">
      <c r="E6924"/>
    </row>
    <row r="6925" spans="5:5" x14ac:dyDescent="0.25">
      <c r="E6925"/>
    </row>
    <row r="6926" spans="5:5" x14ac:dyDescent="0.25">
      <c r="E6926"/>
    </row>
    <row r="6927" spans="5:5" x14ac:dyDescent="0.25">
      <c r="E6927"/>
    </row>
    <row r="6928" spans="5:5" x14ac:dyDescent="0.25">
      <c r="E6928"/>
    </row>
    <row r="6929" spans="5:5" x14ac:dyDescent="0.25">
      <c r="E6929"/>
    </row>
    <row r="6930" spans="5:5" x14ac:dyDescent="0.25">
      <c r="E6930"/>
    </row>
    <row r="6931" spans="5:5" x14ac:dyDescent="0.25">
      <c r="E6931"/>
    </row>
    <row r="6932" spans="5:5" x14ac:dyDescent="0.25">
      <c r="E6932"/>
    </row>
    <row r="6933" spans="5:5" x14ac:dyDescent="0.25">
      <c r="E6933"/>
    </row>
    <row r="6934" spans="5:5" x14ac:dyDescent="0.25">
      <c r="E6934"/>
    </row>
    <row r="6935" spans="5:5" x14ac:dyDescent="0.25">
      <c r="E6935"/>
    </row>
    <row r="6936" spans="5:5" x14ac:dyDescent="0.25">
      <c r="E6936"/>
    </row>
    <row r="6937" spans="5:5" x14ac:dyDescent="0.25">
      <c r="E6937"/>
    </row>
    <row r="6938" spans="5:5" x14ac:dyDescent="0.25">
      <c r="E6938"/>
    </row>
    <row r="6939" spans="5:5" x14ac:dyDescent="0.25">
      <c r="E6939"/>
    </row>
    <row r="6940" spans="5:5" x14ac:dyDescent="0.25">
      <c r="E6940"/>
    </row>
    <row r="6941" spans="5:5" x14ac:dyDescent="0.25">
      <c r="E6941"/>
    </row>
    <row r="6942" spans="5:5" x14ac:dyDescent="0.25">
      <c r="E6942"/>
    </row>
    <row r="6943" spans="5:5" x14ac:dyDescent="0.25">
      <c r="E6943"/>
    </row>
    <row r="6944" spans="5:5" x14ac:dyDescent="0.25">
      <c r="E6944"/>
    </row>
    <row r="6945" spans="5:5" x14ac:dyDescent="0.25">
      <c r="E6945"/>
    </row>
    <row r="6946" spans="5:5" x14ac:dyDescent="0.25">
      <c r="E6946"/>
    </row>
    <row r="6947" spans="5:5" x14ac:dyDescent="0.25">
      <c r="E6947"/>
    </row>
    <row r="6948" spans="5:5" x14ac:dyDescent="0.25">
      <c r="E6948"/>
    </row>
    <row r="6949" spans="5:5" x14ac:dyDescent="0.25">
      <c r="E6949"/>
    </row>
    <row r="6950" spans="5:5" x14ac:dyDescent="0.25">
      <c r="E6950"/>
    </row>
    <row r="6951" spans="5:5" x14ac:dyDescent="0.25">
      <c r="E6951"/>
    </row>
    <row r="6952" spans="5:5" x14ac:dyDescent="0.25">
      <c r="E6952"/>
    </row>
    <row r="6953" spans="5:5" x14ac:dyDescent="0.25">
      <c r="E6953"/>
    </row>
    <row r="6954" spans="5:5" x14ac:dyDescent="0.25">
      <c r="E6954"/>
    </row>
    <row r="6955" spans="5:5" x14ac:dyDescent="0.25">
      <c r="E6955"/>
    </row>
    <row r="6956" spans="5:5" x14ac:dyDescent="0.25">
      <c r="E6956"/>
    </row>
    <row r="6957" spans="5:5" x14ac:dyDescent="0.25">
      <c r="E6957"/>
    </row>
    <row r="6958" spans="5:5" x14ac:dyDescent="0.25">
      <c r="E6958"/>
    </row>
    <row r="6959" spans="5:5" x14ac:dyDescent="0.25">
      <c r="E6959"/>
    </row>
    <row r="6960" spans="5:5" x14ac:dyDescent="0.25">
      <c r="E6960"/>
    </row>
    <row r="6961" spans="5:5" x14ac:dyDescent="0.25">
      <c r="E6961"/>
    </row>
    <row r="6962" spans="5:5" x14ac:dyDescent="0.25">
      <c r="E6962"/>
    </row>
    <row r="6963" spans="5:5" x14ac:dyDescent="0.25">
      <c r="E6963"/>
    </row>
    <row r="6964" spans="5:5" x14ac:dyDescent="0.25">
      <c r="E6964"/>
    </row>
    <row r="6965" spans="5:5" x14ac:dyDescent="0.25">
      <c r="E6965"/>
    </row>
    <row r="6966" spans="5:5" x14ac:dyDescent="0.25">
      <c r="E6966"/>
    </row>
    <row r="6967" spans="5:5" x14ac:dyDescent="0.25">
      <c r="E6967"/>
    </row>
    <row r="6968" spans="5:5" x14ac:dyDescent="0.25">
      <c r="E6968"/>
    </row>
    <row r="6969" spans="5:5" x14ac:dyDescent="0.25">
      <c r="E6969"/>
    </row>
    <row r="6970" spans="5:5" x14ac:dyDescent="0.25">
      <c r="E6970"/>
    </row>
    <row r="6971" spans="5:5" x14ac:dyDescent="0.25">
      <c r="E6971"/>
    </row>
    <row r="6972" spans="5:5" x14ac:dyDescent="0.25">
      <c r="E6972"/>
    </row>
    <row r="6973" spans="5:5" x14ac:dyDescent="0.25">
      <c r="E6973"/>
    </row>
    <row r="6974" spans="5:5" x14ac:dyDescent="0.25">
      <c r="E6974"/>
    </row>
    <row r="6975" spans="5:5" x14ac:dyDescent="0.25">
      <c r="E6975"/>
    </row>
    <row r="6976" spans="5:5" x14ac:dyDescent="0.25">
      <c r="E6976"/>
    </row>
    <row r="6977" spans="5:5" x14ac:dyDescent="0.25">
      <c r="E6977"/>
    </row>
    <row r="6978" spans="5:5" x14ac:dyDescent="0.25">
      <c r="E6978"/>
    </row>
    <row r="6979" spans="5:5" x14ac:dyDescent="0.25">
      <c r="E6979"/>
    </row>
    <row r="6980" spans="5:5" x14ac:dyDescent="0.25">
      <c r="E6980"/>
    </row>
    <row r="6981" spans="5:5" x14ac:dyDescent="0.25">
      <c r="E6981"/>
    </row>
    <row r="6982" spans="5:5" x14ac:dyDescent="0.25">
      <c r="E6982"/>
    </row>
    <row r="6983" spans="5:5" x14ac:dyDescent="0.25">
      <c r="E6983"/>
    </row>
    <row r="6984" spans="5:5" x14ac:dyDescent="0.25">
      <c r="E6984"/>
    </row>
    <row r="6985" spans="5:5" x14ac:dyDescent="0.25">
      <c r="E6985"/>
    </row>
    <row r="6986" spans="5:5" x14ac:dyDescent="0.25">
      <c r="E6986"/>
    </row>
    <row r="6987" spans="5:5" x14ac:dyDescent="0.25">
      <c r="E6987"/>
    </row>
    <row r="6988" spans="5:5" x14ac:dyDescent="0.25">
      <c r="E6988"/>
    </row>
    <row r="6989" spans="5:5" x14ac:dyDescent="0.25">
      <c r="E6989"/>
    </row>
    <row r="6990" spans="5:5" x14ac:dyDescent="0.25">
      <c r="E6990"/>
    </row>
    <row r="6991" spans="5:5" x14ac:dyDescent="0.25">
      <c r="E6991"/>
    </row>
    <row r="6992" spans="5:5" x14ac:dyDescent="0.25">
      <c r="E6992"/>
    </row>
    <row r="6993" spans="5:5" x14ac:dyDescent="0.25">
      <c r="E6993"/>
    </row>
    <row r="6994" spans="5:5" x14ac:dyDescent="0.25">
      <c r="E6994"/>
    </row>
    <row r="6995" spans="5:5" x14ac:dyDescent="0.25">
      <c r="E6995"/>
    </row>
    <row r="6996" spans="5:5" x14ac:dyDescent="0.25">
      <c r="E6996"/>
    </row>
    <row r="6997" spans="5:5" x14ac:dyDescent="0.25">
      <c r="E6997"/>
    </row>
    <row r="6998" spans="5:5" x14ac:dyDescent="0.25">
      <c r="E6998"/>
    </row>
    <row r="6999" spans="5:5" x14ac:dyDescent="0.25">
      <c r="E6999"/>
    </row>
    <row r="7000" spans="5:5" x14ac:dyDescent="0.25">
      <c r="E7000"/>
    </row>
    <row r="7001" spans="5:5" x14ac:dyDescent="0.25">
      <c r="E7001"/>
    </row>
    <row r="7002" spans="5:5" x14ac:dyDescent="0.25">
      <c r="E7002"/>
    </row>
    <row r="7003" spans="5:5" x14ac:dyDescent="0.25">
      <c r="E7003"/>
    </row>
    <row r="7004" spans="5:5" x14ac:dyDescent="0.25">
      <c r="E7004"/>
    </row>
    <row r="7005" spans="5:5" x14ac:dyDescent="0.25">
      <c r="E7005"/>
    </row>
    <row r="7006" spans="5:5" x14ac:dyDescent="0.25">
      <c r="E7006"/>
    </row>
    <row r="7007" spans="5:5" x14ac:dyDescent="0.25">
      <c r="E7007"/>
    </row>
    <row r="7008" spans="5:5" x14ac:dyDescent="0.25">
      <c r="E7008"/>
    </row>
    <row r="7009" spans="5:5" x14ac:dyDescent="0.25">
      <c r="E7009"/>
    </row>
    <row r="7010" spans="5:5" x14ac:dyDescent="0.25">
      <c r="E7010"/>
    </row>
    <row r="7011" spans="5:5" x14ac:dyDescent="0.25">
      <c r="E7011"/>
    </row>
    <row r="7012" spans="5:5" x14ac:dyDescent="0.25">
      <c r="E7012"/>
    </row>
    <row r="7013" spans="5:5" x14ac:dyDescent="0.25">
      <c r="E7013"/>
    </row>
    <row r="7014" spans="5:5" x14ac:dyDescent="0.25">
      <c r="E7014"/>
    </row>
    <row r="7015" spans="5:5" x14ac:dyDescent="0.25">
      <c r="E7015"/>
    </row>
    <row r="7016" spans="5:5" x14ac:dyDescent="0.25">
      <c r="E7016"/>
    </row>
    <row r="7017" spans="5:5" x14ac:dyDescent="0.25">
      <c r="E7017"/>
    </row>
    <row r="7018" spans="5:5" x14ac:dyDescent="0.25">
      <c r="E7018"/>
    </row>
    <row r="7019" spans="5:5" x14ac:dyDescent="0.25">
      <c r="E7019"/>
    </row>
    <row r="7020" spans="5:5" x14ac:dyDescent="0.25">
      <c r="E7020"/>
    </row>
    <row r="7021" spans="5:5" x14ac:dyDescent="0.25">
      <c r="E7021"/>
    </row>
    <row r="7022" spans="5:5" x14ac:dyDescent="0.25">
      <c r="E7022"/>
    </row>
    <row r="7023" spans="5:5" x14ac:dyDescent="0.25">
      <c r="E7023"/>
    </row>
    <row r="7024" spans="5:5" x14ac:dyDescent="0.25">
      <c r="E7024"/>
    </row>
    <row r="7025" spans="5:5" x14ac:dyDescent="0.25">
      <c r="E7025"/>
    </row>
    <row r="7026" spans="5:5" x14ac:dyDescent="0.25">
      <c r="E7026"/>
    </row>
    <row r="7027" spans="5:5" x14ac:dyDescent="0.25">
      <c r="E7027"/>
    </row>
    <row r="7028" spans="5:5" x14ac:dyDescent="0.25">
      <c r="E7028"/>
    </row>
    <row r="7029" spans="5:5" x14ac:dyDescent="0.25">
      <c r="E7029"/>
    </row>
    <row r="7030" spans="5:5" x14ac:dyDescent="0.25">
      <c r="E7030"/>
    </row>
    <row r="7031" spans="5:5" x14ac:dyDescent="0.25">
      <c r="E7031"/>
    </row>
    <row r="7032" spans="5:5" x14ac:dyDescent="0.25">
      <c r="E7032"/>
    </row>
    <row r="7033" spans="5:5" x14ac:dyDescent="0.25">
      <c r="E7033"/>
    </row>
    <row r="7034" spans="5:5" x14ac:dyDescent="0.25">
      <c r="E7034"/>
    </row>
    <row r="7035" spans="5:5" x14ac:dyDescent="0.25">
      <c r="E7035"/>
    </row>
    <row r="7036" spans="5:5" x14ac:dyDescent="0.25">
      <c r="E7036"/>
    </row>
    <row r="7037" spans="5:5" x14ac:dyDescent="0.25">
      <c r="E7037"/>
    </row>
    <row r="7038" spans="5:5" x14ac:dyDescent="0.25">
      <c r="E7038"/>
    </row>
    <row r="7039" spans="5:5" x14ac:dyDescent="0.25">
      <c r="E7039"/>
    </row>
    <row r="7040" spans="5:5" x14ac:dyDescent="0.25">
      <c r="E7040"/>
    </row>
    <row r="7041" spans="5:5" x14ac:dyDescent="0.25">
      <c r="E7041"/>
    </row>
    <row r="7042" spans="5:5" x14ac:dyDescent="0.25">
      <c r="E7042"/>
    </row>
    <row r="7043" spans="5:5" x14ac:dyDescent="0.25">
      <c r="E7043"/>
    </row>
    <row r="7044" spans="5:5" x14ac:dyDescent="0.25">
      <c r="E7044"/>
    </row>
    <row r="7045" spans="5:5" x14ac:dyDescent="0.25">
      <c r="E7045"/>
    </row>
    <row r="7046" spans="5:5" x14ac:dyDescent="0.25">
      <c r="E7046"/>
    </row>
    <row r="7047" spans="5:5" x14ac:dyDescent="0.25">
      <c r="E7047"/>
    </row>
    <row r="7048" spans="5:5" x14ac:dyDescent="0.25">
      <c r="E7048"/>
    </row>
    <row r="7049" spans="5:5" x14ac:dyDescent="0.25">
      <c r="E7049"/>
    </row>
    <row r="7050" spans="5:5" x14ac:dyDescent="0.25">
      <c r="E7050"/>
    </row>
    <row r="7051" spans="5:5" x14ac:dyDescent="0.25">
      <c r="E7051"/>
    </row>
    <row r="7052" spans="5:5" x14ac:dyDescent="0.25">
      <c r="E7052"/>
    </row>
    <row r="7053" spans="5:5" x14ac:dyDescent="0.25">
      <c r="E7053"/>
    </row>
    <row r="7054" spans="5:5" x14ac:dyDescent="0.25">
      <c r="E7054"/>
    </row>
    <row r="7055" spans="5:5" x14ac:dyDescent="0.25">
      <c r="E7055"/>
    </row>
    <row r="7056" spans="5:5" x14ac:dyDescent="0.25">
      <c r="E7056"/>
    </row>
    <row r="7057" spans="5:5" x14ac:dyDescent="0.25">
      <c r="E7057"/>
    </row>
    <row r="7058" spans="5:5" x14ac:dyDescent="0.25">
      <c r="E7058"/>
    </row>
    <row r="7059" spans="5:5" x14ac:dyDescent="0.25">
      <c r="E7059"/>
    </row>
    <row r="7060" spans="5:5" x14ac:dyDescent="0.25">
      <c r="E7060"/>
    </row>
    <row r="7061" spans="5:5" x14ac:dyDescent="0.25">
      <c r="E7061"/>
    </row>
    <row r="7062" spans="5:5" x14ac:dyDescent="0.25">
      <c r="E7062"/>
    </row>
    <row r="7063" spans="5:5" x14ac:dyDescent="0.25">
      <c r="E7063"/>
    </row>
    <row r="7064" spans="5:5" x14ac:dyDescent="0.25">
      <c r="E7064"/>
    </row>
    <row r="7065" spans="5:5" x14ac:dyDescent="0.25">
      <c r="E7065"/>
    </row>
    <row r="7066" spans="5:5" x14ac:dyDescent="0.25">
      <c r="E7066"/>
    </row>
    <row r="7067" spans="5:5" x14ac:dyDescent="0.25">
      <c r="E7067"/>
    </row>
    <row r="7068" spans="5:5" x14ac:dyDescent="0.25">
      <c r="E7068"/>
    </row>
    <row r="7069" spans="5:5" x14ac:dyDescent="0.25">
      <c r="E7069"/>
    </row>
    <row r="7070" spans="5:5" x14ac:dyDescent="0.25">
      <c r="E7070"/>
    </row>
    <row r="7071" spans="5:5" x14ac:dyDescent="0.25">
      <c r="E7071"/>
    </row>
    <row r="7072" spans="5:5" x14ac:dyDescent="0.25">
      <c r="E7072"/>
    </row>
    <row r="7073" spans="5:5" x14ac:dyDescent="0.25">
      <c r="E7073"/>
    </row>
    <row r="7074" spans="5:5" x14ac:dyDescent="0.25">
      <c r="E7074"/>
    </row>
    <row r="7075" spans="5:5" x14ac:dyDescent="0.25">
      <c r="E7075"/>
    </row>
    <row r="7076" spans="5:5" x14ac:dyDescent="0.25">
      <c r="E7076"/>
    </row>
    <row r="7077" spans="5:5" x14ac:dyDescent="0.25">
      <c r="E7077"/>
    </row>
    <row r="7078" spans="5:5" x14ac:dyDescent="0.25">
      <c r="E7078"/>
    </row>
    <row r="7079" spans="5:5" x14ac:dyDescent="0.25">
      <c r="E7079"/>
    </row>
    <row r="7080" spans="5:5" x14ac:dyDescent="0.25">
      <c r="E7080"/>
    </row>
    <row r="7081" spans="5:5" x14ac:dyDescent="0.25">
      <c r="E7081"/>
    </row>
    <row r="7082" spans="5:5" x14ac:dyDescent="0.25">
      <c r="E7082"/>
    </row>
    <row r="7083" spans="5:5" x14ac:dyDescent="0.25">
      <c r="E7083"/>
    </row>
    <row r="7084" spans="5:5" x14ac:dyDescent="0.25">
      <c r="E7084"/>
    </row>
    <row r="7085" spans="5:5" x14ac:dyDescent="0.25">
      <c r="E7085"/>
    </row>
    <row r="7086" spans="5:5" x14ac:dyDescent="0.25">
      <c r="E7086"/>
    </row>
    <row r="7087" spans="5:5" x14ac:dyDescent="0.25">
      <c r="E7087"/>
    </row>
    <row r="7088" spans="5:5" x14ac:dyDescent="0.25">
      <c r="E7088"/>
    </row>
    <row r="7089" spans="5:5" x14ac:dyDescent="0.25">
      <c r="E7089"/>
    </row>
    <row r="7090" spans="5:5" x14ac:dyDescent="0.25">
      <c r="E7090"/>
    </row>
    <row r="7091" spans="5:5" x14ac:dyDescent="0.25">
      <c r="E7091"/>
    </row>
    <row r="7092" spans="5:5" x14ac:dyDescent="0.25">
      <c r="E7092"/>
    </row>
    <row r="7093" spans="5:5" x14ac:dyDescent="0.25">
      <c r="E7093"/>
    </row>
    <row r="7094" spans="5:5" x14ac:dyDescent="0.25">
      <c r="E7094"/>
    </row>
    <row r="7095" spans="5:5" x14ac:dyDescent="0.25">
      <c r="E7095"/>
    </row>
    <row r="7096" spans="5:5" x14ac:dyDescent="0.25">
      <c r="E7096"/>
    </row>
    <row r="7097" spans="5:5" x14ac:dyDescent="0.25">
      <c r="E7097"/>
    </row>
    <row r="7098" spans="5:5" x14ac:dyDescent="0.25">
      <c r="E7098"/>
    </row>
    <row r="7099" spans="5:5" x14ac:dyDescent="0.25">
      <c r="E7099"/>
    </row>
    <row r="7100" spans="5:5" x14ac:dyDescent="0.25">
      <c r="E7100"/>
    </row>
    <row r="7101" spans="5:5" x14ac:dyDescent="0.25">
      <c r="E7101"/>
    </row>
    <row r="7102" spans="5:5" x14ac:dyDescent="0.25">
      <c r="E7102"/>
    </row>
    <row r="7103" spans="5:5" x14ac:dyDescent="0.25">
      <c r="E7103"/>
    </row>
    <row r="7104" spans="5:5" x14ac:dyDescent="0.25">
      <c r="E7104"/>
    </row>
    <row r="7105" spans="5:5" x14ac:dyDescent="0.25">
      <c r="E7105"/>
    </row>
    <row r="7106" spans="5:5" x14ac:dyDescent="0.25">
      <c r="E7106"/>
    </row>
    <row r="7107" spans="5:5" x14ac:dyDescent="0.25">
      <c r="E7107"/>
    </row>
    <row r="7108" spans="5:5" x14ac:dyDescent="0.25">
      <c r="E7108"/>
    </row>
    <row r="7109" spans="5:5" x14ac:dyDescent="0.25">
      <c r="E7109"/>
    </row>
    <row r="7110" spans="5:5" x14ac:dyDescent="0.25">
      <c r="E7110"/>
    </row>
    <row r="7111" spans="5:5" x14ac:dyDescent="0.25">
      <c r="E7111"/>
    </row>
    <row r="7112" spans="5:5" x14ac:dyDescent="0.25">
      <c r="E7112"/>
    </row>
    <row r="7113" spans="5:5" x14ac:dyDescent="0.25">
      <c r="E7113"/>
    </row>
    <row r="7114" spans="5:5" x14ac:dyDescent="0.25">
      <c r="E7114"/>
    </row>
    <row r="7115" spans="5:5" x14ac:dyDescent="0.25">
      <c r="E7115"/>
    </row>
    <row r="7116" spans="5:5" x14ac:dyDescent="0.25">
      <c r="E7116"/>
    </row>
    <row r="7117" spans="5:5" x14ac:dyDescent="0.25">
      <c r="E7117"/>
    </row>
    <row r="7118" spans="5:5" x14ac:dyDescent="0.25">
      <c r="E7118"/>
    </row>
    <row r="7119" spans="5:5" x14ac:dyDescent="0.25">
      <c r="E7119"/>
    </row>
    <row r="7120" spans="5:5" x14ac:dyDescent="0.25">
      <c r="E7120"/>
    </row>
    <row r="7121" spans="5:5" x14ac:dyDescent="0.25">
      <c r="E7121"/>
    </row>
    <row r="7122" spans="5:5" x14ac:dyDescent="0.25">
      <c r="E7122"/>
    </row>
    <row r="7123" spans="5:5" x14ac:dyDescent="0.25">
      <c r="E7123"/>
    </row>
    <row r="7124" spans="5:5" x14ac:dyDescent="0.25">
      <c r="E7124"/>
    </row>
    <row r="7125" spans="5:5" x14ac:dyDescent="0.25">
      <c r="E7125"/>
    </row>
    <row r="7126" spans="5:5" x14ac:dyDescent="0.25">
      <c r="E7126"/>
    </row>
    <row r="7127" spans="5:5" x14ac:dyDescent="0.25">
      <c r="E7127"/>
    </row>
    <row r="7128" spans="5:5" x14ac:dyDescent="0.25">
      <c r="E7128"/>
    </row>
    <row r="7129" spans="5:5" x14ac:dyDescent="0.25">
      <c r="E7129"/>
    </row>
    <row r="7130" spans="5:5" x14ac:dyDescent="0.25">
      <c r="E7130"/>
    </row>
    <row r="7131" spans="5:5" x14ac:dyDescent="0.25">
      <c r="E7131"/>
    </row>
    <row r="7132" spans="5:5" x14ac:dyDescent="0.25">
      <c r="E7132"/>
    </row>
    <row r="7133" spans="5:5" x14ac:dyDescent="0.25">
      <c r="E7133"/>
    </row>
    <row r="7134" spans="5:5" x14ac:dyDescent="0.25">
      <c r="E7134"/>
    </row>
    <row r="7135" spans="5:5" x14ac:dyDescent="0.25">
      <c r="E7135"/>
    </row>
    <row r="7136" spans="5:5" x14ac:dyDescent="0.25">
      <c r="E7136"/>
    </row>
    <row r="7137" spans="5:5" x14ac:dyDescent="0.25">
      <c r="E7137"/>
    </row>
    <row r="7138" spans="5:5" x14ac:dyDescent="0.25">
      <c r="E7138"/>
    </row>
    <row r="7139" spans="5:5" x14ac:dyDescent="0.25">
      <c r="E7139"/>
    </row>
    <row r="7140" spans="5:5" x14ac:dyDescent="0.25">
      <c r="E7140"/>
    </row>
    <row r="7141" spans="5:5" x14ac:dyDescent="0.25">
      <c r="E7141"/>
    </row>
    <row r="7142" spans="5:5" x14ac:dyDescent="0.25">
      <c r="E7142"/>
    </row>
    <row r="7143" spans="5:5" x14ac:dyDescent="0.25">
      <c r="E7143"/>
    </row>
    <row r="7144" spans="5:5" x14ac:dyDescent="0.25">
      <c r="E7144"/>
    </row>
    <row r="7145" spans="5:5" x14ac:dyDescent="0.25">
      <c r="E7145"/>
    </row>
    <row r="7146" spans="5:5" x14ac:dyDescent="0.25">
      <c r="E7146"/>
    </row>
    <row r="7147" spans="5:5" x14ac:dyDescent="0.25">
      <c r="E7147"/>
    </row>
    <row r="7148" spans="5:5" x14ac:dyDescent="0.25">
      <c r="E7148"/>
    </row>
    <row r="7149" spans="5:5" x14ac:dyDescent="0.25">
      <c r="E7149"/>
    </row>
    <row r="7150" spans="5:5" x14ac:dyDescent="0.25">
      <c r="E7150"/>
    </row>
    <row r="7151" spans="5:5" x14ac:dyDescent="0.25">
      <c r="E7151"/>
    </row>
    <row r="7152" spans="5:5" x14ac:dyDescent="0.25">
      <c r="E7152"/>
    </row>
    <row r="7153" spans="5:5" x14ac:dyDescent="0.25">
      <c r="E7153"/>
    </row>
    <row r="7154" spans="5:5" x14ac:dyDescent="0.25">
      <c r="E7154"/>
    </row>
    <row r="7155" spans="5:5" x14ac:dyDescent="0.25">
      <c r="E7155"/>
    </row>
    <row r="7156" spans="5:5" x14ac:dyDescent="0.25">
      <c r="E7156"/>
    </row>
    <row r="7157" spans="5:5" x14ac:dyDescent="0.25">
      <c r="E7157"/>
    </row>
    <row r="7158" spans="5:5" x14ac:dyDescent="0.25">
      <c r="E7158"/>
    </row>
    <row r="7159" spans="5:5" x14ac:dyDescent="0.25">
      <c r="E7159"/>
    </row>
    <row r="7160" spans="5:5" x14ac:dyDescent="0.25">
      <c r="E7160"/>
    </row>
    <row r="7161" spans="5:5" x14ac:dyDescent="0.25">
      <c r="E7161"/>
    </row>
    <row r="7162" spans="5:5" x14ac:dyDescent="0.25">
      <c r="E7162"/>
    </row>
    <row r="7163" spans="5:5" x14ac:dyDescent="0.25">
      <c r="E7163"/>
    </row>
    <row r="7164" spans="5:5" x14ac:dyDescent="0.25">
      <c r="E7164"/>
    </row>
    <row r="7165" spans="5:5" x14ac:dyDescent="0.25">
      <c r="E7165"/>
    </row>
    <row r="7166" spans="5:5" x14ac:dyDescent="0.25">
      <c r="E7166"/>
    </row>
    <row r="7167" spans="5:5" x14ac:dyDescent="0.25">
      <c r="E7167"/>
    </row>
    <row r="7168" spans="5:5" x14ac:dyDescent="0.25">
      <c r="E7168"/>
    </row>
    <row r="7169" spans="5:5" x14ac:dyDescent="0.25">
      <c r="E7169"/>
    </row>
    <row r="7170" spans="5:5" x14ac:dyDescent="0.25">
      <c r="E7170"/>
    </row>
    <row r="7171" spans="5:5" x14ac:dyDescent="0.25">
      <c r="E7171"/>
    </row>
    <row r="7172" spans="5:5" x14ac:dyDescent="0.25">
      <c r="E7172"/>
    </row>
    <row r="7173" spans="5:5" x14ac:dyDescent="0.25">
      <c r="E7173"/>
    </row>
    <row r="7174" spans="5:5" x14ac:dyDescent="0.25">
      <c r="E7174"/>
    </row>
    <row r="7175" spans="5:5" x14ac:dyDescent="0.25">
      <c r="E7175"/>
    </row>
    <row r="7176" spans="5:5" x14ac:dyDescent="0.25">
      <c r="E7176"/>
    </row>
    <row r="7177" spans="5:5" x14ac:dyDescent="0.25">
      <c r="E7177"/>
    </row>
    <row r="7178" spans="5:5" x14ac:dyDescent="0.25">
      <c r="E7178"/>
    </row>
    <row r="7179" spans="5:5" x14ac:dyDescent="0.25">
      <c r="E7179"/>
    </row>
    <row r="7180" spans="5:5" x14ac:dyDescent="0.25">
      <c r="E7180"/>
    </row>
    <row r="7181" spans="5:5" x14ac:dyDescent="0.25">
      <c r="E7181"/>
    </row>
    <row r="7182" spans="5:5" x14ac:dyDescent="0.25">
      <c r="E7182"/>
    </row>
    <row r="7183" spans="5:5" x14ac:dyDescent="0.25">
      <c r="E7183"/>
    </row>
    <row r="7184" spans="5:5" x14ac:dyDescent="0.25">
      <c r="E7184"/>
    </row>
    <row r="7185" spans="5:5" x14ac:dyDescent="0.25">
      <c r="E7185"/>
    </row>
    <row r="7186" spans="5:5" x14ac:dyDescent="0.25">
      <c r="E7186"/>
    </row>
    <row r="7187" spans="5:5" x14ac:dyDescent="0.25">
      <c r="E7187"/>
    </row>
    <row r="7188" spans="5:5" x14ac:dyDescent="0.25">
      <c r="E7188"/>
    </row>
    <row r="7189" spans="5:5" x14ac:dyDescent="0.25">
      <c r="E7189"/>
    </row>
    <row r="7190" spans="5:5" x14ac:dyDescent="0.25">
      <c r="E7190"/>
    </row>
    <row r="7191" spans="5:5" x14ac:dyDescent="0.25">
      <c r="E7191"/>
    </row>
    <row r="7192" spans="5:5" x14ac:dyDescent="0.25">
      <c r="E7192"/>
    </row>
    <row r="7193" spans="5:5" x14ac:dyDescent="0.25">
      <c r="E7193"/>
    </row>
    <row r="7194" spans="5:5" x14ac:dyDescent="0.25">
      <c r="E7194"/>
    </row>
    <row r="7195" spans="5:5" x14ac:dyDescent="0.25">
      <c r="E7195"/>
    </row>
    <row r="7196" spans="5:5" x14ac:dyDescent="0.25">
      <c r="E7196"/>
    </row>
    <row r="7197" spans="5:5" x14ac:dyDescent="0.25">
      <c r="E7197"/>
    </row>
    <row r="7198" spans="5:5" x14ac:dyDescent="0.25">
      <c r="E7198"/>
    </row>
    <row r="7199" spans="5:5" x14ac:dyDescent="0.25">
      <c r="E7199"/>
    </row>
    <row r="7200" spans="5:5" x14ac:dyDescent="0.25">
      <c r="E7200"/>
    </row>
    <row r="7201" spans="5:5" x14ac:dyDescent="0.25">
      <c r="E7201"/>
    </row>
    <row r="7202" spans="5:5" x14ac:dyDescent="0.25">
      <c r="E7202"/>
    </row>
    <row r="7203" spans="5:5" x14ac:dyDescent="0.25">
      <c r="E7203"/>
    </row>
    <row r="7204" spans="5:5" x14ac:dyDescent="0.25">
      <c r="E7204"/>
    </row>
    <row r="7205" spans="5:5" x14ac:dyDescent="0.25">
      <c r="E7205"/>
    </row>
    <row r="7206" spans="5:5" x14ac:dyDescent="0.25">
      <c r="E7206"/>
    </row>
    <row r="7207" spans="5:5" x14ac:dyDescent="0.25">
      <c r="E7207"/>
    </row>
    <row r="7208" spans="5:5" x14ac:dyDescent="0.25">
      <c r="E7208"/>
    </row>
    <row r="7209" spans="5:5" x14ac:dyDescent="0.25">
      <c r="E7209"/>
    </row>
    <row r="7210" spans="5:5" x14ac:dyDescent="0.25">
      <c r="E7210"/>
    </row>
    <row r="7211" spans="5:5" x14ac:dyDescent="0.25">
      <c r="E7211"/>
    </row>
    <row r="7212" spans="5:5" x14ac:dyDescent="0.25">
      <c r="E7212"/>
    </row>
    <row r="7213" spans="5:5" x14ac:dyDescent="0.25">
      <c r="E7213"/>
    </row>
    <row r="7214" spans="5:5" x14ac:dyDescent="0.25">
      <c r="E7214"/>
    </row>
    <row r="7215" spans="5:5" x14ac:dyDescent="0.25">
      <c r="E7215"/>
    </row>
    <row r="7216" spans="5:5" x14ac:dyDescent="0.25">
      <c r="E7216"/>
    </row>
    <row r="7217" spans="5:5" x14ac:dyDescent="0.25">
      <c r="E7217"/>
    </row>
    <row r="7218" spans="5:5" x14ac:dyDescent="0.25">
      <c r="E7218"/>
    </row>
    <row r="7219" spans="5:5" x14ac:dyDescent="0.25">
      <c r="E7219"/>
    </row>
    <row r="7220" spans="5:5" x14ac:dyDescent="0.25">
      <c r="E7220"/>
    </row>
    <row r="7221" spans="5:5" x14ac:dyDescent="0.25">
      <c r="E7221"/>
    </row>
    <row r="7222" spans="5:5" x14ac:dyDescent="0.25">
      <c r="E7222"/>
    </row>
    <row r="7223" spans="5:5" x14ac:dyDescent="0.25">
      <c r="E7223"/>
    </row>
    <row r="7224" spans="5:5" x14ac:dyDescent="0.25">
      <c r="E7224"/>
    </row>
    <row r="7225" spans="5:5" x14ac:dyDescent="0.25">
      <c r="E7225"/>
    </row>
    <row r="7226" spans="5:5" x14ac:dyDescent="0.25">
      <c r="E7226"/>
    </row>
    <row r="7227" spans="5:5" x14ac:dyDescent="0.25">
      <c r="E7227"/>
    </row>
    <row r="7228" spans="5:5" x14ac:dyDescent="0.25">
      <c r="E7228"/>
    </row>
    <row r="7229" spans="5:5" x14ac:dyDescent="0.25">
      <c r="E7229"/>
    </row>
    <row r="7230" spans="5:5" x14ac:dyDescent="0.25">
      <c r="E7230"/>
    </row>
    <row r="7231" spans="5:5" x14ac:dyDescent="0.25">
      <c r="E7231"/>
    </row>
    <row r="7232" spans="5:5" x14ac:dyDescent="0.25">
      <c r="E7232"/>
    </row>
    <row r="7233" spans="5:5" x14ac:dyDescent="0.25">
      <c r="E7233"/>
    </row>
    <row r="7234" spans="5:5" x14ac:dyDescent="0.25">
      <c r="E7234"/>
    </row>
    <row r="7235" spans="5:5" x14ac:dyDescent="0.25">
      <c r="E7235"/>
    </row>
    <row r="7236" spans="5:5" x14ac:dyDescent="0.25">
      <c r="E7236"/>
    </row>
    <row r="7237" spans="5:5" x14ac:dyDescent="0.25">
      <c r="E7237"/>
    </row>
    <row r="7238" spans="5:5" x14ac:dyDescent="0.25">
      <c r="E7238"/>
    </row>
    <row r="7239" spans="5:5" x14ac:dyDescent="0.25">
      <c r="E7239"/>
    </row>
    <row r="7240" spans="5:5" x14ac:dyDescent="0.25">
      <c r="E7240"/>
    </row>
    <row r="7241" spans="5:5" x14ac:dyDescent="0.25">
      <c r="E7241"/>
    </row>
    <row r="7242" spans="5:5" x14ac:dyDescent="0.25">
      <c r="E7242"/>
    </row>
    <row r="7243" spans="5:5" x14ac:dyDescent="0.25">
      <c r="E7243"/>
    </row>
    <row r="7244" spans="5:5" x14ac:dyDescent="0.25">
      <c r="E7244"/>
    </row>
    <row r="7245" spans="5:5" x14ac:dyDescent="0.25">
      <c r="E7245"/>
    </row>
    <row r="7246" spans="5:5" x14ac:dyDescent="0.25">
      <c r="E7246"/>
    </row>
    <row r="7247" spans="5:5" x14ac:dyDescent="0.25">
      <c r="E7247"/>
    </row>
    <row r="7248" spans="5:5" x14ac:dyDescent="0.25">
      <c r="E7248"/>
    </row>
    <row r="7249" spans="5:5" x14ac:dyDescent="0.25">
      <c r="E7249"/>
    </row>
    <row r="7250" spans="5:5" x14ac:dyDescent="0.25">
      <c r="E7250"/>
    </row>
    <row r="7251" spans="5:5" x14ac:dyDescent="0.25">
      <c r="E7251"/>
    </row>
    <row r="7252" spans="5:5" x14ac:dyDescent="0.25">
      <c r="E7252"/>
    </row>
    <row r="7253" spans="5:5" x14ac:dyDescent="0.25">
      <c r="E7253"/>
    </row>
    <row r="7254" spans="5:5" x14ac:dyDescent="0.25">
      <c r="E7254"/>
    </row>
    <row r="7255" spans="5:5" x14ac:dyDescent="0.25">
      <c r="E7255"/>
    </row>
    <row r="7256" spans="5:5" x14ac:dyDescent="0.25">
      <c r="E7256"/>
    </row>
    <row r="7257" spans="5:5" x14ac:dyDescent="0.25">
      <c r="E7257"/>
    </row>
    <row r="7258" spans="5:5" x14ac:dyDescent="0.25">
      <c r="E7258"/>
    </row>
    <row r="7259" spans="5:5" x14ac:dyDescent="0.25">
      <c r="E7259"/>
    </row>
    <row r="7260" spans="5:5" x14ac:dyDescent="0.25">
      <c r="E7260"/>
    </row>
    <row r="7261" spans="5:5" x14ac:dyDescent="0.25">
      <c r="E7261"/>
    </row>
    <row r="7262" spans="5:5" x14ac:dyDescent="0.25">
      <c r="E7262"/>
    </row>
    <row r="7263" spans="5:5" x14ac:dyDescent="0.25">
      <c r="E7263"/>
    </row>
    <row r="7264" spans="5:5" x14ac:dyDescent="0.25">
      <c r="E7264"/>
    </row>
    <row r="7265" spans="5:5" x14ac:dyDescent="0.25">
      <c r="E7265"/>
    </row>
    <row r="7266" spans="5:5" x14ac:dyDescent="0.25">
      <c r="E7266"/>
    </row>
    <row r="7267" spans="5:5" x14ac:dyDescent="0.25">
      <c r="E7267"/>
    </row>
    <row r="7268" spans="5:5" x14ac:dyDescent="0.25">
      <c r="E7268"/>
    </row>
    <row r="7269" spans="5:5" x14ac:dyDescent="0.25">
      <c r="E7269"/>
    </row>
    <row r="7270" spans="5:5" x14ac:dyDescent="0.25">
      <c r="E7270"/>
    </row>
    <row r="7271" spans="5:5" x14ac:dyDescent="0.25">
      <c r="E7271"/>
    </row>
    <row r="7272" spans="5:5" x14ac:dyDescent="0.25">
      <c r="E7272"/>
    </row>
    <row r="7273" spans="5:5" x14ac:dyDescent="0.25">
      <c r="E7273"/>
    </row>
    <row r="7274" spans="5:5" x14ac:dyDescent="0.25">
      <c r="E7274"/>
    </row>
    <row r="7275" spans="5:5" x14ac:dyDescent="0.25">
      <c r="E7275"/>
    </row>
    <row r="7276" spans="5:5" x14ac:dyDescent="0.25">
      <c r="E7276"/>
    </row>
    <row r="7277" spans="5:5" x14ac:dyDescent="0.25">
      <c r="E7277"/>
    </row>
    <row r="7278" spans="5:5" x14ac:dyDescent="0.25">
      <c r="E7278"/>
    </row>
    <row r="7279" spans="5:5" x14ac:dyDescent="0.25">
      <c r="E7279"/>
    </row>
    <row r="7280" spans="5:5" x14ac:dyDescent="0.25">
      <c r="E7280"/>
    </row>
    <row r="7281" spans="5:5" x14ac:dyDescent="0.25">
      <c r="E7281"/>
    </row>
    <row r="7282" spans="5:5" x14ac:dyDescent="0.25">
      <c r="E7282"/>
    </row>
    <row r="7283" spans="5:5" x14ac:dyDescent="0.25">
      <c r="E7283"/>
    </row>
    <row r="7284" spans="5:5" x14ac:dyDescent="0.25">
      <c r="E7284"/>
    </row>
    <row r="7285" spans="5:5" x14ac:dyDescent="0.25">
      <c r="E7285"/>
    </row>
    <row r="7286" spans="5:5" x14ac:dyDescent="0.25">
      <c r="E7286"/>
    </row>
    <row r="7287" spans="5:5" x14ac:dyDescent="0.25">
      <c r="E7287"/>
    </row>
    <row r="7288" spans="5:5" x14ac:dyDescent="0.25">
      <c r="E7288"/>
    </row>
    <row r="7289" spans="5:5" x14ac:dyDescent="0.25">
      <c r="E7289"/>
    </row>
    <row r="7290" spans="5:5" x14ac:dyDescent="0.25">
      <c r="E7290"/>
    </row>
    <row r="7291" spans="5:5" x14ac:dyDescent="0.25">
      <c r="E7291"/>
    </row>
    <row r="7292" spans="5:5" x14ac:dyDescent="0.25">
      <c r="E7292"/>
    </row>
    <row r="7293" spans="5:5" x14ac:dyDescent="0.25">
      <c r="E7293"/>
    </row>
    <row r="7294" spans="5:5" x14ac:dyDescent="0.25">
      <c r="E7294"/>
    </row>
    <row r="7295" spans="5:5" x14ac:dyDescent="0.25">
      <c r="E7295"/>
    </row>
    <row r="7296" spans="5:5" x14ac:dyDescent="0.25">
      <c r="E7296"/>
    </row>
    <row r="7297" spans="5:5" x14ac:dyDescent="0.25">
      <c r="E7297"/>
    </row>
    <row r="7298" spans="5:5" x14ac:dyDescent="0.25">
      <c r="E7298"/>
    </row>
    <row r="7299" spans="5:5" x14ac:dyDescent="0.25">
      <c r="E7299"/>
    </row>
    <row r="7300" spans="5:5" x14ac:dyDescent="0.25">
      <c r="E7300"/>
    </row>
    <row r="7301" spans="5:5" x14ac:dyDescent="0.25">
      <c r="E7301"/>
    </row>
    <row r="7302" spans="5:5" x14ac:dyDescent="0.25">
      <c r="E7302"/>
    </row>
    <row r="7303" spans="5:5" x14ac:dyDescent="0.25">
      <c r="E7303"/>
    </row>
    <row r="7304" spans="5:5" x14ac:dyDescent="0.25">
      <c r="E7304"/>
    </row>
    <row r="7305" spans="5:5" x14ac:dyDescent="0.25">
      <c r="E7305"/>
    </row>
    <row r="7306" spans="5:5" x14ac:dyDescent="0.25">
      <c r="E7306"/>
    </row>
    <row r="7307" spans="5:5" x14ac:dyDescent="0.25">
      <c r="E7307"/>
    </row>
    <row r="7308" spans="5:5" x14ac:dyDescent="0.25">
      <c r="E7308"/>
    </row>
    <row r="7309" spans="5:5" x14ac:dyDescent="0.25">
      <c r="E7309"/>
    </row>
    <row r="7310" spans="5:5" x14ac:dyDescent="0.25">
      <c r="E7310"/>
    </row>
    <row r="7311" spans="5:5" x14ac:dyDescent="0.25">
      <c r="E7311"/>
    </row>
    <row r="7312" spans="5:5" x14ac:dyDescent="0.25">
      <c r="E7312"/>
    </row>
    <row r="7313" spans="5:5" x14ac:dyDescent="0.25">
      <c r="E7313"/>
    </row>
    <row r="7314" spans="5:5" x14ac:dyDescent="0.25">
      <c r="E7314"/>
    </row>
    <row r="7315" spans="5:5" x14ac:dyDescent="0.25">
      <c r="E7315"/>
    </row>
    <row r="7316" spans="5:5" x14ac:dyDescent="0.25">
      <c r="E7316"/>
    </row>
    <row r="7317" spans="5:5" x14ac:dyDescent="0.25">
      <c r="E7317"/>
    </row>
    <row r="7318" spans="5:5" x14ac:dyDescent="0.25">
      <c r="E7318"/>
    </row>
    <row r="7319" spans="5:5" x14ac:dyDescent="0.25">
      <c r="E7319"/>
    </row>
    <row r="7320" spans="5:5" x14ac:dyDescent="0.25">
      <c r="E7320"/>
    </row>
    <row r="7321" spans="5:5" x14ac:dyDescent="0.25">
      <c r="E7321"/>
    </row>
    <row r="7322" spans="5:5" x14ac:dyDescent="0.25">
      <c r="E7322"/>
    </row>
    <row r="7323" spans="5:5" x14ac:dyDescent="0.25">
      <c r="E7323"/>
    </row>
    <row r="7324" spans="5:5" x14ac:dyDescent="0.25">
      <c r="E7324"/>
    </row>
    <row r="7325" spans="5:5" x14ac:dyDescent="0.25">
      <c r="E7325"/>
    </row>
    <row r="7326" spans="5:5" x14ac:dyDescent="0.25">
      <c r="E7326"/>
    </row>
    <row r="7327" spans="5:5" x14ac:dyDescent="0.25">
      <c r="E7327"/>
    </row>
    <row r="7328" spans="5:5" x14ac:dyDescent="0.25">
      <c r="E7328"/>
    </row>
    <row r="7329" spans="5:5" x14ac:dyDescent="0.25">
      <c r="E7329"/>
    </row>
    <row r="7330" spans="5:5" x14ac:dyDescent="0.25">
      <c r="E7330"/>
    </row>
    <row r="7331" spans="5:5" x14ac:dyDescent="0.25">
      <c r="E7331"/>
    </row>
    <row r="7332" spans="5:5" x14ac:dyDescent="0.25">
      <c r="E7332"/>
    </row>
    <row r="7333" spans="5:5" x14ac:dyDescent="0.25">
      <c r="E7333"/>
    </row>
    <row r="7334" spans="5:5" x14ac:dyDescent="0.25">
      <c r="E7334"/>
    </row>
    <row r="7335" spans="5:5" x14ac:dyDescent="0.25">
      <c r="E7335"/>
    </row>
    <row r="7336" spans="5:5" x14ac:dyDescent="0.25">
      <c r="E7336"/>
    </row>
    <row r="7337" spans="5:5" x14ac:dyDescent="0.25">
      <c r="E7337"/>
    </row>
    <row r="7338" spans="5:5" x14ac:dyDescent="0.25">
      <c r="E7338"/>
    </row>
    <row r="7339" spans="5:5" x14ac:dyDescent="0.25">
      <c r="E7339"/>
    </row>
    <row r="7340" spans="5:5" x14ac:dyDescent="0.25">
      <c r="E7340"/>
    </row>
    <row r="7341" spans="5:5" x14ac:dyDescent="0.25">
      <c r="E7341"/>
    </row>
    <row r="7342" spans="5:5" x14ac:dyDescent="0.25">
      <c r="E7342"/>
    </row>
    <row r="7343" spans="5:5" x14ac:dyDescent="0.25">
      <c r="E7343"/>
    </row>
    <row r="7344" spans="5:5" x14ac:dyDescent="0.25">
      <c r="E7344"/>
    </row>
    <row r="7345" spans="5:5" x14ac:dyDescent="0.25">
      <c r="E7345"/>
    </row>
    <row r="7346" spans="5:5" x14ac:dyDescent="0.25">
      <c r="E7346"/>
    </row>
    <row r="7347" spans="5:5" x14ac:dyDescent="0.25">
      <c r="E7347"/>
    </row>
    <row r="7348" spans="5:5" x14ac:dyDescent="0.25">
      <c r="E7348"/>
    </row>
    <row r="7349" spans="5:5" x14ac:dyDescent="0.25">
      <c r="E7349"/>
    </row>
    <row r="7350" spans="5:5" x14ac:dyDescent="0.25">
      <c r="E7350"/>
    </row>
    <row r="7351" spans="5:5" x14ac:dyDescent="0.25">
      <c r="E7351"/>
    </row>
    <row r="7352" spans="5:5" x14ac:dyDescent="0.25">
      <c r="E7352"/>
    </row>
    <row r="7353" spans="5:5" x14ac:dyDescent="0.25">
      <c r="E7353"/>
    </row>
    <row r="7354" spans="5:5" x14ac:dyDescent="0.25">
      <c r="E7354"/>
    </row>
    <row r="7355" spans="5:5" x14ac:dyDescent="0.25">
      <c r="E7355"/>
    </row>
    <row r="7356" spans="5:5" x14ac:dyDescent="0.25">
      <c r="E7356"/>
    </row>
    <row r="7357" spans="5:5" x14ac:dyDescent="0.25">
      <c r="E7357"/>
    </row>
    <row r="7358" spans="5:5" x14ac:dyDescent="0.25">
      <c r="E7358"/>
    </row>
    <row r="7359" spans="5:5" x14ac:dyDescent="0.25">
      <c r="E7359"/>
    </row>
    <row r="7360" spans="5:5" x14ac:dyDescent="0.25">
      <c r="E7360"/>
    </row>
    <row r="7361" spans="5:5" x14ac:dyDescent="0.25">
      <c r="E7361"/>
    </row>
    <row r="7362" spans="5:5" x14ac:dyDescent="0.25">
      <c r="E7362"/>
    </row>
    <row r="7363" spans="5:5" x14ac:dyDescent="0.25">
      <c r="E7363"/>
    </row>
    <row r="7364" spans="5:5" x14ac:dyDescent="0.25">
      <c r="E7364"/>
    </row>
    <row r="7365" spans="5:5" x14ac:dyDescent="0.25">
      <c r="E7365"/>
    </row>
    <row r="7366" spans="5:5" x14ac:dyDescent="0.25">
      <c r="E7366"/>
    </row>
    <row r="7367" spans="5:5" x14ac:dyDescent="0.25">
      <c r="E7367"/>
    </row>
    <row r="7368" spans="5:5" x14ac:dyDescent="0.25">
      <c r="E7368"/>
    </row>
    <row r="7369" spans="5:5" x14ac:dyDescent="0.25">
      <c r="E7369"/>
    </row>
    <row r="7370" spans="5:5" x14ac:dyDescent="0.25">
      <c r="E7370"/>
    </row>
    <row r="7371" spans="5:5" x14ac:dyDescent="0.25">
      <c r="E7371"/>
    </row>
    <row r="7372" spans="5:5" x14ac:dyDescent="0.25">
      <c r="E7372"/>
    </row>
    <row r="7373" spans="5:5" x14ac:dyDescent="0.25">
      <c r="E7373"/>
    </row>
    <row r="7374" spans="5:5" x14ac:dyDescent="0.25">
      <c r="E7374"/>
    </row>
    <row r="7375" spans="5:5" x14ac:dyDescent="0.25">
      <c r="E7375"/>
    </row>
    <row r="7376" spans="5:5" x14ac:dyDescent="0.25">
      <c r="E7376"/>
    </row>
    <row r="7377" spans="5:5" x14ac:dyDescent="0.25">
      <c r="E7377"/>
    </row>
    <row r="7378" spans="5:5" x14ac:dyDescent="0.25">
      <c r="E7378"/>
    </row>
    <row r="7379" spans="5:5" x14ac:dyDescent="0.25">
      <c r="E7379"/>
    </row>
    <row r="7380" spans="5:5" x14ac:dyDescent="0.25">
      <c r="E7380"/>
    </row>
    <row r="7381" spans="5:5" x14ac:dyDescent="0.25">
      <c r="E7381"/>
    </row>
    <row r="7382" spans="5:5" x14ac:dyDescent="0.25">
      <c r="E7382"/>
    </row>
    <row r="7383" spans="5:5" x14ac:dyDescent="0.25">
      <c r="E7383"/>
    </row>
    <row r="7384" spans="5:5" x14ac:dyDescent="0.25">
      <c r="E7384"/>
    </row>
    <row r="7385" spans="5:5" x14ac:dyDescent="0.25">
      <c r="E7385"/>
    </row>
    <row r="7386" spans="5:5" x14ac:dyDescent="0.25">
      <c r="E7386"/>
    </row>
    <row r="7387" spans="5:5" x14ac:dyDescent="0.25">
      <c r="E7387"/>
    </row>
    <row r="7388" spans="5:5" x14ac:dyDescent="0.25">
      <c r="E7388"/>
    </row>
    <row r="7389" spans="5:5" x14ac:dyDescent="0.25">
      <c r="E7389"/>
    </row>
    <row r="7390" spans="5:5" x14ac:dyDescent="0.25">
      <c r="E7390"/>
    </row>
    <row r="7391" spans="5:5" x14ac:dyDescent="0.25">
      <c r="E7391"/>
    </row>
    <row r="7392" spans="5:5" x14ac:dyDescent="0.25">
      <c r="E7392"/>
    </row>
    <row r="7393" spans="5:5" x14ac:dyDescent="0.25">
      <c r="E7393"/>
    </row>
    <row r="7394" spans="5:5" x14ac:dyDescent="0.25">
      <c r="E7394"/>
    </row>
    <row r="7395" spans="5:5" x14ac:dyDescent="0.25">
      <c r="E7395"/>
    </row>
    <row r="7396" spans="5:5" x14ac:dyDescent="0.25">
      <c r="E7396"/>
    </row>
    <row r="7397" spans="5:5" x14ac:dyDescent="0.25">
      <c r="E7397"/>
    </row>
    <row r="7398" spans="5:5" x14ac:dyDescent="0.25">
      <c r="E7398"/>
    </row>
    <row r="7399" spans="5:5" x14ac:dyDescent="0.25">
      <c r="E7399"/>
    </row>
    <row r="7400" spans="5:5" x14ac:dyDescent="0.25">
      <c r="E7400"/>
    </row>
    <row r="7401" spans="5:5" x14ac:dyDescent="0.25">
      <c r="E7401"/>
    </row>
    <row r="7402" spans="5:5" x14ac:dyDescent="0.25">
      <c r="E7402"/>
    </row>
    <row r="7403" spans="5:5" x14ac:dyDescent="0.25">
      <c r="E7403"/>
    </row>
    <row r="7404" spans="5:5" x14ac:dyDescent="0.25">
      <c r="E7404"/>
    </row>
    <row r="7405" spans="5:5" x14ac:dyDescent="0.25">
      <c r="E7405"/>
    </row>
    <row r="7406" spans="5:5" x14ac:dyDescent="0.25">
      <c r="E7406"/>
    </row>
    <row r="7407" spans="5:5" x14ac:dyDescent="0.25">
      <c r="E7407"/>
    </row>
    <row r="7408" spans="5:5" x14ac:dyDescent="0.25">
      <c r="E7408"/>
    </row>
    <row r="7409" spans="5:5" x14ac:dyDescent="0.25">
      <c r="E7409"/>
    </row>
    <row r="7410" spans="5:5" x14ac:dyDescent="0.25">
      <c r="E7410"/>
    </row>
    <row r="7411" spans="5:5" x14ac:dyDescent="0.25">
      <c r="E7411"/>
    </row>
    <row r="7412" spans="5:5" x14ac:dyDescent="0.25">
      <c r="E7412"/>
    </row>
    <row r="7413" spans="5:5" x14ac:dyDescent="0.25">
      <c r="E7413"/>
    </row>
    <row r="7414" spans="5:5" x14ac:dyDescent="0.25">
      <c r="E7414"/>
    </row>
    <row r="7415" spans="5:5" x14ac:dyDescent="0.25">
      <c r="E7415"/>
    </row>
    <row r="7416" spans="5:5" x14ac:dyDescent="0.25">
      <c r="E7416"/>
    </row>
    <row r="7417" spans="5:5" x14ac:dyDescent="0.25">
      <c r="E7417"/>
    </row>
    <row r="7418" spans="5:5" x14ac:dyDescent="0.25">
      <c r="E7418"/>
    </row>
    <row r="7419" spans="5:5" x14ac:dyDescent="0.25">
      <c r="E7419"/>
    </row>
    <row r="7420" spans="5:5" x14ac:dyDescent="0.25">
      <c r="E7420"/>
    </row>
    <row r="7421" spans="5:5" x14ac:dyDescent="0.25">
      <c r="E7421"/>
    </row>
    <row r="7422" spans="5:5" x14ac:dyDescent="0.25">
      <c r="E7422"/>
    </row>
    <row r="7423" spans="5:5" x14ac:dyDescent="0.25">
      <c r="E7423"/>
    </row>
    <row r="7424" spans="5:5" x14ac:dyDescent="0.25">
      <c r="E7424"/>
    </row>
    <row r="7425" spans="5:5" x14ac:dyDescent="0.25">
      <c r="E7425"/>
    </row>
    <row r="7426" spans="5:5" x14ac:dyDescent="0.25">
      <c r="E7426"/>
    </row>
    <row r="7427" spans="5:5" x14ac:dyDescent="0.25">
      <c r="E7427"/>
    </row>
    <row r="7428" spans="5:5" x14ac:dyDescent="0.25">
      <c r="E7428"/>
    </row>
    <row r="7429" spans="5:5" x14ac:dyDescent="0.25">
      <c r="E7429"/>
    </row>
    <row r="7430" spans="5:5" x14ac:dyDescent="0.25">
      <c r="E7430"/>
    </row>
    <row r="7431" spans="5:5" x14ac:dyDescent="0.25">
      <c r="E7431"/>
    </row>
    <row r="7432" spans="5:5" x14ac:dyDescent="0.25">
      <c r="E7432"/>
    </row>
    <row r="7433" spans="5:5" x14ac:dyDescent="0.25">
      <c r="E7433"/>
    </row>
    <row r="7434" spans="5:5" x14ac:dyDescent="0.25">
      <c r="E7434"/>
    </row>
    <row r="7435" spans="5:5" x14ac:dyDescent="0.25">
      <c r="E7435"/>
    </row>
    <row r="7436" spans="5:5" x14ac:dyDescent="0.25">
      <c r="E7436"/>
    </row>
    <row r="7437" spans="5:5" x14ac:dyDescent="0.25">
      <c r="E7437"/>
    </row>
    <row r="7438" spans="5:5" x14ac:dyDescent="0.25">
      <c r="E7438"/>
    </row>
    <row r="7439" spans="5:5" x14ac:dyDescent="0.25">
      <c r="E7439"/>
    </row>
    <row r="7440" spans="5:5" x14ac:dyDescent="0.25">
      <c r="E7440"/>
    </row>
    <row r="7441" spans="5:5" x14ac:dyDescent="0.25">
      <c r="E7441"/>
    </row>
    <row r="7442" spans="5:5" x14ac:dyDescent="0.25">
      <c r="E7442"/>
    </row>
    <row r="7443" spans="5:5" x14ac:dyDescent="0.25">
      <c r="E7443"/>
    </row>
    <row r="7444" spans="5:5" x14ac:dyDescent="0.25">
      <c r="E7444"/>
    </row>
    <row r="7445" spans="5:5" x14ac:dyDescent="0.25">
      <c r="E7445"/>
    </row>
    <row r="7446" spans="5:5" x14ac:dyDescent="0.25">
      <c r="E7446"/>
    </row>
    <row r="7447" spans="5:5" x14ac:dyDescent="0.25">
      <c r="E7447"/>
    </row>
    <row r="7448" spans="5:5" x14ac:dyDescent="0.25">
      <c r="E7448"/>
    </row>
    <row r="7449" spans="5:5" x14ac:dyDescent="0.25">
      <c r="E7449"/>
    </row>
    <row r="7450" spans="5:5" x14ac:dyDescent="0.25">
      <c r="E7450"/>
    </row>
    <row r="7451" spans="5:5" x14ac:dyDescent="0.25">
      <c r="E7451"/>
    </row>
    <row r="7452" spans="5:5" x14ac:dyDescent="0.25">
      <c r="E7452"/>
    </row>
    <row r="7453" spans="5:5" x14ac:dyDescent="0.25">
      <c r="E7453"/>
    </row>
    <row r="7454" spans="5:5" x14ac:dyDescent="0.25">
      <c r="E7454"/>
    </row>
    <row r="7455" spans="5:5" x14ac:dyDescent="0.25">
      <c r="E7455"/>
    </row>
    <row r="7456" spans="5:5" x14ac:dyDescent="0.25">
      <c r="E7456"/>
    </row>
    <row r="7457" spans="5:5" x14ac:dyDescent="0.25">
      <c r="E7457"/>
    </row>
    <row r="7458" spans="5:5" x14ac:dyDescent="0.25">
      <c r="E7458"/>
    </row>
    <row r="7459" spans="5:5" x14ac:dyDescent="0.25">
      <c r="E7459"/>
    </row>
    <row r="7460" spans="5:5" x14ac:dyDescent="0.25">
      <c r="E7460"/>
    </row>
    <row r="7461" spans="5:5" x14ac:dyDescent="0.25">
      <c r="E7461"/>
    </row>
    <row r="7462" spans="5:5" x14ac:dyDescent="0.25">
      <c r="E7462"/>
    </row>
    <row r="7463" spans="5:5" x14ac:dyDescent="0.25">
      <c r="E7463"/>
    </row>
    <row r="7464" spans="5:5" x14ac:dyDescent="0.25">
      <c r="E7464"/>
    </row>
    <row r="7465" spans="5:5" x14ac:dyDescent="0.25">
      <c r="E7465"/>
    </row>
    <row r="7466" spans="5:5" x14ac:dyDescent="0.25">
      <c r="E7466"/>
    </row>
    <row r="7467" spans="5:5" x14ac:dyDescent="0.25">
      <c r="E7467"/>
    </row>
    <row r="7468" spans="5:5" x14ac:dyDescent="0.25">
      <c r="E7468"/>
    </row>
    <row r="7469" spans="5:5" x14ac:dyDescent="0.25">
      <c r="E7469"/>
    </row>
    <row r="7470" spans="5:5" x14ac:dyDescent="0.25">
      <c r="E7470"/>
    </row>
    <row r="7471" spans="5:5" x14ac:dyDescent="0.25">
      <c r="E7471"/>
    </row>
    <row r="7472" spans="5:5" x14ac:dyDescent="0.25">
      <c r="E7472"/>
    </row>
    <row r="7473" spans="5:5" x14ac:dyDescent="0.25">
      <c r="E7473"/>
    </row>
    <row r="7474" spans="5:5" x14ac:dyDescent="0.25">
      <c r="E7474"/>
    </row>
    <row r="7475" spans="5:5" x14ac:dyDescent="0.25">
      <c r="E7475"/>
    </row>
    <row r="7476" spans="5:5" x14ac:dyDescent="0.25">
      <c r="E7476"/>
    </row>
    <row r="7477" spans="5:5" x14ac:dyDescent="0.25">
      <c r="E7477"/>
    </row>
    <row r="7478" spans="5:5" x14ac:dyDescent="0.25">
      <c r="E7478"/>
    </row>
    <row r="7479" spans="5:5" x14ac:dyDescent="0.25">
      <c r="E7479"/>
    </row>
    <row r="7480" spans="5:5" x14ac:dyDescent="0.25">
      <c r="E7480"/>
    </row>
    <row r="7481" spans="5:5" x14ac:dyDescent="0.25">
      <c r="E7481"/>
    </row>
    <row r="7482" spans="5:5" x14ac:dyDescent="0.25">
      <c r="E7482"/>
    </row>
    <row r="7483" spans="5:5" x14ac:dyDescent="0.25">
      <c r="E7483"/>
    </row>
    <row r="7484" spans="5:5" x14ac:dyDescent="0.25">
      <c r="E7484"/>
    </row>
    <row r="7485" spans="5:5" x14ac:dyDescent="0.25">
      <c r="E7485"/>
    </row>
    <row r="7486" spans="5:5" x14ac:dyDescent="0.25">
      <c r="E7486"/>
    </row>
    <row r="7487" spans="5:5" x14ac:dyDescent="0.25">
      <c r="E7487"/>
    </row>
    <row r="7488" spans="5:5" x14ac:dyDescent="0.25">
      <c r="E7488"/>
    </row>
    <row r="7489" spans="5:5" x14ac:dyDescent="0.25">
      <c r="E7489"/>
    </row>
    <row r="7490" spans="5:5" x14ac:dyDescent="0.25">
      <c r="E7490"/>
    </row>
    <row r="7491" spans="5:5" x14ac:dyDescent="0.25">
      <c r="E7491"/>
    </row>
    <row r="7492" spans="5:5" x14ac:dyDescent="0.25">
      <c r="E7492"/>
    </row>
    <row r="7493" spans="5:5" x14ac:dyDescent="0.25">
      <c r="E7493"/>
    </row>
    <row r="7494" spans="5:5" x14ac:dyDescent="0.25">
      <c r="E7494"/>
    </row>
    <row r="7495" spans="5:5" x14ac:dyDescent="0.25">
      <c r="E7495"/>
    </row>
    <row r="7496" spans="5:5" x14ac:dyDescent="0.25">
      <c r="E7496"/>
    </row>
    <row r="7497" spans="5:5" x14ac:dyDescent="0.25">
      <c r="E7497"/>
    </row>
    <row r="7498" spans="5:5" x14ac:dyDescent="0.25">
      <c r="E7498"/>
    </row>
    <row r="7499" spans="5:5" x14ac:dyDescent="0.25">
      <c r="E7499"/>
    </row>
    <row r="7500" spans="5:5" x14ac:dyDescent="0.25">
      <c r="E7500"/>
    </row>
    <row r="7501" spans="5:5" x14ac:dyDescent="0.25">
      <c r="E7501"/>
    </row>
    <row r="7502" spans="5:5" x14ac:dyDescent="0.25">
      <c r="E7502"/>
    </row>
    <row r="7503" spans="5:5" x14ac:dyDescent="0.25">
      <c r="E7503"/>
    </row>
    <row r="7504" spans="5:5" x14ac:dyDescent="0.25">
      <c r="E7504"/>
    </row>
    <row r="7505" spans="5:5" x14ac:dyDescent="0.25">
      <c r="E7505"/>
    </row>
    <row r="7506" spans="5:5" x14ac:dyDescent="0.25">
      <c r="E7506"/>
    </row>
    <row r="7507" spans="5:5" x14ac:dyDescent="0.25">
      <c r="E7507"/>
    </row>
    <row r="7508" spans="5:5" x14ac:dyDescent="0.25">
      <c r="E7508"/>
    </row>
    <row r="7509" spans="5:5" x14ac:dyDescent="0.25">
      <c r="E7509"/>
    </row>
    <row r="7510" spans="5:5" x14ac:dyDescent="0.25">
      <c r="E7510"/>
    </row>
    <row r="7511" spans="5:5" x14ac:dyDescent="0.25">
      <c r="E7511"/>
    </row>
    <row r="7512" spans="5:5" x14ac:dyDescent="0.25">
      <c r="E7512"/>
    </row>
    <row r="7513" spans="5:5" x14ac:dyDescent="0.25">
      <c r="E7513"/>
    </row>
    <row r="7514" spans="5:5" x14ac:dyDescent="0.25">
      <c r="E7514"/>
    </row>
    <row r="7515" spans="5:5" x14ac:dyDescent="0.25">
      <c r="E7515"/>
    </row>
    <row r="7516" spans="5:5" x14ac:dyDescent="0.25">
      <c r="E7516"/>
    </row>
    <row r="7517" spans="5:5" x14ac:dyDescent="0.25">
      <c r="E7517"/>
    </row>
    <row r="7518" spans="5:5" x14ac:dyDescent="0.25">
      <c r="E7518"/>
    </row>
    <row r="7519" spans="5:5" x14ac:dyDescent="0.25">
      <c r="E7519"/>
    </row>
    <row r="7520" spans="5:5" x14ac:dyDescent="0.25">
      <c r="E7520"/>
    </row>
    <row r="7521" spans="5:5" x14ac:dyDescent="0.25">
      <c r="E7521"/>
    </row>
    <row r="7522" spans="5:5" x14ac:dyDescent="0.25">
      <c r="E7522"/>
    </row>
    <row r="7523" spans="5:5" x14ac:dyDescent="0.25">
      <c r="E7523"/>
    </row>
    <row r="7524" spans="5:5" x14ac:dyDescent="0.25">
      <c r="E7524"/>
    </row>
    <row r="7525" spans="5:5" x14ac:dyDescent="0.25">
      <c r="E7525"/>
    </row>
    <row r="7526" spans="5:5" x14ac:dyDescent="0.25">
      <c r="E7526"/>
    </row>
    <row r="7527" spans="5:5" x14ac:dyDescent="0.25">
      <c r="E7527"/>
    </row>
    <row r="7528" spans="5:5" x14ac:dyDescent="0.25">
      <c r="E7528"/>
    </row>
    <row r="7529" spans="5:5" x14ac:dyDescent="0.25">
      <c r="E7529"/>
    </row>
    <row r="7530" spans="5:5" x14ac:dyDescent="0.25">
      <c r="E7530"/>
    </row>
    <row r="7531" spans="5:5" x14ac:dyDescent="0.25">
      <c r="E7531"/>
    </row>
    <row r="7532" spans="5:5" x14ac:dyDescent="0.25">
      <c r="E7532"/>
    </row>
    <row r="7533" spans="5:5" x14ac:dyDescent="0.25">
      <c r="E7533"/>
    </row>
    <row r="7534" spans="5:5" x14ac:dyDescent="0.25">
      <c r="E7534"/>
    </row>
    <row r="7535" spans="5:5" x14ac:dyDescent="0.25">
      <c r="E7535"/>
    </row>
    <row r="7536" spans="5:5" x14ac:dyDescent="0.25">
      <c r="E7536"/>
    </row>
    <row r="7537" spans="5:5" x14ac:dyDescent="0.25">
      <c r="E7537"/>
    </row>
    <row r="7538" spans="5:5" x14ac:dyDescent="0.25">
      <c r="E7538"/>
    </row>
    <row r="7539" spans="5:5" x14ac:dyDescent="0.25">
      <c r="E7539"/>
    </row>
    <row r="7540" spans="5:5" x14ac:dyDescent="0.25">
      <c r="E7540"/>
    </row>
    <row r="7541" spans="5:5" x14ac:dyDescent="0.25">
      <c r="E7541"/>
    </row>
    <row r="7542" spans="5:5" x14ac:dyDescent="0.25">
      <c r="E7542"/>
    </row>
    <row r="7543" spans="5:5" x14ac:dyDescent="0.25">
      <c r="E7543"/>
    </row>
    <row r="7544" spans="5:5" x14ac:dyDescent="0.25">
      <c r="E7544"/>
    </row>
    <row r="7545" spans="5:5" x14ac:dyDescent="0.25">
      <c r="E7545"/>
    </row>
    <row r="7546" spans="5:5" x14ac:dyDescent="0.25">
      <c r="E7546"/>
    </row>
    <row r="7547" spans="5:5" x14ac:dyDescent="0.25">
      <c r="E7547"/>
    </row>
    <row r="7548" spans="5:5" x14ac:dyDescent="0.25">
      <c r="E7548"/>
    </row>
    <row r="7549" spans="5:5" x14ac:dyDescent="0.25">
      <c r="E7549"/>
    </row>
    <row r="7550" spans="5:5" x14ac:dyDescent="0.25">
      <c r="E7550"/>
    </row>
    <row r="7551" spans="5:5" x14ac:dyDescent="0.25">
      <c r="E7551"/>
    </row>
    <row r="7552" spans="5:5" x14ac:dyDescent="0.25">
      <c r="E7552"/>
    </row>
    <row r="7553" spans="5:5" x14ac:dyDescent="0.25">
      <c r="E7553"/>
    </row>
    <row r="7554" spans="5:5" x14ac:dyDescent="0.25">
      <c r="E7554"/>
    </row>
    <row r="7555" spans="5:5" x14ac:dyDescent="0.25">
      <c r="E7555"/>
    </row>
    <row r="7556" spans="5:5" x14ac:dyDescent="0.25">
      <c r="E7556"/>
    </row>
    <row r="7557" spans="5:5" x14ac:dyDescent="0.25">
      <c r="E7557"/>
    </row>
    <row r="7558" spans="5:5" x14ac:dyDescent="0.25">
      <c r="E7558"/>
    </row>
    <row r="7559" spans="5:5" x14ac:dyDescent="0.25">
      <c r="E7559"/>
    </row>
    <row r="7560" spans="5:5" x14ac:dyDescent="0.25">
      <c r="E7560"/>
    </row>
    <row r="7561" spans="5:5" x14ac:dyDescent="0.25">
      <c r="E7561"/>
    </row>
    <row r="7562" spans="5:5" x14ac:dyDescent="0.25">
      <c r="E7562"/>
    </row>
    <row r="7563" spans="5:5" x14ac:dyDescent="0.25">
      <c r="E7563"/>
    </row>
    <row r="7564" spans="5:5" x14ac:dyDescent="0.25">
      <c r="E7564"/>
    </row>
    <row r="7565" spans="5:5" x14ac:dyDescent="0.25">
      <c r="E7565"/>
    </row>
    <row r="7566" spans="5:5" x14ac:dyDescent="0.25">
      <c r="E7566"/>
    </row>
    <row r="7567" spans="5:5" x14ac:dyDescent="0.25">
      <c r="E7567"/>
    </row>
    <row r="7568" spans="5:5" x14ac:dyDescent="0.25">
      <c r="E7568"/>
    </row>
    <row r="7569" spans="5:5" x14ac:dyDescent="0.25">
      <c r="E7569"/>
    </row>
    <row r="7570" spans="5:5" x14ac:dyDescent="0.25">
      <c r="E7570"/>
    </row>
    <row r="7571" spans="5:5" x14ac:dyDescent="0.25">
      <c r="E7571"/>
    </row>
    <row r="7572" spans="5:5" x14ac:dyDescent="0.25">
      <c r="E7572"/>
    </row>
    <row r="7573" spans="5:5" x14ac:dyDescent="0.25">
      <c r="E7573"/>
    </row>
    <row r="7574" spans="5:5" x14ac:dyDescent="0.25">
      <c r="E7574"/>
    </row>
    <row r="7575" spans="5:5" x14ac:dyDescent="0.25">
      <c r="E7575"/>
    </row>
    <row r="7576" spans="5:5" x14ac:dyDescent="0.25">
      <c r="E7576"/>
    </row>
    <row r="7577" spans="5:5" x14ac:dyDescent="0.25">
      <c r="E7577"/>
    </row>
    <row r="7578" spans="5:5" x14ac:dyDescent="0.25">
      <c r="E7578"/>
    </row>
    <row r="7579" spans="5:5" x14ac:dyDescent="0.25">
      <c r="E7579"/>
    </row>
    <row r="7580" spans="5:5" x14ac:dyDescent="0.25">
      <c r="E7580"/>
    </row>
    <row r="7581" spans="5:5" x14ac:dyDescent="0.25">
      <c r="E7581"/>
    </row>
    <row r="7582" spans="5:5" x14ac:dyDescent="0.25">
      <c r="E7582"/>
    </row>
    <row r="7583" spans="5:5" x14ac:dyDescent="0.25">
      <c r="E7583"/>
    </row>
    <row r="7584" spans="5:5" x14ac:dyDescent="0.25">
      <c r="E7584"/>
    </row>
    <row r="7585" spans="5:5" x14ac:dyDescent="0.25">
      <c r="E7585"/>
    </row>
    <row r="7586" spans="5:5" x14ac:dyDescent="0.25">
      <c r="E7586"/>
    </row>
    <row r="7587" spans="5:5" x14ac:dyDescent="0.25">
      <c r="E7587"/>
    </row>
    <row r="7588" spans="5:5" x14ac:dyDescent="0.25">
      <c r="E7588"/>
    </row>
    <row r="7589" spans="5:5" x14ac:dyDescent="0.25">
      <c r="E7589"/>
    </row>
    <row r="7590" spans="5:5" x14ac:dyDescent="0.25">
      <c r="E7590"/>
    </row>
    <row r="7591" spans="5:5" x14ac:dyDescent="0.25">
      <c r="E7591"/>
    </row>
    <row r="7592" spans="5:5" x14ac:dyDescent="0.25">
      <c r="E7592"/>
    </row>
    <row r="7593" spans="5:5" x14ac:dyDescent="0.25">
      <c r="E7593"/>
    </row>
    <row r="7594" spans="5:5" x14ac:dyDescent="0.25">
      <c r="E7594"/>
    </row>
    <row r="7595" spans="5:5" x14ac:dyDescent="0.25">
      <c r="E7595"/>
    </row>
    <row r="7596" spans="5:5" x14ac:dyDescent="0.25">
      <c r="E7596"/>
    </row>
    <row r="7597" spans="5:5" x14ac:dyDescent="0.25">
      <c r="E7597"/>
    </row>
    <row r="7598" spans="5:5" x14ac:dyDescent="0.25">
      <c r="E7598"/>
    </row>
    <row r="7599" spans="5:5" x14ac:dyDescent="0.25">
      <c r="E7599"/>
    </row>
    <row r="7600" spans="5:5" x14ac:dyDescent="0.25">
      <c r="E7600"/>
    </row>
    <row r="7601" spans="5:5" x14ac:dyDescent="0.25">
      <c r="E7601"/>
    </row>
    <row r="7602" spans="5:5" x14ac:dyDescent="0.25">
      <c r="E7602"/>
    </row>
    <row r="7603" spans="5:5" x14ac:dyDescent="0.25">
      <c r="E7603"/>
    </row>
    <row r="7604" spans="5:5" x14ac:dyDescent="0.25">
      <c r="E7604"/>
    </row>
    <row r="7605" spans="5:5" x14ac:dyDescent="0.25">
      <c r="E7605"/>
    </row>
    <row r="7606" spans="5:5" x14ac:dyDescent="0.25">
      <c r="E7606"/>
    </row>
    <row r="7607" spans="5:5" x14ac:dyDescent="0.25">
      <c r="E7607"/>
    </row>
    <row r="7608" spans="5:5" x14ac:dyDescent="0.25">
      <c r="E7608"/>
    </row>
    <row r="7609" spans="5:5" x14ac:dyDescent="0.25">
      <c r="E7609"/>
    </row>
    <row r="7610" spans="5:5" x14ac:dyDescent="0.25">
      <c r="E7610"/>
    </row>
    <row r="7611" spans="5:5" x14ac:dyDescent="0.25">
      <c r="E7611"/>
    </row>
    <row r="7612" spans="5:5" x14ac:dyDescent="0.25">
      <c r="E7612"/>
    </row>
    <row r="7613" spans="5:5" x14ac:dyDescent="0.25">
      <c r="E7613"/>
    </row>
    <row r="7614" spans="5:5" x14ac:dyDescent="0.25">
      <c r="E7614"/>
    </row>
    <row r="7615" spans="5:5" x14ac:dyDescent="0.25">
      <c r="E7615"/>
    </row>
    <row r="7616" spans="5:5" x14ac:dyDescent="0.25">
      <c r="E7616"/>
    </row>
    <row r="7617" spans="5:5" x14ac:dyDescent="0.25">
      <c r="E7617"/>
    </row>
    <row r="7618" spans="5:5" x14ac:dyDescent="0.25">
      <c r="E7618"/>
    </row>
    <row r="7619" spans="5:5" x14ac:dyDescent="0.25">
      <c r="E7619"/>
    </row>
    <row r="7620" spans="5:5" x14ac:dyDescent="0.25">
      <c r="E7620"/>
    </row>
    <row r="7621" spans="5:5" x14ac:dyDescent="0.25">
      <c r="E7621"/>
    </row>
    <row r="7622" spans="5:5" x14ac:dyDescent="0.25">
      <c r="E7622"/>
    </row>
    <row r="7623" spans="5:5" x14ac:dyDescent="0.25">
      <c r="E7623"/>
    </row>
    <row r="7624" spans="5:5" x14ac:dyDescent="0.25">
      <c r="E7624"/>
    </row>
    <row r="7625" spans="5:5" x14ac:dyDescent="0.25">
      <c r="E7625"/>
    </row>
    <row r="7626" spans="5:5" x14ac:dyDescent="0.25">
      <c r="E7626"/>
    </row>
    <row r="7627" spans="5:5" x14ac:dyDescent="0.25">
      <c r="E7627"/>
    </row>
    <row r="7628" spans="5:5" x14ac:dyDescent="0.25">
      <c r="E7628"/>
    </row>
    <row r="7629" spans="5:5" x14ac:dyDescent="0.25">
      <c r="E7629"/>
    </row>
    <row r="7630" spans="5:5" x14ac:dyDescent="0.25">
      <c r="E7630"/>
    </row>
    <row r="7631" spans="5:5" x14ac:dyDescent="0.25">
      <c r="E7631"/>
    </row>
    <row r="7632" spans="5:5" x14ac:dyDescent="0.25">
      <c r="E7632"/>
    </row>
    <row r="7633" spans="5:5" x14ac:dyDescent="0.25">
      <c r="E7633"/>
    </row>
    <row r="7634" spans="5:5" x14ac:dyDescent="0.25">
      <c r="E7634"/>
    </row>
    <row r="7635" spans="5:5" x14ac:dyDescent="0.25">
      <c r="E7635"/>
    </row>
    <row r="7636" spans="5:5" x14ac:dyDescent="0.25">
      <c r="E7636"/>
    </row>
    <row r="7637" spans="5:5" x14ac:dyDescent="0.25">
      <c r="E7637"/>
    </row>
    <row r="7638" spans="5:5" x14ac:dyDescent="0.25">
      <c r="E7638"/>
    </row>
    <row r="7639" spans="5:5" x14ac:dyDescent="0.25">
      <c r="E7639"/>
    </row>
    <row r="7640" spans="5:5" x14ac:dyDescent="0.25">
      <c r="E7640"/>
    </row>
    <row r="7641" spans="5:5" x14ac:dyDescent="0.25">
      <c r="E7641"/>
    </row>
    <row r="7642" spans="5:5" x14ac:dyDescent="0.25">
      <c r="E7642"/>
    </row>
    <row r="7643" spans="5:5" x14ac:dyDescent="0.25">
      <c r="E7643"/>
    </row>
    <row r="7644" spans="5:5" x14ac:dyDescent="0.25">
      <c r="E7644"/>
    </row>
    <row r="7645" spans="5:5" x14ac:dyDescent="0.25">
      <c r="E7645"/>
    </row>
    <row r="7646" spans="5:5" x14ac:dyDescent="0.25">
      <c r="E7646"/>
    </row>
    <row r="7647" spans="5:5" x14ac:dyDescent="0.25">
      <c r="E7647"/>
    </row>
    <row r="7648" spans="5:5" x14ac:dyDescent="0.25">
      <c r="E7648"/>
    </row>
    <row r="7649" spans="5:5" x14ac:dyDescent="0.25">
      <c r="E7649"/>
    </row>
    <row r="7650" spans="5:5" x14ac:dyDescent="0.25">
      <c r="E7650"/>
    </row>
    <row r="7651" spans="5:5" x14ac:dyDescent="0.25">
      <c r="E7651"/>
    </row>
    <row r="7652" spans="5:5" x14ac:dyDescent="0.25">
      <c r="E7652"/>
    </row>
    <row r="7653" spans="5:5" x14ac:dyDescent="0.25">
      <c r="E7653"/>
    </row>
    <row r="7654" spans="5:5" x14ac:dyDescent="0.25">
      <c r="E7654"/>
    </row>
    <row r="7655" spans="5:5" x14ac:dyDescent="0.25">
      <c r="E7655"/>
    </row>
    <row r="7656" spans="5:5" x14ac:dyDescent="0.25">
      <c r="E7656"/>
    </row>
    <row r="7657" spans="5:5" x14ac:dyDescent="0.25">
      <c r="E7657"/>
    </row>
    <row r="7658" spans="5:5" x14ac:dyDescent="0.25">
      <c r="E7658"/>
    </row>
    <row r="7659" spans="5:5" x14ac:dyDescent="0.25">
      <c r="E7659"/>
    </row>
    <row r="7660" spans="5:5" x14ac:dyDescent="0.25">
      <c r="E7660"/>
    </row>
    <row r="7661" spans="5:5" x14ac:dyDescent="0.25">
      <c r="E7661"/>
    </row>
    <row r="7662" spans="5:5" x14ac:dyDescent="0.25">
      <c r="E7662"/>
    </row>
    <row r="7663" spans="5:5" x14ac:dyDescent="0.25">
      <c r="E7663"/>
    </row>
    <row r="7664" spans="5:5" x14ac:dyDescent="0.25">
      <c r="E7664"/>
    </row>
    <row r="7665" spans="5:5" x14ac:dyDescent="0.25">
      <c r="E7665"/>
    </row>
    <row r="7666" spans="5:5" x14ac:dyDescent="0.25">
      <c r="E7666"/>
    </row>
    <row r="7667" spans="5:5" x14ac:dyDescent="0.25">
      <c r="E7667"/>
    </row>
    <row r="7668" spans="5:5" x14ac:dyDescent="0.25">
      <c r="E7668"/>
    </row>
    <row r="7669" spans="5:5" x14ac:dyDescent="0.25">
      <c r="E7669"/>
    </row>
    <row r="7670" spans="5:5" x14ac:dyDescent="0.25">
      <c r="E7670"/>
    </row>
    <row r="7671" spans="5:5" x14ac:dyDescent="0.25">
      <c r="E7671"/>
    </row>
    <row r="7672" spans="5:5" x14ac:dyDescent="0.25">
      <c r="E7672"/>
    </row>
    <row r="7673" spans="5:5" x14ac:dyDescent="0.25">
      <c r="E7673"/>
    </row>
    <row r="7674" spans="5:5" x14ac:dyDescent="0.25">
      <c r="E7674"/>
    </row>
    <row r="7675" spans="5:5" x14ac:dyDescent="0.25">
      <c r="E7675"/>
    </row>
    <row r="7676" spans="5:5" x14ac:dyDescent="0.25">
      <c r="E7676"/>
    </row>
    <row r="7677" spans="5:5" x14ac:dyDescent="0.25">
      <c r="E7677"/>
    </row>
    <row r="7678" spans="5:5" x14ac:dyDescent="0.25">
      <c r="E7678"/>
    </row>
    <row r="7679" spans="5:5" x14ac:dyDescent="0.25">
      <c r="E7679"/>
    </row>
    <row r="7680" spans="5:5" x14ac:dyDescent="0.25">
      <c r="E7680"/>
    </row>
    <row r="7681" spans="5:5" x14ac:dyDescent="0.25">
      <c r="E7681"/>
    </row>
    <row r="7682" spans="5:5" x14ac:dyDescent="0.25">
      <c r="E7682"/>
    </row>
    <row r="7683" spans="5:5" x14ac:dyDescent="0.25">
      <c r="E7683"/>
    </row>
    <row r="7684" spans="5:5" x14ac:dyDescent="0.25">
      <c r="E7684"/>
    </row>
    <row r="7685" spans="5:5" x14ac:dyDescent="0.25">
      <c r="E7685"/>
    </row>
    <row r="7686" spans="5:5" x14ac:dyDescent="0.25">
      <c r="E7686"/>
    </row>
    <row r="7687" spans="5:5" x14ac:dyDescent="0.25">
      <c r="E7687"/>
    </row>
    <row r="7688" spans="5:5" x14ac:dyDescent="0.25">
      <c r="E7688"/>
    </row>
    <row r="7689" spans="5:5" x14ac:dyDescent="0.25">
      <c r="E7689"/>
    </row>
    <row r="7690" spans="5:5" x14ac:dyDescent="0.25">
      <c r="E7690"/>
    </row>
    <row r="7691" spans="5:5" x14ac:dyDescent="0.25">
      <c r="E7691"/>
    </row>
    <row r="7692" spans="5:5" x14ac:dyDescent="0.25">
      <c r="E7692"/>
    </row>
    <row r="7693" spans="5:5" x14ac:dyDescent="0.25">
      <c r="E7693"/>
    </row>
    <row r="7694" spans="5:5" x14ac:dyDescent="0.25">
      <c r="E7694"/>
    </row>
    <row r="7695" spans="5:5" x14ac:dyDescent="0.25">
      <c r="E7695"/>
    </row>
    <row r="7696" spans="5:5" x14ac:dyDescent="0.25">
      <c r="E7696"/>
    </row>
    <row r="7697" spans="5:5" x14ac:dyDescent="0.25">
      <c r="E7697"/>
    </row>
    <row r="7698" spans="5:5" x14ac:dyDescent="0.25">
      <c r="E7698"/>
    </row>
    <row r="7699" spans="5:5" x14ac:dyDescent="0.25">
      <c r="E7699"/>
    </row>
    <row r="7700" spans="5:5" x14ac:dyDescent="0.25">
      <c r="E7700"/>
    </row>
    <row r="7701" spans="5:5" x14ac:dyDescent="0.25">
      <c r="E7701"/>
    </row>
    <row r="7702" spans="5:5" x14ac:dyDescent="0.25">
      <c r="E7702"/>
    </row>
    <row r="7703" spans="5:5" x14ac:dyDescent="0.25">
      <c r="E7703"/>
    </row>
    <row r="7704" spans="5:5" x14ac:dyDescent="0.25">
      <c r="E7704"/>
    </row>
    <row r="7705" spans="5:5" x14ac:dyDescent="0.25">
      <c r="E7705"/>
    </row>
    <row r="7706" spans="5:5" x14ac:dyDescent="0.25">
      <c r="E7706"/>
    </row>
    <row r="7707" spans="5:5" x14ac:dyDescent="0.25">
      <c r="E7707"/>
    </row>
    <row r="7708" spans="5:5" x14ac:dyDescent="0.25">
      <c r="E7708"/>
    </row>
    <row r="7709" spans="5:5" x14ac:dyDescent="0.25">
      <c r="E7709"/>
    </row>
    <row r="7710" spans="5:5" x14ac:dyDescent="0.25">
      <c r="E7710"/>
    </row>
    <row r="7711" spans="5:5" x14ac:dyDescent="0.25">
      <c r="E7711"/>
    </row>
    <row r="7712" spans="5:5" x14ac:dyDescent="0.25">
      <c r="E7712"/>
    </row>
    <row r="7713" spans="5:5" x14ac:dyDescent="0.25">
      <c r="E7713"/>
    </row>
    <row r="7714" spans="5:5" x14ac:dyDescent="0.25">
      <c r="E7714"/>
    </row>
    <row r="7715" spans="5:5" x14ac:dyDescent="0.25">
      <c r="E7715"/>
    </row>
    <row r="7716" spans="5:5" x14ac:dyDescent="0.25">
      <c r="E7716"/>
    </row>
    <row r="7717" spans="5:5" x14ac:dyDescent="0.25">
      <c r="E7717"/>
    </row>
    <row r="7718" spans="5:5" x14ac:dyDescent="0.25">
      <c r="E7718"/>
    </row>
    <row r="7719" spans="5:5" x14ac:dyDescent="0.25">
      <c r="E7719"/>
    </row>
    <row r="7720" spans="5:5" x14ac:dyDescent="0.25">
      <c r="E7720"/>
    </row>
    <row r="7721" spans="5:5" x14ac:dyDescent="0.25">
      <c r="E7721"/>
    </row>
    <row r="7722" spans="5:5" x14ac:dyDescent="0.25">
      <c r="E7722"/>
    </row>
    <row r="7723" spans="5:5" x14ac:dyDescent="0.25">
      <c r="E7723"/>
    </row>
    <row r="7724" spans="5:5" x14ac:dyDescent="0.25">
      <c r="E7724"/>
    </row>
    <row r="7725" spans="5:5" x14ac:dyDescent="0.25">
      <c r="E7725"/>
    </row>
    <row r="7726" spans="5:5" x14ac:dyDescent="0.25">
      <c r="E7726"/>
    </row>
    <row r="7727" spans="5:5" x14ac:dyDescent="0.25">
      <c r="E7727"/>
    </row>
    <row r="7728" spans="5:5" x14ac:dyDescent="0.25">
      <c r="E7728"/>
    </row>
    <row r="7729" spans="5:5" x14ac:dyDescent="0.25">
      <c r="E7729"/>
    </row>
    <row r="7730" spans="5:5" x14ac:dyDescent="0.25">
      <c r="E7730"/>
    </row>
    <row r="7731" spans="5:5" x14ac:dyDescent="0.25">
      <c r="E7731"/>
    </row>
    <row r="7732" spans="5:5" x14ac:dyDescent="0.25">
      <c r="E7732"/>
    </row>
    <row r="7733" spans="5:5" x14ac:dyDescent="0.25">
      <c r="E7733"/>
    </row>
    <row r="7734" spans="5:5" x14ac:dyDescent="0.25">
      <c r="E7734"/>
    </row>
    <row r="7735" spans="5:5" x14ac:dyDescent="0.25">
      <c r="E7735"/>
    </row>
    <row r="7736" spans="5:5" x14ac:dyDescent="0.25">
      <c r="E7736"/>
    </row>
    <row r="7737" spans="5:5" x14ac:dyDescent="0.25">
      <c r="E7737"/>
    </row>
    <row r="7738" spans="5:5" x14ac:dyDescent="0.25">
      <c r="E7738"/>
    </row>
    <row r="7739" spans="5:5" x14ac:dyDescent="0.25">
      <c r="E7739"/>
    </row>
    <row r="7740" spans="5:5" x14ac:dyDescent="0.25">
      <c r="E7740"/>
    </row>
    <row r="7741" spans="5:5" x14ac:dyDescent="0.25">
      <c r="E7741"/>
    </row>
    <row r="7742" spans="5:5" x14ac:dyDescent="0.25">
      <c r="E7742"/>
    </row>
    <row r="7743" spans="5:5" x14ac:dyDescent="0.25">
      <c r="E7743"/>
    </row>
    <row r="7744" spans="5:5" x14ac:dyDescent="0.25">
      <c r="E7744"/>
    </row>
    <row r="7745" spans="5:5" x14ac:dyDescent="0.25">
      <c r="E7745"/>
    </row>
    <row r="7746" spans="5:5" x14ac:dyDescent="0.25">
      <c r="E7746"/>
    </row>
    <row r="7747" spans="5:5" x14ac:dyDescent="0.25">
      <c r="E7747"/>
    </row>
    <row r="7748" spans="5:5" x14ac:dyDescent="0.25">
      <c r="E7748"/>
    </row>
    <row r="7749" spans="5:5" x14ac:dyDescent="0.25">
      <c r="E7749"/>
    </row>
    <row r="7750" spans="5:5" x14ac:dyDescent="0.25">
      <c r="E7750"/>
    </row>
    <row r="7751" spans="5:5" x14ac:dyDescent="0.25">
      <c r="E7751"/>
    </row>
    <row r="7752" spans="5:5" x14ac:dyDescent="0.25">
      <c r="E7752"/>
    </row>
    <row r="7753" spans="5:5" x14ac:dyDescent="0.25">
      <c r="E7753"/>
    </row>
    <row r="7754" spans="5:5" x14ac:dyDescent="0.25">
      <c r="E7754"/>
    </row>
    <row r="7755" spans="5:5" x14ac:dyDescent="0.25">
      <c r="E7755"/>
    </row>
    <row r="7756" spans="5:5" x14ac:dyDescent="0.25">
      <c r="E7756"/>
    </row>
    <row r="7757" spans="5:5" x14ac:dyDescent="0.25">
      <c r="E7757"/>
    </row>
    <row r="7758" spans="5:5" x14ac:dyDescent="0.25">
      <c r="E7758"/>
    </row>
    <row r="7759" spans="5:5" x14ac:dyDescent="0.25">
      <c r="E7759"/>
    </row>
    <row r="7760" spans="5:5" x14ac:dyDescent="0.25">
      <c r="E7760"/>
    </row>
    <row r="7761" spans="5:5" x14ac:dyDescent="0.25">
      <c r="E7761"/>
    </row>
    <row r="7762" spans="5:5" x14ac:dyDescent="0.25">
      <c r="E7762"/>
    </row>
    <row r="7763" spans="5:5" x14ac:dyDescent="0.25">
      <c r="E7763"/>
    </row>
    <row r="7764" spans="5:5" x14ac:dyDescent="0.25">
      <c r="E7764"/>
    </row>
    <row r="7765" spans="5:5" x14ac:dyDescent="0.25">
      <c r="E7765"/>
    </row>
    <row r="7766" spans="5:5" x14ac:dyDescent="0.25">
      <c r="E7766"/>
    </row>
    <row r="7767" spans="5:5" x14ac:dyDescent="0.25">
      <c r="E7767"/>
    </row>
    <row r="7768" spans="5:5" x14ac:dyDescent="0.25">
      <c r="E7768"/>
    </row>
    <row r="7769" spans="5:5" x14ac:dyDescent="0.25">
      <c r="E7769"/>
    </row>
    <row r="7770" spans="5:5" x14ac:dyDescent="0.25">
      <c r="E7770"/>
    </row>
    <row r="7771" spans="5:5" x14ac:dyDescent="0.25">
      <c r="E7771"/>
    </row>
    <row r="7772" spans="5:5" x14ac:dyDescent="0.25">
      <c r="E7772"/>
    </row>
    <row r="7773" spans="5:5" x14ac:dyDescent="0.25">
      <c r="E7773"/>
    </row>
    <row r="7774" spans="5:5" x14ac:dyDescent="0.25">
      <c r="E7774"/>
    </row>
    <row r="7775" spans="5:5" x14ac:dyDescent="0.25">
      <c r="E7775"/>
    </row>
    <row r="7776" spans="5:5" x14ac:dyDescent="0.25">
      <c r="E7776"/>
    </row>
    <row r="7777" spans="5:5" x14ac:dyDescent="0.25">
      <c r="E7777"/>
    </row>
    <row r="7778" spans="5:5" x14ac:dyDescent="0.25">
      <c r="E7778"/>
    </row>
    <row r="7779" spans="5:5" x14ac:dyDescent="0.25">
      <c r="E7779"/>
    </row>
    <row r="7780" spans="5:5" x14ac:dyDescent="0.25">
      <c r="E7780"/>
    </row>
    <row r="7781" spans="5:5" x14ac:dyDescent="0.25">
      <c r="E7781"/>
    </row>
    <row r="7782" spans="5:5" x14ac:dyDescent="0.25">
      <c r="E7782"/>
    </row>
    <row r="7783" spans="5:5" x14ac:dyDescent="0.25">
      <c r="E7783"/>
    </row>
    <row r="7784" spans="5:5" x14ac:dyDescent="0.25">
      <c r="E7784"/>
    </row>
    <row r="7785" spans="5:5" x14ac:dyDescent="0.25">
      <c r="E7785"/>
    </row>
    <row r="7786" spans="5:5" x14ac:dyDescent="0.25">
      <c r="E7786"/>
    </row>
    <row r="7787" spans="5:5" x14ac:dyDescent="0.25">
      <c r="E7787"/>
    </row>
    <row r="7788" spans="5:5" x14ac:dyDescent="0.25">
      <c r="E7788"/>
    </row>
    <row r="7789" spans="5:5" x14ac:dyDescent="0.25">
      <c r="E7789"/>
    </row>
    <row r="7790" spans="5:5" x14ac:dyDescent="0.25">
      <c r="E7790"/>
    </row>
    <row r="7791" spans="5:5" x14ac:dyDescent="0.25">
      <c r="E7791"/>
    </row>
    <row r="7792" spans="5:5" x14ac:dyDescent="0.25">
      <c r="E7792"/>
    </row>
    <row r="7793" spans="5:5" x14ac:dyDescent="0.25">
      <c r="E7793"/>
    </row>
    <row r="7794" spans="5:5" x14ac:dyDescent="0.25">
      <c r="E7794"/>
    </row>
    <row r="7795" spans="5:5" x14ac:dyDescent="0.25">
      <c r="E7795"/>
    </row>
    <row r="7796" spans="5:5" x14ac:dyDescent="0.25">
      <c r="E7796"/>
    </row>
    <row r="7797" spans="5:5" x14ac:dyDescent="0.25">
      <c r="E7797"/>
    </row>
    <row r="7798" spans="5:5" x14ac:dyDescent="0.25">
      <c r="E7798"/>
    </row>
    <row r="7799" spans="5:5" x14ac:dyDescent="0.25">
      <c r="E7799"/>
    </row>
    <row r="7800" spans="5:5" x14ac:dyDescent="0.25">
      <c r="E7800"/>
    </row>
    <row r="7801" spans="5:5" x14ac:dyDescent="0.25">
      <c r="E7801"/>
    </row>
    <row r="7802" spans="5:5" x14ac:dyDescent="0.25">
      <c r="E7802"/>
    </row>
    <row r="7803" spans="5:5" x14ac:dyDescent="0.25">
      <c r="E7803"/>
    </row>
    <row r="7804" spans="5:5" x14ac:dyDescent="0.25">
      <c r="E7804"/>
    </row>
    <row r="7805" spans="5:5" x14ac:dyDescent="0.25">
      <c r="E7805"/>
    </row>
    <row r="7806" spans="5:5" x14ac:dyDescent="0.25">
      <c r="E7806"/>
    </row>
    <row r="7807" spans="5:5" x14ac:dyDescent="0.25">
      <c r="E7807"/>
    </row>
    <row r="7808" spans="5:5" x14ac:dyDescent="0.25">
      <c r="E7808"/>
    </row>
    <row r="7809" spans="5:5" x14ac:dyDescent="0.25">
      <c r="E7809"/>
    </row>
    <row r="7810" spans="5:5" x14ac:dyDescent="0.25">
      <c r="E7810"/>
    </row>
    <row r="7811" spans="5:5" x14ac:dyDescent="0.25">
      <c r="E7811"/>
    </row>
    <row r="7812" spans="5:5" x14ac:dyDescent="0.25">
      <c r="E7812"/>
    </row>
    <row r="7813" spans="5:5" x14ac:dyDescent="0.25">
      <c r="E7813"/>
    </row>
    <row r="7814" spans="5:5" x14ac:dyDescent="0.25">
      <c r="E7814"/>
    </row>
    <row r="7815" spans="5:5" x14ac:dyDescent="0.25">
      <c r="E7815"/>
    </row>
    <row r="7816" spans="5:5" x14ac:dyDescent="0.25">
      <c r="E7816"/>
    </row>
    <row r="7817" spans="5:5" x14ac:dyDescent="0.25">
      <c r="E7817"/>
    </row>
    <row r="7818" spans="5:5" x14ac:dyDescent="0.25">
      <c r="E7818"/>
    </row>
    <row r="7819" spans="5:5" x14ac:dyDescent="0.25">
      <c r="E7819"/>
    </row>
    <row r="7820" spans="5:5" x14ac:dyDescent="0.25">
      <c r="E7820"/>
    </row>
    <row r="7821" spans="5:5" x14ac:dyDescent="0.25">
      <c r="E7821"/>
    </row>
    <row r="7822" spans="5:5" x14ac:dyDescent="0.25">
      <c r="E7822"/>
    </row>
    <row r="7823" spans="5:5" x14ac:dyDescent="0.25">
      <c r="E7823"/>
    </row>
    <row r="7824" spans="5:5" x14ac:dyDescent="0.25">
      <c r="E7824"/>
    </row>
    <row r="7825" spans="5:5" x14ac:dyDescent="0.25">
      <c r="E7825"/>
    </row>
    <row r="7826" spans="5:5" x14ac:dyDescent="0.25">
      <c r="E7826"/>
    </row>
    <row r="7827" spans="5:5" x14ac:dyDescent="0.25">
      <c r="E7827"/>
    </row>
    <row r="7828" spans="5:5" x14ac:dyDescent="0.25">
      <c r="E7828"/>
    </row>
    <row r="7829" spans="5:5" x14ac:dyDescent="0.25">
      <c r="E7829"/>
    </row>
    <row r="7830" spans="5:5" x14ac:dyDescent="0.25">
      <c r="E7830"/>
    </row>
    <row r="7831" spans="5:5" x14ac:dyDescent="0.25">
      <c r="E7831"/>
    </row>
    <row r="7832" spans="5:5" x14ac:dyDescent="0.25">
      <c r="E7832"/>
    </row>
    <row r="7833" spans="5:5" x14ac:dyDescent="0.25">
      <c r="E7833"/>
    </row>
    <row r="7834" spans="5:5" x14ac:dyDescent="0.25">
      <c r="E7834"/>
    </row>
    <row r="7835" spans="5:5" x14ac:dyDescent="0.25">
      <c r="E7835"/>
    </row>
    <row r="7836" spans="5:5" x14ac:dyDescent="0.25">
      <c r="E7836"/>
    </row>
    <row r="7837" spans="5:5" x14ac:dyDescent="0.25">
      <c r="E7837"/>
    </row>
    <row r="7838" spans="5:5" x14ac:dyDescent="0.25">
      <c r="E7838"/>
    </row>
    <row r="7839" spans="5:5" x14ac:dyDescent="0.25">
      <c r="E7839"/>
    </row>
    <row r="7840" spans="5:5" x14ac:dyDescent="0.25">
      <c r="E7840"/>
    </row>
    <row r="7841" spans="5:5" x14ac:dyDescent="0.25">
      <c r="E7841"/>
    </row>
    <row r="7842" spans="5:5" x14ac:dyDescent="0.25">
      <c r="E7842"/>
    </row>
    <row r="7843" spans="5:5" x14ac:dyDescent="0.25">
      <c r="E7843"/>
    </row>
    <row r="7844" spans="5:5" x14ac:dyDescent="0.25">
      <c r="E7844"/>
    </row>
    <row r="7845" spans="5:5" x14ac:dyDescent="0.25">
      <c r="E7845"/>
    </row>
    <row r="7846" spans="5:5" x14ac:dyDescent="0.25">
      <c r="E7846"/>
    </row>
    <row r="7847" spans="5:5" x14ac:dyDescent="0.25">
      <c r="E7847"/>
    </row>
    <row r="7848" spans="5:5" x14ac:dyDescent="0.25">
      <c r="E7848"/>
    </row>
    <row r="7849" spans="5:5" x14ac:dyDescent="0.25">
      <c r="E7849"/>
    </row>
    <row r="7850" spans="5:5" x14ac:dyDescent="0.25">
      <c r="E7850"/>
    </row>
    <row r="7851" spans="5:5" x14ac:dyDescent="0.25">
      <c r="E7851"/>
    </row>
    <row r="7852" spans="5:5" x14ac:dyDescent="0.25">
      <c r="E7852"/>
    </row>
    <row r="7853" spans="5:5" x14ac:dyDescent="0.25">
      <c r="E7853"/>
    </row>
    <row r="7854" spans="5:5" x14ac:dyDescent="0.25">
      <c r="E7854"/>
    </row>
    <row r="7855" spans="5:5" x14ac:dyDescent="0.25">
      <c r="E7855"/>
    </row>
    <row r="7856" spans="5:5" x14ac:dyDescent="0.25">
      <c r="E7856"/>
    </row>
    <row r="7857" spans="5:5" x14ac:dyDescent="0.25">
      <c r="E7857"/>
    </row>
    <row r="7858" spans="5:5" x14ac:dyDescent="0.25">
      <c r="E7858"/>
    </row>
    <row r="7859" spans="5:5" x14ac:dyDescent="0.25">
      <c r="E7859"/>
    </row>
    <row r="7860" spans="5:5" x14ac:dyDescent="0.25">
      <c r="E7860"/>
    </row>
    <row r="7861" spans="5:5" x14ac:dyDescent="0.25">
      <c r="E7861"/>
    </row>
    <row r="7862" spans="5:5" x14ac:dyDescent="0.25">
      <c r="E7862"/>
    </row>
    <row r="7863" spans="5:5" x14ac:dyDescent="0.25">
      <c r="E7863"/>
    </row>
    <row r="7864" spans="5:5" x14ac:dyDescent="0.25">
      <c r="E7864"/>
    </row>
    <row r="7865" spans="5:5" x14ac:dyDescent="0.25">
      <c r="E7865"/>
    </row>
    <row r="7866" spans="5:5" x14ac:dyDescent="0.25">
      <c r="E7866"/>
    </row>
    <row r="7867" spans="5:5" x14ac:dyDescent="0.25">
      <c r="E7867"/>
    </row>
    <row r="7868" spans="5:5" x14ac:dyDescent="0.25">
      <c r="E7868"/>
    </row>
    <row r="7869" spans="5:5" x14ac:dyDescent="0.25">
      <c r="E7869"/>
    </row>
    <row r="7870" spans="5:5" x14ac:dyDescent="0.25">
      <c r="E7870"/>
    </row>
    <row r="7871" spans="5:5" x14ac:dyDescent="0.25">
      <c r="E7871"/>
    </row>
    <row r="7872" spans="5:5" x14ac:dyDescent="0.25">
      <c r="E7872"/>
    </row>
    <row r="7873" spans="5:5" x14ac:dyDescent="0.25">
      <c r="E7873"/>
    </row>
    <row r="7874" spans="5:5" x14ac:dyDescent="0.25">
      <c r="E7874"/>
    </row>
    <row r="7875" spans="5:5" x14ac:dyDescent="0.25">
      <c r="E7875"/>
    </row>
    <row r="7876" spans="5:5" x14ac:dyDescent="0.25">
      <c r="E7876"/>
    </row>
    <row r="7877" spans="5:5" x14ac:dyDescent="0.25">
      <c r="E7877"/>
    </row>
    <row r="7878" spans="5:5" x14ac:dyDescent="0.25">
      <c r="E7878"/>
    </row>
    <row r="7879" spans="5:5" x14ac:dyDescent="0.25">
      <c r="E7879"/>
    </row>
    <row r="7880" spans="5:5" x14ac:dyDescent="0.25">
      <c r="E7880"/>
    </row>
    <row r="7881" spans="5:5" x14ac:dyDescent="0.25">
      <c r="E7881"/>
    </row>
    <row r="7882" spans="5:5" x14ac:dyDescent="0.25">
      <c r="E7882"/>
    </row>
    <row r="7883" spans="5:5" x14ac:dyDescent="0.25">
      <c r="E7883"/>
    </row>
    <row r="7884" spans="5:5" x14ac:dyDescent="0.25">
      <c r="E7884"/>
    </row>
    <row r="7885" spans="5:5" x14ac:dyDescent="0.25">
      <c r="E7885"/>
    </row>
    <row r="7886" spans="5:5" x14ac:dyDescent="0.25">
      <c r="E7886"/>
    </row>
    <row r="7887" spans="5:5" x14ac:dyDescent="0.25">
      <c r="E7887"/>
    </row>
    <row r="7888" spans="5:5" x14ac:dyDescent="0.25">
      <c r="E7888"/>
    </row>
    <row r="7889" spans="5:5" x14ac:dyDescent="0.25">
      <c r="E7889"/>
    </row>
    <row r="7890" spans="5:5" x14ac:dyDescent="0.25">
      <c r="E7890"/>
    </row>
    <row r="7891" spans="5:5" x14ac:dyDescent="0.25">
      <c r="E7891"/>
    </row>
    <row r="7892" spans="5:5" x14ac:dyDescent="0.25">
      <c r="E7892"/>
    </row>
    <row r="7893" spans="5:5" x14ac:dyDescent="0.25">
      <c r="E7893"/>
    </row>
    <row r="7894" spans="5:5" x14ac:dyDescent="0.25">
      <c r="E7894"/>
    </row>
    <row r="7895" spans="5:5" x14ac:dyDescent="0.25">
      <c r="E7895"/>
    </row>
    <row r="7896" spans="5:5" x14ac:dyDescent="0.25">
      <c r="E7896"/>
    </row>
    <row r="7897" spans="5:5" x14ac:dyDescent="0.25">
      <c r="E7897"/>
    </row>
    <row r="7898" spans="5:5" x14ac:dyDescent="0.25">
      <c r="E7898"/>
    </row>
    <row r="7899" spans="5:5" x14ac:dyDescent="0.25">
      <c r="E7899"/>
    </row>
    <row r="7900" spans="5:5" x14ac:dyDescent="0.25">
      <c r="E7900"/>
    </row>
    <row r="7901" spans="5:5" x14ac:dyDescent="0.25">
      <c r="E7901"/>
    </row>
    <row r="7902" spans="5:5" x14ac:dyDescent="0.25">
      <c r="E7902"/>
    </row>
    <row r="7903" spans="5:5" x14ac:dyDescent="0.25">
      <c r="E7903"/>
    </row>
    <row r="7904" spans="5:5" x14ac:dyDescent="0.25">
      <c r="E7904"/>
    </row>
    <row r="7905" spans="5:5" x14ac:dyDescent="0.25">
      <c r="E7905"/>
    </row>
    <row r="7906" spans="5:5" x14ac:dyDescent="0.25">
      <c r="E7906"/>
    </row>
    <row r="7907" spans="5:5" x14ac:dyDescent="0.25">
      <c r="E7907"/>
    </row>
    <row r="7908" spans="5:5" x14ac:dyDescent="0.25">
      <c r="E7908"/>
    </row>
    <row r="7909" spans="5:5" x14ac:dyDescent="0.25">
      <c r="E7909"/>
    </row>
    <row r="7910" spans="5:5" x14ac:dyDescent="0.25">
      <c r="E7910"/>
    </row>
    <row r="7911" spans="5:5" x14ac:dyDescent="0.25">
      <c r="E7911"/>
    </row>
    <row r="7912" spans="5:5" x14ac:dyDescent="0.25">
      <c r="E7912"/>
    </row>
    <row r="7913" spans="5:5" x14ac:dyDescent="0.25">
      <c r="E7913"/>
    </row>
    <row r="7914" spans="5:5" x14ac:dyDescent="0.25">
      <c r="E7914"/>
    </row>
    <row r="7915" spans="5:5" x14ac:dyDescent="0.25">
      <c r="E7915"/>
    </row>
    <row r="7916" spans="5:5" x14ac:dyDescent="0.25">
      <c r="E7916"/>
    </row>
    <row r="7917" spans="5:5" x14ac:dyDescent="0.25">
      <c r="E7917"/>
    </row>
    <row r="7918" spans="5:5" x14ac:dyDescent="0.25">
      <c r="E7918"/>
    </row>
    <row r="7919" spans="5:5" x14ac:dyDescent="0.25">
      <c r="E7919"/>
    </row>
    <row r="7920" spans="5:5" x14ac:dyDescent="0.25">
      <c r="E7920"/>
    </row>
    <row r="7921" spans="5:5" x14ac:dyDescent="0.25">
      <c r="E7921"/>
    </row>
    <row r="7922" spans="5:5" x14ac:dyDescent="0.25">
      <c r="E7922"/>
    </row>
    <row r="7923" spans="5:5" x14ac:dyDescent="0.25">
      <c r="E7923"/>
    </row>
    <row r="7924" spans="5:5" x14ac:dyDescent="0.25">
      <c r="E7924"/>
    </row>
    <row r="7925" spans="5:5" x14ac:dyDescent="0.25">
      <c r="E7925"/>
    </row>
    <row r="7926" spans="5:5" x14ac:dyDescent="0.25">
      <c r="E7926"/>
    </row>
    <row r="7927" spans="5:5" x14ac:dyDescent="0.25">
      <c r="E7927"/>
    </row>
    <row r="7928" spans="5:5" x14ac:dyDescent="0.25">
      <c r="E7928"/>
    </row>
    <row r="7929" spans="5:5" x14ac:dyDescent="0.25">
      <c r="E7929"/>
    </row>
    <row r="7930" spans="5:5" x14ac:dyDescent="0.25">
      <c r="E7930"/>
    </row>
    <row r="7931" spans="5:5" x14ac:dyDescent="0.25">
      <c r="E7931"/>
    </row>
    <row r="7932" spans="5:5" x14ac:dyDescent="0.25">
      <c r="E7932"/>
    </row>
    <row r="7933" spans="5:5" x14ac:dyDescent="0.25">
      <c r="E7933"/>
    </row>
    <row r="7934" spans="5:5" x14ac:dyDescent="0.25">
      <c r="E7934"/>
    </row>
    <row r="7935" spans="5:5" x14ac:dyDescent="0.25">
      <c r="E7935"/>
    </row>
    <row r="7936" spans="5:5" x14ac:dyDescent="0.25">
      <c r="E7936"/>
    </row>
    <row r="7937" spans="5:5" x14ac:dyDescent="0.25">
      <c r="E7937"/>
    </row>
    <row r="7938" spans="5:5" x14ac:dyDescent="0.25">
      <c r="E7938"/>
    </row>
    <row r="7939" spans="5:5" x14ac:dyDescent="0.25">
      <c r="E7939"/>
    </row>
    <row r="7940" spans="5:5" x14ac:dyDescent="0.25">
      <c r="E7940"/>
    </row>
    <row r="7941" spans="5:5" x14ac:dyDescent="0.25">
      <c r="E7941"/>
    </row>
    <row r="7942" spans="5:5" x14ac:dyDescent="0.25">
      <c r="E7942"/>
    </row>
    <row r="7943" spans="5:5" x14ac:dyDescent="0.25">
      <c r="E7943"/>
    </row>
    <row r="7944" spans="5:5" x14ac:dyDescent="0.25">
      <c r="E7944"/>
    </row>
    <row r="7945" spans="5:5" x14ac:dyDescent="0.25">
      <c r="E7945"/>
    </row>
    <row r="7946" spans="5:5" x14ac:dyDescent="0.25">
      <c r="E7946"/>
    </row>
    <row r="7947" spans="5:5" x14ac:dyDescent="0.25">
      <c r="E7947"/>
    </row>
    <row r="7948" spans="5:5" x14ac:dyDescent="0.25">
      <c r="E7948"/>
    </row>
    <row r="7949" spans="5:5" x14ac:dyDescent="0.25">
      <c r="E7949"/>
    </row>
    <row r="7950" spans="5:5" x14ac:dyDescent="0.25">
      <c r="E7950"/>
    </row>
    <row r="7951" spans="5:5" x14ac:dyDescent="0.25">
      <c r="E7951"/>
    </row>
    <row r="7952" spans="5:5" x14ac:dyDescent="0.25">
      <c r="E7952"/>
    </row>
    <row r="7953" spans="5:5" x14ac:dyDescent="0.25">
      <c r="E7953"/>
    </row>
    <row r="7954" spans="5:5" x14ac:dyDescent="0.25">
      <c r="E7954"/>
    </row>
    <row r="7955" spans="5:5" x14ac:dyDescent="0.25">
      <c r="E7955"/>
    </row>
    <row r="7956" spans="5:5" x14ac:dyDescent="0.25">
      <c r="E7956"/>
    </row>
    <row r="7957" spans="5:5" x14ac:dyDescent="0.25">
      <c r="E7957"/>
    </row>
    <row r="7958" spans="5:5" x14ac:dyDescent="0.25">
      <c r="E7958"/>
    </row>
    <row r="7959" spans="5:5" x14ac:dyDescent="0.25">
      <c r="E7959"/>
    </row>
    <row r="7960" spans="5:5" x14ac:dyDescent="0.25">
      <c r="E7960"/>
    </row>
    <row r="7961" spans="5:5" x14ac:dyDescent="0.25">
      <c r="E7961"/>
    </row>
    <row r="7962" spans="5:5" x14ac:dyDescent="0.25">
      <c r="E7962"/>
    </row>
    <row r="7963" spans="5:5" x14ac:dyDescent="0.25">
      <c r="E7963"/>
    </row>
    <row r="7964" spans="5:5" x14ac:dyDescent="0.25">
      <c r="E7964"/>
    </row>
    <row r="7965" spans="5:5" x14ac:dyDescent="0.25">
      <c r="E7965"/>
    </row>
    <row r="7966" spans="5:5" x14ac:dyDescent="0.25">
      <c r="E7966"/>
    </row>
    <row r="7967" spans="5:5" x14ac:dyDescent="0.25">
      <c r="E7967"/>
    </row>
    <row r="7968" spans="5:5" x14ac:dyDescent="0.25">
      <c r="E7968"/>
    </row>
    <row r="7969" spans="5:5" x14ac:dyDescent="0.25">
      <c r="E7969"/>
    </row>
    <row r="7970" spans="5:5" x14ac:dyDescent="0.25">
      <c r="E7970"/>
    </row>
    <row r="7971" spans="5:5" x14ac:dyDescent="0.25">
      <c r="E7971"/>
    </row>
    <row r="7972" spans="5:5" x14ac:dyDescent="0.25">
      <c r="E7972"/>
    </row>
    <row r="7973" spans="5:5" x14ac:dyDescent="0.25">
      <c r="E7973"/>
    </row>
    <row r="7974" spans="5:5" x14ac:dyDescent="0.25">
      <c r="E7974"/>
    </row>
    <row r="7975" spans="5:5" x14ac:dyDescent="0.25">
      <c r="E7975"/>
    </row>
    <row r="7976" spans="5:5" x14ac:dyDescent="0.25">
      <c r="E7976"/>
    </row>
    <row r="7977" spans="5:5" x14ac:dyDescent="0.25">
      <c r="E7977"/>
    </row>
    <row r="7978" spans="5:5" x14ac:dyDescent="0.25">
      <c r="E7978"/>
    </row>
    <row r="7979" spans="5:5" x14ac:dyDescent="0.25">
      <c r="E7979"/>
    </row>
    <row r="7980" spans="5:5" x14ac:dyDescent="0.25">
      <c r="E7980"/>
    </row>
    <row r="7981" spans="5:5" x14ac:dyDescent="0.25">
      <c r="E7981"/>
    </row>
    <row r="7982" spans="5:5" x14ac:dyDescent="0.25">
      <c r="E7982"/>
    </row>
    <row r="7983" spans="5:5" x14ac:dyDescent="0.25">
      <c r="E7983"/>
    </row>
    <row r="7984" spans="5:5" x14ac:dyDescent="0.25">
      <c r="E7984"/>
    </row>
    <row r="7985" spans="5:5" x14ac:dyDescent="0.25">
      <c r="E7985"/>
    </row>
    <row r="7986" spans="5:5" x14ac:dyDescent="0.25">
      <c r="E7986"/>
    </row>
    <row r="7987" spans="5:5" x14ac:dyDescent="0.25">
      <c r="E7987"/>
    </row>
    <row r="7988" spans="5:5" x14ac:dyDescent="0.25">
      <c r="E7988"/>
    </row>
    <row r="7989" spans="5:5" x14ac:dyDescent="0.25">
      <c r="E7989"/>
    </row>
    <row r="7990" spans="5:5" x14ac:dyDescent="0.25">
      <c r="E7990"/>
    </row>
    <row r="7991" spans="5:5" x14ac:dyDescent="0.25">
      <c r="E7991"/>
    </row>
    <row r="7992" spans="5:5" x14ac:dyDescent="0.25">
      <c r="E7992"/>
    </row>
    <row r="7993" spans="5:5" x14ac:dyDescent="0.25">
      <c r="E7993"/>
    </row>
    <row r="7994" spans="5:5" x14ac:dyDescent="0.25">
      <c r="E7994"/>
    </row>
    <row r="7995" spans="5:5" x14ac:dyDescent="0.25">
      <c r="E7995"/>
    </row>
    <row r="7996" spans="5:5" x14ac:dyDescent="0.25">
      <c r="E7996"/>
    </row>
    <row r="7997" spans="5:5" x14ac:dyDescent="0.25">
      <c r="E7997"/>
    </row>
    <row r="7998" spans="5:5" x14ac:dyDescent="0.25">
      <c r="E7998"/>
    </row>
    <row r="7999" spans="5:5" x14ac:dyDescent="0.25">
      <c r="E7999"/>
    </row>
    <row r="8000" spans="5:5" x14ac:dyDescent="0.25">
      <c r="E8000"/>
    </row>
    <row r="8001" spans="5:5" x14ac:dyDescent="0.25">
      <c r="E8001"/>
    </row>
    <row r="8002" spans="5:5" x14ac:dyDescent="0.25">
      <c r="E8002"/>
    </row>
    <row r="8003" spans="5:5" x14ac:dyDescent="0.25">
      <c r="E8003"/>
    </row>
    <row r="8004" spans="5:5" x14ac:dyDescent="0.25">
      <c r="E8004"/>
    </row>
    <row r="8005" spans="5:5" x14ac:dyDescent="0.25">
      <c r="E8005"/>
    </row>
    <row r="8006" spans="5:5" x14ac:dyDescent="0.25">
      <c r="E8006"/>
    </row>
    <row r="8007" spans="5:5" x14ac:dyDescent="0.25">
      <c r="E8007"/>
    </row>
    <row r="8008" spans="5:5" x14ac:dyDescent="0.25">
      <c r="E8008"/>
    </row>
    <row r="8009" spans="5:5" x14ac:dyDescent="0.25">
      <c r="E8009"/>
    </row>
    <row r="8010" spans="5:5" x14ac:dyDescent="0.25">
      <c r="E8010"/>
    </row>
    <row r="8011" spans="5:5" x14ac:dyDescent="0.25">
      <c r="E8011"/>
    </row>
    <row r="8012" spans="5:5" x14ac:dyDescent="0.25">
      <c r="E8012"/>
    </row>
    <row r="8013" spans="5:5" x14ac:dyDescent="0.25">
      <c r="E8013"/>
    </row>
    <row r="8014" spans="5:5" x14ac:dyDescent="0.25">
      <c r="E8014"/>
    </row>
    <row r="8015" spans="5:5" x14ac:dyDescent="0.25">
      <c r="E8015"/>
    </row>
    <row r="8016" spans="5:5" x14ac:dyDescent="0.25">
      <c r="E8016"/>
    </row>
    <row r="8017" spans="5:5" x14ac:dyDescent="0.25">
      <c r="E8017"/>
    </row>
    <row r="8018" spans="5:5" x14ac:dyDescent="0.25">
      <c r="E8018"/>
    </row>
    <row r="8019" spans="5:5" x14ac:dyDescent="0.25">
      <c r="E8019"/>
    </row>
    <row r="8020" spans="5:5" x14ac:dyDescent="0.25">
      <c r="E8020"/>
    </row>
    <row r="8021" spans="5:5" x14ac:dyDescent="0.25">
      <c r="E8021"/>
    </row>
    <row r="8022" spans="5:5" x14ac:dyDescent="0.25">
      <c r="E8022"/>
    </row>
    <row r="8023" spans="5:5" x14ac:dyDescent="0.25">
      <c r="E8023"/>
    </row>
    <row r="8024" spans="5:5" x14ac:dyDescent="0.25">
      <c r="E8024"/>
    </row>
    <row r="8025" spans="5:5" x14ac:dyDescent="0.25">
      <c r="E8025"/>
    </row>
    <row r="8026" spans="5:5" x14ac:dyDescent="0.25">
      <c r="E8026"/>
    </row>
    <row r="8027" spans="5:5" x14ac:dyDescent="0.25">
      <c r="E8027"/>
    </row>
    <row r="8028" spans="5:5" x14ac:dyDescent="0.25">
      <c r="E8028"/>
    </row>
    <row r="8029" spans="5:5" x14ac:dyDescent="0.25">
      <c r="E8029"/>
    </row>
    <row r="8030" spans="5:5" x14ac:dyDescent="0.25">
      <c r="E8030"/>
    </row>
    <row r="8031" spans="5:5" x14ac:dyDescent="0.25">
      <c r="E8031"/>
    </row>
    <row r="8032" spans="5:5" x14ac:dyDescent="0.25">
      <c r="E8032"/>
    </row>
    <row r="8033" spans="5:5" x14ac:dyDescent="0.25">
      <c r="E8033"/>
    </row>
    <row r="8034" spans="5:5" x14ac:dyDescent="0.25">
      <c r="E8034"/>
    </row>
    <row r="8035" spans="5:5" x14ac:dyDescent="0.25">
      <c r="E8035"/>
    </row>
    <row r="8036" spans="5:5" x14ac:dyDescent="0.25">
      <c r="E8036"/>
    </row>
    <row r="8037" spans="5:5" x14ac:dyDescent="0.25">
      <c r="E8037"/>
    </row>
    <row r="8038" spans="5:5" x14ac:dyDescent="0.25">
      <c r="E8038"/>
    </row>
    <row r="8039" spans="5:5" x14ac:dyDescent="0.25">
      <c r="E8039"/>
    </row>
    <row r="8040" spans="5:5" x14ac:dyDescent="0.25">
      <c r="E8040"/>
    </row>
    <row r="8041" spans="5:5" x14ac:dyDescent="0.25">
      <c r="E8041"/>
    </row>
    <row r="8042" spans="5:5" x14ac:dyDescent="0.25">
      <c r="E8042"/>
    </row>
    <row r="8043" spans="5:5" x14ac:dyDescent="0.25">
      <c r="E8043"/>
    </row>
    <row r="8044" spans="5:5" x14ac:dyDescent="0.25">
      <c r="E8044"/>
    </row>
    <row r="8045" spans="5:5" x14ac:dyDescent="0.25">
      <c r="E8045"/>
    </row>
    <row r="8046" spans="5:5" x14ac:dyDescent="0.25">
      <c r="E8046"/>
    </row>
    <row r="8047" spans="5:5" x14ac:dyDescent="0.25">
      <c r="E8047"/>
    </row>
    <row r="8048" spans="5:5" x14ac:dyDescent="0.25">
      <c r="E8048"/>
    </row>
    <row r="8049" spans="5:5" x14ac:dyDescent="0.25">
      <c r="E8049"/>
    </row>
    <row r="8050" spans="5:5" x14ac:dyDescent="0.25">
      <c r="E8050"/>
    </row>
    <row r="8051" spans="5:5" x14ac:dyDescent="0.25">
      <c r="E8051"/>
    </row>
    <row r="8052" spans="5:5" x14ac:dyDescent="0.25">
      <c r="E8052"/>
    </row>
    <row r="8053" spans="5:5" x14ac:dyDescent="0.25">
      <c r="E8053"/>
    </row>
    <row r="8054" spans="5:5" x14ac:dyDescent="0.25">
      <c r="E8054"/>
    </row>
    <row r="8055" spans="5:5" x14ac:dyDescent="0.25">
      <c r="E8055"/>
    </row>
    <row r="8056" spans="5:5" x14ac:dyDescent="0.25">
      <c r="E8056"/>
    </row>
    <row r="8057" spans="5:5" x14ac:dyDescent="0.25">
      <c r="E8057"/>
    </row>
    <row r="8058" spans="5:5" x14ac:dyDescent="0.25">
      <c r="E8058"/>
    </row>
    <row r="8059" spans="5:5" x14ac:dyDescent="0.25">
      <c r="E8059"/>
    </row>
    <row r="8060" spans="5:5" x14ac:dyDescent="0.25">
      <c r="E8060"/>
    </row>
    <row r="8061" spans="5:5" x14ac:dyDescent="0.25">
      <c r="E8061"/>
    </row>
    <row r="8062" spans="5:5" x14ac:dyDescent="0.25">
      <c r="E8062"/>
    </row>
    <row r="8063" spans="5:5" x14ac:dyDescent="0.25">
      <c r="E8063"/>
    </row>
    <row r="8064" spans="5:5" x14ac:dyDescent="0.25">
      <c r="E8064"/>
    </row>
    <row r="8065" spans="5:5" x14ac:dyDescent="0.25">
      <c r="E8065"/>
    </row>
    <row r="8066" spans="5:5" x14ac:dyDescent="0.25">
      <c r="E8066"/>
    </row>
    <row r="8067" spans="5:5" x14ac:dyDescent="0.25">
      <c r="E8067"/>
    </row>
    <row r="8068" spans="5:5" x14ac:dyDescent="0.25">
      <c r="E8068"/>
    </row>
    <row r="8069" spans="5:5" x14ac:dyDescent="0.25">
      <c r="E8069"/>
    </row>
    <row r="8070" spans="5:5" x14ac:dyDescent="0.25">
      <c r="E8070"/>
    </row>
    <row r="8071" spans="5:5" x14ac:dyDescent="0.25">
      <c r="E8071"/>
    </row>
    <row r="8072" spans="5:5" x14ac:dyDescent="0.25">
      <c r="E8072"/>
    </row>
    <row r="8073" spans="5:5" x14ac:dyDescent="0.25">
      <c r="E8073"/>
    </row>
    <row r="8074" spans="5:5" x14ac:dyDescent="0.25">
      <c r="E8074"/>
    </row>
    <row r="8075" spans="5:5" x14ac:dyDescent="0.25">
      <c r="E8075"/>
    </row>
    <row r="8076" spans="5:5" x14ac:dyDescent="0.25">
      <c r="E8076"/>
    </row>
    <row r="8077" spans="5:5" x14ac:dyDescent="0.25">
      <c r="E8077"/>
    </row>
    <row r="8078" spans="5:5" x14ac:dyDescent="0.25">
      <c r="E8078"/>
    </row>
    <row r="8079" spans="5:5" x14ac:dyDescent="0.25">
      <c r="E8079"/>
    </row>
    <row r="8080" spans="5:5" x14ac:dyDescent="0.25">
      <c r="E8080"/>
    </row>
    <row r="8081" spans="5:5" x14ac:dyDescent="0.25">
      <c r="E8081"/>
    </row>
    <row r="8082" spans="5:5" x14ac:dyDescent="0.25">
      <c r="E8082"/>
    </row>
    <row r="8083" spans="5:5" x14ac:dyDescent="0.25">
      <c r="E8083"/>
    </row>
    <row r="8084" spans="5:5" x14ac:dyDescent="0.25">
      <c r="E8084"/>
    </row>
    <row r="8085" spans="5:5" x14ac:dyDescent="0.25">
      <c r="E8085"/>
    </row>
    <row r="8086" spans="5:5" x14ac:dyDescent="0.25">
      <c r="E8086"/>
    </row>
    <row r="8087" spans="5:5" x14ac:dyDescent="0.25">
      <c r="E8087"/>
    </row>
    <row r="8088" spans="5:5" x14ac:dyDescent="0.25">
      <c r="E8088"/>
    </row>
    <row r="8089" spans="5:5" x14ac:dyDescent="0.25">
      <c r="E8089"/>
    </row>
    <row r="8090" spans="5:5" x14ac:dyDescent="0.25">
      <c r="E8090"/>
    </row>
    <row r="8091" spans="5:5" x14ac:dyDescent="0.25">
      <c r="E8091"/>
    </row>
    <row r="8092" spans="5:5" x14ac:dyDescent="0.25">
      <c r="E8092"/>
    </row>
    <row r="8093" spans="5:5" x14ac:dyDescent="0.25">
      <c r="E8093"/>
    </row>
    <row r="8094" spans="5:5" x14ac:dyDescent="0.25">
      <c r="E8094"/>
    </row>
    <row r="8095" spans="5:5" x14ac:dyDescent="0.25">
      <c r="E8095"/>
    </row>
    <row r="8096" spans="5:5" x14ac:dyDescent="0.25">
      <c r="E8096"/>
    </row>
    <row r="8097" spans="5:5" x14ac:dyDescent="0.25">
      <c r="E8097"/>
    </row>
    <row r="8098" spans="5:5" x14ac:dyDescent="0.25">
      <c r="E8098"/>
    </row>
    <row r="8099" spans="5:5" x14ac:dyDescent="0.25">
      <c r="E8099"/>
    </row>
    <row r="8100" spans="5:5" x14ac:dyDescent="0.25">
      <c r="E8100"/>
    </row>
    <row r="8101" spans="5:5" x14ac:dyDescent="0.25">
      <c r="E8101"/>
    </row>
    <row r="8102" spans="5:5" x14ac:dyDescent="0.25">
      <c r="E8102"/>
    </row>
    <row r="8103" spans="5:5" x14ac:dyDescent="0.25">
      <c r="E8103"/>
    </row>
    <row r="8104" spans="5:5" x14ac:dyDescent="0.25">
      <c r="E8104"/>
    </row>
    <row r="8105" spans="5:5" x14ac:dyDescent="0.25">
      <c r="E8105"/>
    </row>
    <row r="8106" spans="5:5" x14ac:dyDescent="0.25">
      <c r="E8106"/>
    </row>
    <row r="8107" spans="5:5" x14ac:dyDescent="0.25">
      <c r="E8107"/>
    </row>
    <row r="8108" spans="5:5" x14ac:dyDescent="0.25">
      <c r="E8108"/>
    </row>
    <row r="8109" spans="5:5" x14ac:dyDescent="0.25">
      <c r="E8109"/>
    </row>
    <row r="8110" spans="5:5" x14ac:dyDescent="0.25">
      <c r="E8110"/>
    </row>
    <row r="8111" spans="5:5" x14ac:dyDescent="0.25">
      <c r="E8111"/>
    </row>
    <row r="8112" spans="5:5" x14ac:dyDescent="0.25">
      <c r="E8112"/>
    </row>
    <row r="8113" spans="5:5" x14ac:dyDescent="0.25">
      <c r="E8113"/>
    </row>
    <row r="8114" spans="5:5" x14ac:dyDescent="0.25">
      <c r="E8114"/>
    </row>
    <row r="8115" spans="5:5" x14ac:dyDescent="0.25">
      <c r="E8115"/>
    </row>
    <row r="8116" spans="5:5" x14ac:dyDescent="0.25">
      <c r="E8116"/>
    </row>
    <row r="8117" spans="5:5" x14ac:dyDescent="0.25">
      <c r="E8117"/>
    </row>
    <row r="8118" spans="5:5" x14ac:dyDescent="0.25">
      <c r="E8118"/>
    </row>
    <row r="8119" spans="5:5" x14ac:dyDescent="0.25">
      <c r="E8119"/>
    </row>
    <row r="8120" spans="5:5" x14ac:dyDescent="0.25">
      <c r="E8120"/>
    </row>
    <row r="8121" spans="5:5" x14ac:dyDescent="0.25">
      <c r="E8121"/>
    </row>
    <row r="8122" spans="5:5" x14ac:dyDescent="0.25">
      <c r="E8122"/>
    </row>
    <row r="8123" spans="5:5" x14ac:dyDescent="0.25">
      <c r="E8123"/>
    </row>
    <row r="8124" spans="5:5" x14ac:dyDescent="0.25">
      <c r="E8124"/>
    </row>
    <row r="8125" spans="5:5" x14ac:dyDescent="0.25">
      <c r="E8125"/>
    </row>
    <row r="8126" spans="5:5" x14ac:dyDescent="0.25">
      <c r="E8126"/>
    </row>
    <row r="8127" spans="5:5" x14ac:dyDescent="0.25">
      <c r="E8127"/>
    </row>
    <row r="8128" spans="5:5" x14ac:dyDescent="0.25">
      <c r="E8128"/>
    </row>
    <row r="8129" spans="5:5" x14ac:dyDescent="0.25">
      <c r="E8129"/>
    </row>
    <row r="8130" spans="5:5" x14ac:dyDescent="0.25">
      <c r="E8130"/>
    </row>
    <row r="8131" spans="5:5" x14ac:dyDescent="0.25">
      <c r="E8131"/>
    </row>
    <row r="8132" spans="5:5" x14ac:dyDescent="0.25">
      <c r="E8132"/>
    </row>
    <row r="8133" spans="5:5" x14ac:dyDescent="0.25">
      <c r="E8133"/>
    </row>
    <row r="8134" spans="5:5" x14ac:dyDescent="0.25">
      <c r="E8134"/>
    </row>
    <row r="8135" spans="5:5" x14ac:dyDescent="0.25">
      <c r="E8135"/>
    </row>
    <row r="8136" spans="5:5" x14ac:dyDescent="0.25">
      <c r="E8136"/>
    </row>
    <row r="8137" spans="5:5" x14ac:dyDescent="0.25">
      <c r="E8137"/>
    </row>
    <row r="8138" spans="5:5" x14ac:dyDescent="0.25">
      <c r="E8138"/>
    </row>
    <row r="8139" spans="5:5" x14ac:dyDescent="0.25">
      <c r="E8139"/>
    </row>
    <row r="8140" spans="5:5" x14ac:dyDescent="0.25">
      <c r="E8140"/>
    </row>
    <row r="8141" spans="5:5" x14ac:dyDescent="0.25">
      <c r="E8141"/>
    </row>
    <row r="8142" spans="5:5" x14ac:dyDescent="0.25">
      <c r="E8142"/>
    </row>
    <row r="8143" spans="5:5" x14ac:dyDescent="0.25">
      <c r="E8143"/>
    </row>
    <row r="8144" spans="5:5" x14ac:dyDescent="0.25">
      <c r="E8144"/>
    </row>
    <row r="8145" spans="5:5" x14ac:dyDescent="0.25">
      <c r="E8145"/>
    </row>
    <row r="8146" spans="5:5" x14ac:dyDescent="0.25">
      <c r="E8146"/>
    </row>
    <row r="8147" spans="5:5" x14ac:dyDescent="0.25">
      <c r="E8147"/>
    </row>
    <row r="8148" spans="5:5" x14ac:dyDescent="0.25">
      <c r="E8148"/>
    </row>
    <row r="8149" spans="5:5" x14ac:dyDescent="0.25">
      <c r="E8149"/>
    </row>
    <row r="8150" spans="5:5" x14ac:dyDescent="0.25">
      <c r="E8150"/>
    </row>
    <row r="8151" spans="5:5" x14ac:dyDescent="0.25">
      <c r="E8151"/>
    </row>
    <row r="8152" spans="5:5" x14ac:dyDescent="0.25">
      <c r="E8152"/>
    </row>
    <row r="8153" spans="5:5" x14ac:dyDescent="0.25">
      <c r="E8153"/>
    </row>
    <row r="8154" spans="5:5" x14ac:dyDescent="0.25">
      <c r="E8154"/>
    </row>
    <row r="8155" spans="5:5" x14ac:dyDescent="0.25">
      <c r="E8155"/>
    </row>
    <row r="8156" spans="5:5" x14ac:dyDescent="0.25">
      <c r="E8156"/>
    </row>
    <row r="8157" spans="5:5" x14ac:dyDescent="0.25">
      <c r="E8157"/>
    </row>
    <row r="8158" spans="5:5" x14ac:dyDescent="0.25">
      <c r="E8158"/>
    </row>
    <row r="8159" spans="5:5" x14ac:dyDescent="0.25">
      <c r="E8159"/>
    </row>
    <row r="8160" spans="5:5" x14ac:dyDescent="0.25">
      <c r="E8160"/>
    </row>
    <row r="8161" spans="5:5" x14ac:dyDescent="0.25">
      <c r="E8161"/>
    </row>
    <row r="8162" spans="5:5" x14ac:dyDescent="0.25">
      <c r="E8162"/>
    </row>
    <row r="8163" spans="5:5" x14ac:dyDescent="0.25">
      <c r="E8163"/>
    </row>
    <row r="8164" spans="5:5" x14ac:dyDescent="0.25">
      <c r="E8164"/>
    </row>
    <row r="8165" spans="5:5" x14ac:dyDescent="0.25">
      <c r="E8165"/>
    </row>
    <row r="8166" spans="5:5" x14ac:dyDescent="0.25">
      <c r="E8166"/>
    </row>
    <row r="8167" spans="5:5" x14ac:dyDescent="0.25">
      <c r="E8167"/>
    </row>
    <row r="8168" spans="5:5" x14ac:dyDescent="0.25">
      <c r="E8168"/>
    </row>
    <row r="8169" spans="5:5" x14ac:dyDescent="0.25">
      <c r="E8169"/>
    </row>
    <row r="8170" spans="5:5" x14ac:dyDescent="0.25">
      <c r="E8170"/>
    </row>
    <row r="8171" spans="5:5" x14ac:dyDescent="0.25">
      <c r="E8171"/>
    </row>
    <row r="8172" spans="5:5" x14ac:dyDescent="0.25">
      <c r="E8172"/>
    </row>
    <row r="8173" spans="5:5" x14ac:dyDescent="0.25">
      <c r="E8173"/>
    </row>
    <row r="8174" spans="5:5" x14ac:dyDescent="0.25">
      <c r="E8174"/>
    </row>
    <row r="8175" spans="5:5" x14ac:dyDescent="0.25">
      <c r="E8175"/>
    </row>
    <row r="8176" spans="5:5" x14ac:dyDescent="0.25">
      <c r="E8176"/>
    </row>
    <row r="8177" spans="5:5" x14ac:dyDescent="0.25">
      <c r="E8177"/>
    </row>
    <row r="8178" spans="5:5" x14ac:dyDescent="0.25">
      <c r="E8178"/>
    </row>
    <row r="8179" spans="5:5" x14ac:dyDescent="0.25">
      <c r="E8179"/>
    </row>
    <row r="8180" spans="5:5" x14ac:dyDescent="0.25">
      <c r="E8180"/>
    </row>
    <row r="8181" spans="5:5" x14ac:dyDescent="0.25">
      <c r="E8181"/>
    </row>
    <row r="8182" spans="5:5" x14ac:dyDescent="0.25">
      <c r="E8182"/>
    </row>
    <row r="8183" spans="5:5" x14ac:dyDescent="0.25">
      <c r="E8183"/>
    </row>
    <row r="8184" spans="5:5" x14ac:dyDescent="0.25">
      <c r="E8184"/>
    </row>
    <row r="8185" spans="5:5" x14ac:dyDescent="0.25">
      <c r="E8185"/>
    </row>
    <row r="8186" spans="5:5" x14ac:dyDescent="0.25">
      <c r="E8186"/>
    </row>
    <row r="8187" spans="5:5" x14ac:dyDescent="0.25">
      <c r="E8187"/>
    </row>
    <row r="8188" spans="5:5" x14ac:dyDescent="0.25">
      <c r="E8188"/>
    </row>
    <row r="8189" spans="5:5" x14ac:dyDescent="0.25">
      <c r="E8189"/>
    </row>
    <row r="8190" spans="5:5" x14ac:dyDescent="0.25">
      <c r="E8190"/>
    </row>
    <row r="8191" spans="5:5" x14ac:dyDescent="0.25">
      <c r="E8191"/>
    </row>
    <row r="8192" spans="5:5" x14ac:dyDescent="0.25">
      <c r="E8192"/>
    </row>
    <row r="8193" spans="5:5" x14ac:dyDescent="0.25">
      <c r="E8193"/>
    </row>
    <row r="8194" spans="5:5" x14ac:dyDescent="0.25">
      <c r="E8194"/>
    </row>
    <row r="8195" spans="5:5" x14ac:dyDescent="0.25">
      <c r="E8195"/>
    </row>
    <row r="8196" spans="5:5" x14ac:dyDescent="0.25">
      <c r="E8196"/>
    </row>
    <row r="8197" spans="5:5" x14ac:dyDescent="0.25">
      <c r="E8197"/>
    </row>
    <row r="8198" spans="5:5" x14ac:dyDescent="0.25">
      <c r="E8198"/>
    </row>
    <row r="8199" spans="5:5" x14ac:dyDescent="0.25">
      <c r="E8199"/>
    </row>
    <row r="8200" spans="5:5" x14ac:dyDescent="0.25">
      <c r="E8200"/>
    </row>
    <row r="8201" spans="5:5" x14ac:dyDescent="0.25">
      <c r="E8201"/>
    </row>
    <row r="8202" spans="5:5" x14ac:dyDescent="0.25">
      <c r="E8202"/>
    </row>
    <row r="8203" spans="5:5" x14ac:dyDescent="0.25">
      <c r="E8203"/>
    </row>
    <row r="8204" spans="5:5" x14ac:dyDescent="0.25">
      <c r="E8204"/>
    </row>
    <row r="8205" spans="5:5" x14ac:dyDescent="0.25">
      <c r="E8205"/>
    </row>
    <row r="8206" spans="5:5" x14ac:dyDescent="0.25">
      <c r="E8206"/>
    </row>
    <row r="8207" spans="5:5" x14ac:dyDescent="0.25">
      <c r="E8207"/>
    </row>
    <row r="8208" spans="5:5" x14ac:dyDescent="0.25">
      <c r="E8208"/>
    </row>
    <row r="8209" spans="5:5" x14ac:dyDescent="0.25">
      <c r="E8209"/>
    </row>
    <row r="8210" spans="5:5" x14ac:dyDescent="0.25">
      <c r="E8210"/>
    </row>
    <row r="8211" spans="5:5" x14ac:dyDescent="0.25">
      <c r="E8211"/>
    </row>
    <row r="8212" spans="5:5" x14ac:dyDescent="0.25">
      <c r="E8212"/>
    </row>
    <row r="8213" spans="5:5" x14ac:dyDescent="0.25">
      <c r="E8213"/>
    </row>
    <row r="8214" spans="5:5" x14ac:dyDescent="0.25">
      <c r="E8214"/>
    </row>
    <row r="8215" spans="5:5" x14ac:dyDescent="0.25">
      <c r="E8215"/>
    </row>
    <row r="8216" spans="5:5" x14ac:dyDescent="0.25">
      <c r="E8216"/>
    </row>
    <row r="8217" spans="5:5" x14ac:dyDescent="0.25">
      <c r="E8217"/>
    </row>
    <row r="8218" spans="5:5" x14ac:dyDescent="0.25">
      <c r="E8218"/>
    </row>
    <row r="8219" spans="5:5" x14ac:dyDescent="0.25">
      <c r="E8219"/>
    </row>
    <row r="8220" spans="5:5" x14ac:dyDescent="0.25">
      <c r="E8220"/>
    </row>
    <row r="8221" spans="5:5" x14ac:dyDescent="0.25">
      <c r="E8221"/>
    </row>
    <row r="8222" spans="5:5" x14ac:dyDescent="0.25">
      <c r="E8222"/>
    </row>
    <row r="8223" spans="5:5" x14ac:dyDescent="0.25">
      <c r="E8223"/>
    </row>
    <row r="8224" spans="5:5" x14ac:dyDescent="0.25">
      <c r="E8224"/>
    </row>
    <row r="8225" spans="5:5" x14ac:dyDescent="0.25">
      <c r="E8225"/>
    </row>
    <row r="8226" spans="5:5" x14ac:dyDescent="0.25">
      <c r="E8226"/>
    </row>
    <row r="8227" spans="5:5" x14ac:dyDescent="0.25">
      <c r="E8227"/>
    </row>
    <row r="8228" spans="5:5" x14ac:dyDescent="0.25">
      <c r="E8228"/>
    </row>
    <row r="8229" spans="5:5" x14ac:dyDescent="0.25">
      <c r="E8229"/>
    </row>
    <row r="8230" spans="5:5" x14ac:dyDescent="0.25">
      <c r="E8230"/>
    </row>
    <row r="8231" spans="5:5" x14ac:dyDescent="0.25">
      <c r="E8231"/>
    </row>
    <row r="8232" spans="5:5" x14ac:dyDescent="0.25">
      <c r="E8232"/>
    </row>
    <row r="8233" spans="5:5" x14ac:dyDescent="0.25">
      <c r="E8233"/>
    </row>
    <row r="8234" spans="5:5" x14ac:dyDescent="0.25">
      <c r="E8234"/>
    </row>
    <row r="8235" spans="5:5" x14ac:dyDescent="0.25">
      <c r="E8235"/>
    </row>
    <row r="8236" spans="5:5" x14ac:dyDescent="0.25">
      <c r="E8236"/>
    </row>
    <row r="8237" spans="5:5" x14ac:dyDescent="0.25">
      <c r="E8237"/>
    </row>
    <row r="8238" spans="5:5" x14ac:dyDescent="0.25">
      <c r="E8238"/>
    </row>
    <row r="8239" spans="5:5" x14ac:dyDescent="0.25">
      <c r="E8239"/>
    </row>
    <row r="8240" spans="5:5" x14ac:dyDescent="0.25">
      <c r="E8240"/>
    </row>
    <row r="8241" spans="5:5" x14ac:dyDescent="0.25">
      <c r="E8241"/>
    </row>
    <row r="8242" spans="5:5" x14ac:dyDescent="0.25">
      <c r="E8242"/>
    </row>
    <row r="8243" spans="5:5" x14ac:dyDescent="0.25">
      <c r="E8243"/>
    </row>
    <row r="8244" spans="5:5" x14ac:dyDescent="0.25">
      <c r="E8244"/>
    </row>
    <row r="8245" spans="5:5" x14ac:dyDescent="0.25">
      <c r="E8245"/>
    </row>
    <row r="8246" spans="5:5" x14ac:dyDescent="0.25">
      <c r="E8246"/>
    </row>
    <row r="8247" spans="5:5" x14ac:dyDescent="0.25">
      <c r="E8247"/>
    </row>
    <row r="8248" spans="5:5" x14ac:dyDescent="0.25">
      <c r="E8248"/>
    </row>
    <row r="8249" spans="5:5" x14ac:dyDescent="0.25">
      <c r="E8249"/>
    </row>
    <row r="8250" spans="5:5" x14ac:dyDescent="0.25">
      <c r="E8250"/>
    </row>
    <row r="8251" spans="5:5" x14ac:dyDescent="0.25">
      <c r="E8251"/>
    </row>
    <row r="8252" spans="5:5" x14ac:dyDescent="0.25">
      <c r="E8252"/>
    </row>
    <row r="8253" spans="5:5" x14ac:dyDescent="0.25">
      <c r="E8253"/>
    </row>
    <row r="8254" spans="5:5" x14ac:dyDescent="0.25">
      <c r="E8254"/>
    </row>
    <row r="8255" spans="5:5" x14ac:dyDescent="0.25">
      <c r="E8255"/>
    </row>
    <row r="8256" spans="5:5" x14ac:dyDescent="0.25">
      <c r="E8256"/>
    </row>
    <row r="8257" spans="5:5" x14ac:dyDescent="0.25">
      <c r="E8257"/>
    </row>
    <row r="8258" spans="5:5" x14ac:dyDescent="0.25">
      <c r="E8258"/>
    </row>
    <row r="8259" spans="5:5" x14ac:dyDescent="0.25">
      <c r="E8259"/>
    </row>
    <row r="8260" spans="5:5" x14ac:dyDescent="0.25">
      <c r="E8260"/>
    </row>
    <row r="8261" spans="5:5" x14ac:dyDescent="0.25">
      <c r="E8261"/>
    </row>
    <row r="8262" spans="5:5" x14ac:dyDescent="0.25">
      <c r="E8262"/>
    </row>
    <row r="8263" spans="5:5" x14ac:dyDescent="0.25">
      <c r="E8263"/>
    </row>
    <row r="8264" spans="5:5" x14ac:dyDescent="0.25">
      <c r="E8264"/>
    </row>
    <row r="8265" spans="5:5" x14ac:dyDescent="0.25">
      <c r="E8265"/>
    </row>
    <row r="8266" spans="5:5" x14ac:dyDescent="0.25">
      <c r="E8266"/>
    </row>
    <row r="8267" spans="5:5" x14ac:dyDescent="0.25">
      <c r="E8267"/>
    </row>
    <row r="8268" spans="5:5" x14ac:dyDescent="0.25">
      <c r="E8268"/>
    </row>
    <row r="8269" spans="5:5" x14ac:dyDescent="0.25">
      <c r="E8269"/>
    </row>
    <row r="8270" spans="5:5" x14ac:dyDescent="0.25">
      <c r="E8270"/>
    </row>
    <row r="8271" spans="5:5" x14ac:dyDescent="0.25">
      <c r="E8271"/>
    </row>
    <row r="8272" spans="5:5" x14ac:dyDescent="0.25">
      <c r="E8272"/>
    </row>
    <row r="8273" spans="5:5" x14ac:dyDescent="0.25">
      <c r="E8273"/>
    </row>
    <row r="8274" spans="5:5" x14ac:dyDescent="0.25">
      <c r="E8274"/>
    </row>
    <row r="8275" spans="5:5" x14ac:dyDescent="0.25">
      <c r="E8275"/>
    </row>
    <row r="8276" spans="5:5" x14ac:dyDescent="0.25">
      <c r="E8276"/>
    </row>
    <row r="8277" spans="5:5" x14ac:dyDescent="0.25">
      <c r="E8277"/>
    </row>
    <row r="8278" spans="5:5" x14ac:dyDescent="0.25">
      <c r="E8278"/>
    </row>
    <row r="8279" spans="5:5" x14ac:dyDescent="0.25">
      <c r="E8279"/>
    </row>
    <row r="8280" spans="5:5" x14ac:dyDescent="0.25">
      <c r="E8280"/>
    </row>
    <row r="8281" spans="5:5" x14ac:dyDescent="0.25">
      <c r="E8281"/>
    </row>
    <row r="8282" spans="5:5" x14ac:dyDescent="0.25">
      <c r="E8282"/>
    </row>
    <row r="8283" spans="5:5" x14ac:dyDescent="0.25">
      <c r="E8283"/>
    </row>
    <row r="8284" spans="5:5" x14ac:dyDescent="0.25">
      <c r="E8284"/>
    </row>
    <row r="8285" spans="5:5" x14ac:dyDescent="0.25">
      <c r="E8285"/>
    </row>
    <row r="8286" spans="5:5" x14ac:dyDescent="0.25">
      <c r="E8286"/>
    </row>
    <row r="8287" spans="5:5" x14ac:dyDescent="0.25">
      <c r="E8287"/>
    </row>
    <row r="8288" spans="5:5" x14ac:dyDescent="0.25">
      <c r="E8288"/>
    </row>
    <row r="8289" spans="5:5" x14ac:dyDescent="0.25">
      <c r="E8289"/>
    </row>
    <row r="8290" spans="5:5" x14ac:dyDescent="0.25">
      <c r="E8290"/>
    </row>
    <row r="8291" spans="5:5" x14ac:dyDescent="0.25">
      <c r="E8291"/>
    </row>
    <row r="8292" spans="5:5" x14ac:dyDescent="0.25">
      <c r="E8292"/>
    </row>
    <row r="8293" spans="5:5" x14ac:dyDescent="0.25">
      <c r="E8293"/>
    </row>
    <row r="8294" spans="5:5" x14ac:dyDescent="0.25">
      <c r="E8294"/>
    </row>
    <row r="8295" spans="5:5" x14ac:dyDescent="0.25">
      <c r="E8295"/>
    </row>
    <row r="8296" spans="5:5" x14ac:dyDescent="0.25">
      <c r="E8296"/>
    </row>
    <row r="8297" spans="5:5" x14ac:dyDescent="0.25">
      <c r="E8297"/>
    </row>
    <row r="8298" spans="5:5" x14ac:dyDescent="0.25">
      <c r="E8298"/>
    </row>
    <row r="8299" spans="5:5" x14ac:dyDescent="0.25">
      <c r="E8299"/>
    </row>
    <row r="8300" spans="5:5" x14ac:dyDescent="0.25">
      <c r="E8300"/>
    </row>
    <row r="8301" spans="5:5" x14ac:dyDescent="0.25">
      <c r="E8301"/>
    </row>
    <row r="8302" spans="5:5" x14ac:dyDescent="0.25">
      <c r="E8302"/>
    </row>
    <row r="8303" spans="5:5" x14ac:dyDescent="0.25">
      <c r="E8303"/>
    </row>
    <row r="8304" spans="5:5" x14ac:dyDescent="0.25">
      <c r="E8304"/>
    </row>
    <row r="8305" spans="5:5" x14ac:dyDescent="0.25">
      <c r="E8305"/>
    </row>
    <row r="8306" spans="5:5" x14ac:dyDescent="0.25">
      <c r="E8306"/>
    </row>
    <row r="8307" spans="5:5" x14ac:dyDescent="0.25">
      <c r="E8307"/>
    </row>
    <row r="8308" spans="5:5" x14ac:dyDescent="0.25">
      <c r="E8308"/>
    </row>
    <row r="8309" spans="5:5" x14ac:dyDescent="0.25">
      <c r="E8309"/>
    </row>
    <row r="8310" spans="5:5" x14ac:dyDescent="0.25">
      <c r="E8310"/>
    </row>
    <row r="8311" spans="5:5" x14ac:dyDescent="0.25">
      <c r="E8311"/>
    </row>
    <row r="8312" spans="5:5" x14ac:dyDescent="0.25">
      <c r="E8312"/>
    </row>
    <row r="8313" spans="5:5" x14ac:dyDescent="0.25">
      <c r="E8313"/>
    </row>
    <row r="8314" spans="5:5" x14ac:dyDescent="0.25">
      <c r="E8314"/>
    </row>
    <row r="8315" spans="5:5" x14ac:dyDescent="0.25">
      <c r="E8315"/>
    </row>
    <row r="8316" spans="5:5" x14ac:dyDescent="0.25">
      <c r="E8316"/>
    </row>
    <row r="8317" spans="5:5" x14ac:dyDescent="0.25">
      <c r="E8317"/>
    </row>
    <row r="8318" spans="5:5" x14ac:dyDescent="0.25">
      <c r="E8318"/>
    </row>
    <row r="8319" spans="5:5" x14ac:dyDescent="0.25">
      <c r="E8319"/>
    </row>
    <row r="8320" spans="5:5" x14ac:dyDescent="0.25">
      <c r="E8320"/>
    </row>
    <row r="8321" spans="5:5" x14ac:dyDescent="0.25">
      <c r="E8321"/>
    </row>
    <row r="8322" spans="5:5" x14ac:dyDescent="0.25">
      <c r="E8322"/>
    </row>
    <row r="8323" spans="5:5" x14ac:dyDescent="0.25">
      <c r="E8323"/>
    </row>
    <row r="8324" spans="5:5" x14ac:dyDescent="0.25">
      <c r="E8324"/>
    </row>
    <row r="8325" spans="5:5" x14ac:dyDescent="0.25">
      <c r="E8325"/>
    </row>
    <row r="8326" spans="5:5" x14ac:dyDescent="0.25">
      <c r="E8326"/>
    </row>
    <row r="8327" spans="5:5" x14ac:dyDescent="0.25">
      <c r="E8327"/>
    </row>
    <row r="8328" spans="5:5" x14ac:dyDescent="0.25">
      <c r="E8328"/>
    </row>
    <row r="8329" spans="5:5" x14ac:dyDescent="0.25">
      <c r="E8329"/>
    </row>
    <row r="8330" spans="5:5" x14ac:dyDescent="0.25">
      <c r="E8330"/>
    </row>
    <row r="8331" spans="5:5" x14ac:dyDescent="0.25">
      <c r="E8331"/>
    </row>
    <row r="8332" spans="5:5" x14ac:dyDescent="0.25">
      <c r="E8332"/>
    </row>
    <row r="8333" spans="5:5" x14ac:dyDescent="0.25">
      <c r="E8333"/>
    </row>
    <row r="8334" spans="5:5" x14ac:dyDescent="0.25">
      <c r="E8334"/>
    </row>
    <row r="8335" spans="5:5" x14ac:dyDescent="0.25">
      <c r="E8335"/>
    </row>
    <row r="8336" spans="5:5" x14ac:dyDescent="0.25">
      <c r="E8336"/>
    </row>
    <row r="8337" spans="5:5" x14ac:dyDescent="0.25">
      <c r="E8337"/>
    </row>
    <row r="8338" spans="5:5" x14ac:dyDescent="0.25">
      <c r="E8338"/>
    </row>
    <row r="8339" spans="5:5" x14ac:dyDescent="0.25">
      <c r="E8339"/>
    </row>
    <row r="8340" spans="5:5" x14ac:dyDescent="0.25">
      <c r="E8340"/>
    </row>
    <row r="8341" spans="5:5" x14ac:dyDescent="0.25">
      <c r="E8341"/>
    </row>
    <row r="8342" spans="5:5" x14ac:dyDescent="0.25">
      <c r="E8342"/>
    </row>
    <row r="8343" spans="5:5" x14ac:dyDescent="0.25">
      <c r="E8343"/>
    </row>
    <row r="8344" spans="5:5" x14ac:dyDescent="0.25">
      <c r="E8344"/>
    </row>
    <row r="8345" spans="5:5" x14ac:dyDescent="0.25">
      <c r="E8345"/>
    </row>
    <row r="8346" spans="5:5" x14ac:dyDescent="0.25">
      <c r="E8346"/>
    </row>
    <row r="8347" spans="5:5" x14ac:dyDescent="0.25">
      <c r="E8347"/>
    </row>
    <row r="8348" spans="5:5" x14ac:dyDescent="0.25">
      <c r="E8348"/>
    </row>
    <row r="8349" spans="5:5" x14ac:dyDescent="0.25">
      <c r="E8349"/>
    </row>
    <row r="8350" spans="5:5" x14ac:dyDescent="0.25">
      <c r="E8350"/>
    </row>
    <row r="8351" spans="5:5" x14ac:dyDescent="0.25">
      <c r="E8351"/>
    </row>
    <row r="8352" spans="5:5" x14ac:dyDescent="0.25">
      <c r="E8352"/>
    </row>
    <row r="8353" spans="5:5" x14ac:dyDescent="0.25">
      <c r="E8353"/>
    </row>
    <row r="8354" spans="5:5" x14ac:dyDescent="0.25">
      <c r="E8354"/>
    </row>
    <row r="8355" spans="5:5" x14ac:dyDescent="0.25">
      <c r="E8355"/>
    </row>
    <row r="8356" spans="5:5" x14ac:dyDescent="0.25">
      <c r="E8356"/>
    </row>
    <row r="8357" spans="5:5" x14ac:dyDescent="0.25">
      <c r="E8357"/>
    </row>
    <row r="8358" spans="5:5" x14ac:dyDescent="0.25">
      <c r="E8358"/>
    </row>
    <row r="8359" spans="5:5" x14ac:dyDescent="0.25">
      <c r="E8359"/>
    </row>
    <row r="8360" spans="5:5" x14ac:dyDescent="0.25">
      <c r="E8360"/>
    </row>
    <row r="8361" spans="5:5" x14ac:dyDescent="0.25">
      <c r="E8361"/>
    </row>
    <row r="8362" spans="5:5" x14ac:dyDescent="0.25">
      <c r="E8362"/>
    </row>
    <row r="8363" spans="5:5" x14ac:dyDescent="0.25">
      <c r="E8363"/>
    </row>
    <row r="8364" spans="5:5" x14ac:dyDescent="0.25">
      <c r="E8364"/>
    </row>
    <row r="8365" spans="5:5" x14ac:dyDescent="0.25">
      <c r="E8365"/>
    </row>
    <row r="8366" spans="5:5" x14ac:dyDescent="0.25">
      <c r="E8366"/>
    </row>
    <row r="8367" spans="5:5" x14ac:dyDescent="0.25">
      <c r="E8367"/>
    </row>
    <row r="8368" spans="5:5" x14ac:dyDescent="0.25">
      <c r="E8368"/>
    </row>
    <row r="8369" spans="5:5" x14ac:dyDescent="0.25">
      <c r="E8369"/>
    </row>
    <row r="8370" spans="5:5" x14ac:dyDescent="0.25">
      <c r="E8370"/>
    </row>
    <row r="8371" spans="5:5" x14ac:dyDescent="0.25">
      <c r="E8371"/>
    </row>
    <row r="8372" spans="5:5" x14ac:dyDescent="0.25">
      <c r="E8372"/>
    </row>
    <row r="8373" spans="5:5" x14ac:dyDescent="0.25">
      <c r="E8373"/>
    </row>
    <row r="8374" spans="5:5" x14ac:dyDescent="0.25">
      <c r="E8374"/>
    </row>
    <row r="8375" spans="5:5" x14ac:dyDescent="0.25">
      <c r="E8375"/>
    </row>
    <row r="8376" spans="5:5" x14ac:dyDescent="0.25">
      <c r="E8376"/>
    </row>
    <row r="8377" spans="5:5" x14ac:dyDescent="0.25">
      <c r="E8377"/>
    </row>
    <row r="8378" spans="5:5" x14ac:dyDescent="0.25">
      <c r="E8378"/>
    </row>
    <row r="8379" spans="5:5" x14ac:dyDescent="0.25">
      <c r="E8379"/>
    </row>
    <row r="8380" spans="5:5" x14ac:dyDescent="0.25">
      <c r="E8380"/>
    </row>
    <row r="8381" spans="5:5" x14ac:dyDescent="0.25">
      <c r="E8381"/>
    </row>
    <row r="8382" spans="5:5" x14ac:dyDescent="0.25">
      <c r="E8382"/>
    </row>
    <row r="8383" spans="5:5" x14ac:dyDescent="0.25">
      <c r="E8383"/>
    </row>
    <row r="8384" spans="5:5" x14ac:dyDescent="0.25">
      <c r="E8384"/>
    </row>
    <row r="8385" spans="5:5" x14ac:dyDescent="0.25">
      <c r="E8385"/>
    </row>
    <row r="8386" spans="5:5" x14ac:dyDescent="0.25">
      <c r="E8386"/>
    </row>
    <row r="8387" spans="5:5" x14ac:dyDescent="0.25">
      <c r="E8387"/>
    </row>
    <row r="8388" spans="5:5" x14ac:dyDescent="0.25">
      <c r="E8388"/>
    </row>
    <row r="8389" spans="5:5" x14ac:dyDescent="0.25">
      <c r="E8389"/>
    </row>
    <row r="8390" spans="5:5" x14ac:dyDescent="0.25">
      <c r="E8390"/>
    </row>
    <row r="8391" spans="5:5" x14ac:dyDescent="0.25">
      <c r="E8391"/>
    </row>
    <row r="8392" spans="5:5" x14ac:dyDescent="0.25">
      <c r="E8392"/>
    </row>
    <row r="8393" spans="5:5" x14ac:dyDescent="0.25">
      <c r="E8393"/>
    </row>
    <row r="8394" spans="5:5" x14ac:dyDescent="0.25">
      <c r="E8394"/>
    </row>
    <row r="8395" spans="5:5" x14ac:dyDescent="0.25">
      <c r="E8395"/>
    </row>
    <row r="8396" spans="5:5" x14ac:dyDescent="0.25">
      <c r="E8396"/>
    </row>
    <row r="8397" spans="5:5" x14ac:dyDescent="0.25">
      <c r="E8397"/>
    </row>
    <row r="8398" spans="5:5" x14ac:dyDescent="0.25">
      <c r="E8398"/>
    </row>
    <row r="8399" spans="5:5" x14ac:dyDescent="0.25">
      <c r="E8399"/>
    </row>
    <row r="8400" spans="5:5" x14ac:dyDescent="0.25">
      <c r="E8400"/>
    </row>
    <row r="8401" spans="5:5" x14ac:dyDescent="0.25">
      <c r="E8401"/>
    </row>
    <row r="8402" spans="5:5" x14ac:dyDescent="0.25">
      <c r="E8402"/>
    </row>
    <row r="8403" spans="5:5" x14ac:dyDescent="0.25">
      <c r="E8403"/>
    </row>
    <row r="8404" spans="5:5" x14ac:dyDescent="0.25">
      <c r="E8404"/>
    </row>
    <row r="8405" spans="5:5" x14ac:dyDescent="0.25">
      <c r="E8405"/>
    </row>
    <row r="8406" spans="5:5" x14ac:dyDescent="0.25">
      <c r="E8406"/>
    </row>
    <row r="8407" spans="5:5" x14ac:dyDescent="0.25">
      <c r="E8407"/>
    </row>
    <row r="8408" spans="5:5" x14ac:dyDescent="0.25">
      <c r="E8408"/>
    </row>
    <row r="8409" spans="5:5" x14ac:dyDescent="0.25">
      <c r="E8409"/>
    </row>
    <row r="8410" spans="5:5" x14ac:dyDescent="0.25">
      <c r="E8410"/>
    </row>
    <row r="8411" spans="5:5" x14ac:dyDescent="0.25">
      <c r="E8411"/>
    </row>
    <row r="8412" spans="5:5" x14ac:dyDescent="0.25">
      <c r="E8412"/>
    </row>
    <row r="8413" spans="5:5" x14ac:dyDescent="0.25">
      <c r="E8413"/>
    </row>
    <row r="8414" spans="5:5" x14ac:dyDescent="0.25">
      <c r="E8414"/>
    </row>
    <row r="8415" spans="5:5" x14ac:dyDescent="0.25">
      <c r="E8415"/>
    </row>
    <row r="8416" spans="5:5" x14ac:dyDescent="0.25">
      <c r="E8416"/>
    </row>
    <row r="8417" spans="5:5" x14ac:dyDescent="0.25">
      <c r="E8417"/>
    </row>
    <row r="8418" spans="5:5" x14ac:dyDescent="0.25">
      <c r="E8418"/>
    </row>
    <row r="8419" spans="5:5" x14ac:dyDescent="0.25">
      <c r="E8419"/>
    </row>
    <row r="8420" spans="5:5" x14ac:dyDescent="0.25">
      <c r="E8420"/>
    </row>
    <row r="8421" spans="5:5" x14ac:dyDescent="0.25">
      <c r="E8421"/>
    </row>
    <row r="8422" spans="5:5" x14ac:dyDescent="0.25">
      <c r="E8422"/>
    </row>
    <row r="8423" spans="5:5" x14ac:dyDescent="0.25">
      <c r="E8423"/>
    </row>
    <row r="8424" spans="5:5" x14ac:dyDescent="0.25">
      <c r="E8424"/>
    </row>
    <row r="8425" spans="5:5" x14ac:dyDescent="0.25">
      <c r="E8425"/>
    </row>
    <row r="8426" spans="5:5" x14ac:dyDescent="0.25">
      <c r="E8426"/>
    </row>
    <row r="8427" spans="5:5" x14ac:dyDescent="0.25">
      <c r="E8427"/>
    </row>
    <row r="8428" spans="5:5" x14ac:dyDescent="0.25">
      <c r="E8428"/>
    </row>
    <row r="8429" spans="5:5" x14ac:dyDescent="0.25">
      <c r="E8429"/>
    </row>
    <row r="8430" spans="5:5" x14ac:dyDescent="0.25">
      <c r="E8430"/>
    </row>
    <row r="8431" spans="5:5" x14ac:dyDescent="0.25">
      <c r="E8431"/>
    </row>
    <row r="8432" spans="5:5" x14ac:dyDescent="0.25">
      <c r="E8432"/>
    </row>
    <row r="8433" spans="5:5" x14ac:dyDescent="0.25">
      <c r="E8433"/>
    </row>
    <row r="8434" spans="5:5" x14ac:dyDescent="0.25">
      <c r="E8434"/>
    </row>
    <row r="8435" spans="5:5" x14ac:dyDescent="0.25">
      <c r="E8435"/>
    </row>
    <row r="8436" spans="5:5" x14ac:dyDescent="0.25">
      <c r="E8436"/>
    </row>
    <row r="8437" spans="5:5" x14ac:dyDescent="0.25">
      <c r="E8437"/>
    </row>
    <row r="8438" spans="5:5" x14ac:dyDescent="0.25">
      <c r="E8438"/>
    </row>
    <row r="8439" spans="5:5" x14ac:dyDescent="0.25">
      <c r="E8439"/>
    </row>
    <row r="8440" spans="5:5" x14ac:dyDescent="0.25">
      <c r="E8440"/>
    </row>
    <row r="8441" spans="5:5" x14ac:dyDescent="0.25">
      <c r="E8441"/>
    </row>
    <row r="8442" spans="5:5" x14ac:dyDescent="0.25">
      <c r="E8442"/>
    </row>
    <row r="8443" spans="5:5" x14ac:dyDescent="0.25">
      <c r="E8443"/>
    </row>
    <row r="8444" spans="5:5" x14ac:dyDescent="0.25">
      <c r="E8444"/>
    </row>
    <row r="8445" spans="5:5" x14ac:dyDescent="0.25">
      <c r="E8445"/>
    </row>
    <row r="8446" spans="5:5" x14ac:dyDescent="0.25">
      <c r="E8446"/>
    </row>
    <row r="8447" spans="5:5" x14ac:dyDescent="0.25">
      <c r="E8447"/>
    </row>
    <row r="8448" spans="5:5" x14ac:dyDescent="0.25">
      <c r="E8448"/>
    </row>
    <row r="8449" spans="5:5" x14ac:dyDescent="0.25">
      <c r="E8449"/>
    </row>
    <row r="8450" spans="5:5" x14ac:dyDescent="0.25">
      <c r="E8450"/>
    </row>
    <row r="8451" spans="5:5" x14ac:dyDescent="0.25">
      <c r="E8451"/>
    </row>
    <row r="8452" spans="5:5" x14ac:dyDescent="0.25">
      <c r="E8452"/>
    </row>
    <row r="8453" spans="5:5" x14ac:dyDescent="0.25">
      <c r="E8453"/>
    </row>
    <row r="8454" spans="5:5" x14ac:dyDescent="0.25">
      <c r="E8454"/>
    </row>
    <row r="8455" spans="5:5" x14ac:dyDescent="0.25">
      <c r="E8455"/>
    </row>
    <row r="8456" spans="5:5" x14ac:dyDescent="0.25">
      <c r="E8456"/>
    </row>
    <row r="8457" spans="5:5" x14ac:dyDescent="0.25">
      <c r="E8457"/>
    </row>
    <row r="8458" spans="5:5" x14ac:dyDescent="0.25">
      <c r="E8458"/>
    </row>
    <row r="8459" spans="5:5" x14ac:dyDescent="0.25">
      <c r="E8459"/>
    </row>
    <row r="8460" spans="5:5" x14ac:dyDescent="0.25">
      <c r="E8460"/>
    </row>
    <row r="8461" spans="5:5" x14ac:dyDescent="0.25">
      <c r="E8461"/>
    </row>
    <row r="8462" spans="5:5" x14ac:dyDescent="0.25">
      <c r="E8462"/>
    </row>
    <row r="8463" spans="5:5" x14ac:dyDescent="0.25">
      <c r="E8463"/>
    </row>
    <row r="8464" spans="5:5" x14ac:dyDescent="0.25">
      <c r="E8464"/>
    </row>
    <row r="8465" spans="5:5" x14ac:dyDescent="0.25">
      <c r="E8465"/>
    </row>
    <row r="8466" spans="5:5" x14ac:dyDescent="0.25">
      <c r="E8466"/>
    </row>
    <row r="8467" spans="5:5" x14ac:dyDescent="0.25">
      <c r="E8467"/>
    </row>
    <row r="8468" spans="5:5" x14ac:dyDescent="0.25">
      <c r="E8468"/>
    </row>
    <row r="8469" spans="5:5" x14ac:dyDescent="0.25">
      <c r="E8469"/>
    </row>
    <row r="8470" spans="5:5" x14ac:dyDescent="0.25">
      <c r="E8470"/>
    </row>
    <row r="8471" spans="5:5" x14ac:dyDescent="0.25">
      <c r="E8471"/>
    </row>
    <row r="8472" spans="5:5" x14ac:dyDescent="0.25">
      <c r="E8472"/>
    </row>
    <row r="8473" spans="5:5" x14ac:dyDescent="0.25">
      <c r="E8473"/>
    </row>
    <row r="8474" spans="5:5" x14ac:dyDescent="0.25">
      <c r="E8474"/>
    </row>
    <row r="8475" spans="5:5" x14ac:dyDescent="0.25">
      <c r="E8475"/>
    </row>
    <row r="8476" spans="5:5" x14ac:dyDescent="0.25">
      <c r="E8476"/>
    </row>
    <row r="8477" spans="5:5" x14ac:dyDescent="0.25">
      <c r="E8477"/>
    </row>
    <row r="8478" spans="5:5" x14ac:dyDescent="0.25">
      <c r="E8478"/>
    </row>
    <row r="8479" spans="5:5" x14ac:dyDescent="0.25">
      <c r="E8479"/>
    </row>
    <row r="8480" spans="5:5" x14ac:dyDescent="0.25">
      <c r="E8480"/>
    </row>
    <row r="8481" spans="5:5" x14ac:dyDescent="0.25">
      <c r="E8481"/>
    </row>
    <row r="8482" spans="5:5" x14ac:dyDescent="0.25">
      <c r="E8482"/>
    </row>
    <row r="8483" spans="5:5" x14ac:dyDescent="0.25">
      <c r="E8483"/>
    </row>
    <row r="8484" spans="5:5" x14ac:dyDescent="0.25">
      <c r="E8484"/>
    </row>
    <row r="8485" spans="5:5" x14ac:dyDescent="0.25">
      <c r="E8485"/>
    </row>
    <row r="8486" spans="5:5" x14ac:dyDescent="0.25">
      <c r="E8486"/>
    </row>
    <row r="8487" spans="5:5" x14ac:dyDescent="0.25">
      <c r="E8487"/>
    </row>
    <row r="8488" spans="5:5" x14ac:dyDescent="0.25">
      <c r="E8488"/>
    </row>
    <row r="8489" spans="5:5" x14ac:dyDescent="0.25">
      <c r="E8489"/>
    </row>
    <row r="8490" spans="5:5" x14ac:dyDescent="0.25">
      <c r="E8490"/>
    </row>
    <row r="8491" spans="5:5" x14ac:dyDescent="0.25">
      <c r="E8491"/>
    </row>
    <row r="8492" spans="5:5" x14ac:dyDescent="0.25">
      <c r="E8492"/>
    </row>
    <row r="8493" spans="5:5" x14ac:dyDescent="0.25">
      <c r="E8493"/>
    </row>
    <row r="8494" spans="5:5" x14ac:dyDescent="0.25">
      <c r="E8494"/>
    </row>
    <row r="8495" spans="5:5" x14ac:dyDescent="0.25">
      <c r="E8495"/>
    </row>
    <row r="8496" spans="5:5" x14ac:dyDescent="0.25">
      <c r="E8496"/>
    </row>
    <row r="8497" spans="5:5" x14ac:dyDescent="0.25">
      <c r="E8497"/>
    </row>
    <row r="8498" spans="5:5" x14ac:dyDescent="0.25">
      <c r="E8498"/>
    </row>
    <row r="8499" spans="5:5" x14ac:dyDescent="0.25">
      <c r="E8499"/>
    </row>
    <row r="8500" spans="5:5" x14ac:dyDescent="0.25">
      <c r="E8500"/>
    </row>
    <row r="8501" spans="5:5" x14ac:dyDescent="0.25">
      <c r="E8501"/>
    </row>
    <row r="8502" spans="5:5" x14ac:dyDescent="0.25">
      <c r="E8502"/>
    </row>
    <row r="8503" spans="5:5" x14ac:dyDescent="0.25">
      <c r="E8503"/>
    </row>
    <row r="8504" spans="5:5" x14ac:dyDescent="0.25">
      <c r="E8504"/>
    </row>
    <row r="8505" spans="5:5" x14ac:dyDescent="0.25">
      <c r="E8505"/>
    </row>
    <row r="8506" spans="5:5" x14ac:dyDescent="0.25">
      <c r="E8506"/>
    </row>
    <row r="8507" spans="5:5" x14ac:dyDescent="0.25">
      <c r="E8507"/>
    </row>
    <row r="8508" spans="5:5" x14ac:dyDescent="0.25">
      <c r="E8508"/>
    </row>
    <row r="8509" spans="5:5" x14ac:dyDescent="0.25">
      <c r="E8509"/>
    </row>
    <row r="8510" spans="5:5" x14ac:dyDescent="0.25">
      <c r="E8510"/>
    </row>
    <row r="8511" spans="5:5" x14ac:dyDescent="0.25">
      <c r="E8511"/>
    </row>
    <row r="8512" spans="5:5" x14ac:dyDescent="0.25">
      <c r="E8512"/>
    </row>
    <row r="8513" spans="5:5" x14ac:dyDescent="0.25">
      <c r="E8513"/>
    </row>
    <row r="8514" spans="5:5" x14ac:dyDescent="0.25">
      <c r="E8514"/>
    </row>
    <row r="8515" spans="5:5" x14ac:dyDescent="0.25">
      <c r="E8515"/>
    </row>
    <row r="8516" spans="5:5" x14ac:dyDescent="0.25">
      <c r="E8516"/>
    </row>
    <row r="8517" spans="5:5" x14ac:dyDescent="0.25">
      <c r="E8517"/>
    </row>
    <row r="8518" spans="5:5" x14ac:dyDescent="0.25">
      <c r="E8518"/>
    </row>
    <row r="8519" spans="5:5" x14ac:dyDescent="0.25">
      <c r="E8519"/>
    </row>
    <row r="8520" spans="5:5" x14ac:dyDescent="0.25">
      <c r="E8520"/>
    </row>
    <row r="8521" spans="5:5" x14ac:dyDescent="0.25">
      <c r="E8521"/>
    </row>
    <row r="8522" spans="5:5" x14ac:dyDescent="0.25">
      <c r="E8522"/>
    </row>
    <row r="8523" spans="5:5" x14ac:dyDescent="0.25">
      <c r="E8523"/>
    </row>
    <row r="8524" spans="5:5" x14ac:dyDescent="0.25">
      <c r="E8524"/>
    </row>
    <row r="8525" spans="5:5" x14ac:dyDescent="0.25">
      <c r="E8525"/>
    </row>
    <row r="8526" spans="5:5" x14ac:dyDescent="0.25">
      <c r="E8526"/>
    </row>
    <row r="8527" spans="5:5" x14ac:dyDescent="0.25">
      <c r="E8527"/>
    </row>
    <row r="8528" spans="5:5" x14ac:dyDescent="0.25">
      <c r="E8528"/>
    </row>
    <row r="8529" spans="5:5" x14ac:dyDescent="0.25">
      <c r="E8529"/>
    </row>
    <row r="8530" spans="5:5" x14ac:dyDescent="0.25">
      <c r="E8530"/>
    </row>
    <row r="8531" spans="5:5" x14ac:dyDescent="0.25">
      <c r="E8531"/>
    </row>
    <row r="8532" spans="5:5" x14ac:dyDescent="0.25">
      <c r="E8532"/>
    </row>
    <row r="8533" spans="5:5" x14ac:dyDescent="0.25">
      <c r="E8533"/>
    </row>
    <row r="8534" spans="5:5" x14ac:dyDescent="0.25">
      <c r="E8534"/>
    </row>
    <row r="8535" spans="5:5" x14ac:dyDescent="0.25">
      <c r="E8535"/>
    </row>
    <row r="8536" spans="5:5" x14ac:dyDescent="0.25">
      <c r="E8536"/>
    </row>
    <row r="8537" spans="5:5" x14ac:dyDescent="0.25">
      <c r="E8537"/>
    </row>
    <row r="8538" spans="5:5" x14ac:dyDescent="0.25">
      <c r="E8538"/>
    </row>
    <row r="8539" spans="5:5" x14ac:dyDescent="0.25">
      <c r="E8539"/>
    </row>
    <row r="8540" spans="5:5" x14ac:dyDescent="0.25">
      <c r="E8540"/>
    </row>
    <row r="8541" spans="5:5" x14ac:dyDescent="0.25">
      <c r="E8541"/>
    </row>
    <row r="8542" spans="5:5" x14ac:dyDescent="0.25">
      <c r="E8542"/>
    </row>
    <row r="8543" spans="5:5" x14ac:dyDescent="0.25">
      <c r="E8543"/>
    </row>
    <row r="8544" spans="5:5" x14ac:dyDescent="0.25">
      <c r="E8544"/>
    </row>
    <row r="8545" spans="5:5" x14ac:dyDescent="0.25">
      <c r="E8545"/>
    </row>
    <row r="8546" spans="5:5" x14ac:dyDescent="0.25">
      <c r="E8546"/>
    </row>
    <row r="8547" spans="5:5" x14ac:dyDescent="0.25">
      <c r="E8547"/>
    </row>
    <row r="8548" spans="5:5" x14ac:dyDescent="0.25">
      <c r="E8548"/>
    </row>
    <row r="8549" spans="5:5" x14ac:dyDescent="0.25">
      <c r="E8549"/>
    </row>
    <row r="8550" spans="5:5" x14ac:dyDescent="0.25">
      <c r="E8550"/>
    </row>
    <row r="8551" spans="5:5" x14ac:dyDescent="0.25">
      <c r="E8551"/>
    </row>
    <row r="8552" spans="5:5" x14ac:dyDescent="0.25">
      <c r="E8552"/>
    </row>
    <row r="8553" spans="5:5" x14ac:dyDescent="0.25">
      <c r="E8553"/>
    </row>
    <row r="8554" spans="5:5" x14ac:dyDescent="0.25">
      <c r="E8554"/>
    </row>
    <row r="8555" spans="5:5" x14ac:dyDescent="0.25">
      <c r="E8555"/>
    </row>
    <row r="8556" spans="5:5" x14ac:dyDescent="0.25">
      <c r="E8556"/>
    </row>
    <row r="8557" spans="5:5" x14ac:dyDescent="0.25">
      <c r="E8557"/>
    </row>
    <row r="8558" spans="5:5" x14ac:dyDescent="0.25">
      <c r="E8558"/>
    </row>
    <row r="8559" spans="5:5" x14ac:dyDescent="0.25">
      <c r="E8559"/>
    </row>
    <row r="8560" spans="5:5" x14ac:dyDescent="0.25">
      <c r="E8560"/>
    </row>
    <row r="8561" spans="5:5" x14ac:dyDescent="0.25">
      <c r="E8561"/>
    </row>
    <row r="8562" spans="5:5" x14ac:dyDescent="0.25">
      <c r="E8562"/>
    </row>
    <row r="8563" spans="5:5" x14ac:dyDescent="0.25">
      <c r="E8563"/>
    </row>
    <row r="8564" spans="5:5" x14ac:dyDescent="0.25">
      <c r="E8564"/>
    </row>
    <row r="8565" spans="5:5" x14ac:dyDescent="0.25">
      <c r="E8565"/>
    </row>
    <row r="8566" spans="5:5" x14ac:dyDescent="0.25">
      <c r="E8566"/>
    </row>
    <row r="8567" spans="5:5" x14ac:dyDescent="0.25">
      <c r="E8567"/>
    </row>
    <row r="8568" spans="5:5" x14ac:dyDescent="0.25">
      <c r="E8568"/>
    </row>
    <row r="8569" spans="5:5" x14ac:dyDescent="0.25">
      <c r="E8569"/>
    </row>
    <row r="8570" spans="5:5" x14ac:dyDescent="0.25">
      <c r="E8570"/>
    </row>
    <row r="8571" spans="5:5" x14ac:dyDescent="0.25">
      <c r="E8571"/>
    </row>
    <row r="8572" spans="5:5" x14ac:dyDescent="0.25">
      <c r="E8572"/>
    </row>
    <row r="8573" spans="5:5" x14ac:dyDescent="0.25">
      <c r="E8573"/>
    </row>
    <row r="8574" spans="5:5" x14ac:dyDescent="0.25">
      <c r="E8574"/>
    </row>
    <row r="8575" spans="5:5" x14ac:dyDescent="0.25">
      <c r="E8575"/>
    </row>
    <row r="8576" spans="5:5" x14ac:dyDescent="0.25">
      <c r="E8576"/>
    </row>
    <row r="8577" spans="5:5" x14ac:dyDescent="0.25">
      <c r="E8577"/>
    </row>
    <row r="8578" spans="5:5" x14ac:dyDescent="0.25">
      <c r="E8578"/>
    </row>
    <row r="8579" spans="5:5" x14ac:dyDescent="0.25">
      <c r="E8579"/>
    </row>
    <row r="8580" spans="5:5" x14ac:dyDescent="0.25">
      <c r="E8580"/>
    </row>
    <row r="8581" spans="5:5" x14ac:dyDescent="0.25">
      <c r="E8581"/>
    </row>
    <row r="8582" spans="5:5" x14ac:dyDescent="0.25">
      <c r="E8582"/>
    </row>
    <row r="8583" spans="5:5" x14ac:dyDescent="0.25">
      <c r="E8583"/>
    </row>
    <row r="8584" spans="5:5" x14ac:dyDescent="0.25">
      <c r="E8584"/>
    </row>
    <row r="8585" spans="5:5" x14ac:dyDescent="0.25">
      <c r="E8585"/>
    </row>
    <row r="8586" spans="5:5" x14ac:dyDescent="0.25">
      <c r="E8586"/>
    </row>
    <row r="8587" spans="5:5" x14ac:dyDescent="0.25">
      <c r="E8587"/>
    </row>
    <row r="8588" spans="5:5" x14ac:dyDescent="0.25">
      <c r="E8588"/>
    </row>
    <row r="8589" spans="5:5" x14ac:dyDescent="0.25">
      <c r="E8589"/>
    </row>
    <row r="8590" spans="5:5" x14ac:dyDescent="0.25">
      <c r="E8590"/>
    </row>
    <row r="8591" spans="5:5" x14ac:dyDescent="0.25">
      <c r="E8591"/>
    </row>
    <row r="8592" spans="5:5" x14ac:dyDescent="0.25">
      <c r="E8592"/>
    </row>
    <row r="8593" spans="5:5" x14ac:dyDescent="0.25">
      <c r="E8593"/>
    </row>
    <row r="8594" spans="5:5" x14ac:dyDescent="0.25">
      <c r="E8594"/>
    </row>
    <row r="8595" spans="5:5" x14ac:dyDescent="0.25">
      <c r="E8595"/>
    </row>
    <row r="8596" spans="5:5" x14ac:dyDescent="0.25">
      <c r="E8596"/>
    </row>
    <row r="8597" spans="5:5" x14ac:dyDescent="0.25">
      <c r="E8597"/>
    </row>
    <row r="8598" spans="5:5" x14ac:dyDescent="0.25">
      <c r="E8598"/>
    </row>
    <row r="8599" spans="5:5" x14ac:dyDescent="0.25">
      <c r="E8599"/>
    </row>
    <row r="8600" spans="5:5" x14ac:dyDescent="0.25">
      <c r="E8600"/>
    </row>
    <row r="8601" spans="5:5" x14ac:dyDescent="0.25">
      <c r="E8601"/>
    </row>
    <row r="8602" spans="5:5" x14ac:dyDescent="0.25">
      <c r="E8602"/>
    </row>
    <row r="8603" spans="5:5" x14ac:dyDescent="0.25">
      <c r="E8603"/>
    </row>
    <row r="8604" spans="5:5" x14ac:dyDescent="0.25">
      <c r="E8604"/>
    </row>
    <row r="8605" spans="5:5" x14ac:dyDescent="0.25">
      <c r="E8605"/>
    </row>
    <row r="8606" spans="5:5" x14ac:dyDescent="0.25">
      <c r="E8606"/>
    </row>
    <row r="8607" spans="5:5" x14ac:dyDescent="0.25">
      <c r="E8607"/>
    </row>
    <row r="8608" spans="5:5" x14ac:dyDescent="0.25">
      <c r="E8608"/>
    </row>
    <row r="8609" spans="5:5" x14ac:dyDescent="0.25">
      <c r="E8609"/>
    </row>
    <row r="8610" spans="5:5" x14ac:dyDescent="0.25">
      <c r="E8610"/>
    </row>
    <row r="8611" spans="5:5" x14ac:dyDescent="0.25">
      <c r="E8611"/>
    </row>
    <row r="8612" spans="5:5" x14ac:dyDescent="0.25">
      <c r="E8612"/>
    </row>
    <row r="8613" spans="5:5" x14ac:dyDescent="0.25">
      <c r="E8613"/>
    </row>
    <row r="8614" spans="5:5" x14ac:dyDescent="0.25">
      <c r="E8614"/>
    </row>
    <row r="8615" spans="5:5" x14ac:dyDescent="0.25">
      <c r="E8615"/>
    </row>
    <row r="8616" spans="5:5" x14ac:dyDescent="0.25">
      <c r="E8616"/>
    </row>
    <row r="8617" spans="5:5" x14ac:dyDescent="0.25">
      <c r="E8617"/>
    </row>
    <row r="8618" spans="5:5" x14ac:dyDescent="0.25">
      <c r="E8618"/>
    </row>
    <row r="8619" spans="5:5" x14ac:dyDescent="0.25">
      <c r="E8619"/>
    </row>
    <row r="8620" spans="5:5" x14ac:dyDescent="0.25">
      <c r="E8620"/>
    </row>
    <row r="8621" spans="5:5" x14ac:dyDescent="0.25">
      <c r="E8621"/>
    </row>
    <row r="8622" spans="5:5" x14ac:dyDescent="0.25">
      <c r="E8622"/>
    </row>
    <row r="8623" spans="5:5" x14ac:dyDescent="0.25">
      <c r="E8623"/>
    </row>
    <row r="8624" spans="5:5" x14ac:dyDescent="0.25">
      <c r="E8624"/>
    </row>
    <row r="8625" spans="5:5" x14ac:dyDescent="0.25">
      <c r="E8625"/>
    </row>
    <row r="8626" spans="5:5" x14ac:dyDescent="0.25">
      <c r="E8626"/>
    </row>
    <row r="8627" spans="5:5" x14ac:dyDescent="0.25">
      <c r="E8627"/>
    </row>
    <row r="8628" spans="5:5" x14ac:dyDescent="0.25">
      <c r="E8628"/>
    </row>
    <row r="8629" spans="5:5" x14ac:dyDescent="0.25">
      <c r="E8629"/>
    </row>
    <row r="8630" spans="5:5" x14ac:dyDescent="0.25">
      <c r="E8630"/>
    </row>
    <row r="8631" spans="5:5" x14ac:dyDescent="0.25">
      <c r="E8631"/>
    </row>
    <row r="8632" spans="5:5" x14ac:dyDescent="0.25">
      <c r="E8632"/>
    </row>
    <row r="8633" spans="5:5" x14ac:dyDescent="0.25">
      <c r="E8633"/>
    </row>
    <row r="8634" spans="5:5" x14ac:dyDescent="0.25">
      <c r="E8634"/>
    </row>
    <row r="8635" spans="5:5" x14ac:dyDescent="0.25">
      <c r="E8635"/>
    </row>
    <row r="8636" spans="5:5" x14ac:dyDescent="0.25">
      <c r="E8636"/>
    </row>
    <row r="8637" spans="5:5" x14ac:dyDescent="0.25">
      <c r="E8637"/>
    </row>
    <row r="8638" spans="5:5" x14ac:dyDescent="0.25">
      <c r="E8638"/>
    </row>
    <row r="8639" spans="5:5" x14ac:dyDescent="0.25">
      <c r="E8639"/>
    </row>
    <row r="8640" spans="5:5" x14ac:dyDescent="0.25">
      <c r="E8640"/>
    </row>
    <row r="8641" spans="5:5" x14ac:dyDescent="0.25">
      <c r="E8641"/>
    </row>
    <row r="8642" spans="5:5" x14ac:dyDescent="0.25">
      <c r="E8642"/>
    </row>
    <row r="8643" spans="5:5" x14ac:dyDescent="0.25">
      <c r="E8643"/>
    </row>
    <row r="8644" spans="5:5" x14ac:dyDescent="0.25">
      <c r="E8644"/>
    </row>
    <row r="8645" spans="5:5" x14ac:dyDescent="0.25">
      <c r="E8645"/>
    </row>
    <row r="8646" spans="5:5" x14ac:dyDescent="0.25">
      <c r="E8646"/>
    </row>
    <row r="8647" spans="5:5" x14ac:dyDescent="0.25">
      <c r="E8647"/>
    </row>
    <row r="8648" spans="5:5" x14ac:dyDescent="0.25">
      <c r="E8648"/>
    </row>
    <row r="8649" spans="5:5" x14ac:dyDescent="0.25">
      <c r="E8649"/>
    </row>
    <row r="8650" spans="5:5" x14ac:dyDescent="0.25">
      <c r="E8650"/>
    </row>
    <row r="8651" spans="5:5" x14ac:dyDescent="0.25">
      <c r="E8651"/>
    </row>
    <row r="8652" spans="5:5" x14ac:dyDescent="0.25">
      <c r="E8652"/>
    </row>
    <row r="8653" spans="5:5" x14ac:dyDescent="0.25">
      <c r="E8653"/>
    </row>
    <row r="8654" spans="5:5" x14ac:dyDescent="0.25">
      <c r="E8654"/>
    </row>
    <row r="8655" spans="5:5" x14ac:dyDescent="0.25">
      <c r="E8655"/>
    </row>
    <row r="8656" spans="5:5" x14ac:dyDescent="0.25">
      <c r="E8656"/>
    </row>
    <row r="8657" spans="5:5" x14ac:dyDescent="0.25">
      <c r="E8657"/>
    </row>
    <row r="8658" spans="5:5" x14ac:dyDescent="0.25">
      <c r="E8658"/>
    </row>
    <row r="8659" spans="5:5" x14ac:dyDescent="0.25">
      <c r="E8659"/>
    </row>
    <row r="8660" spans="5:5" x14ac:dyDescent="0.25">
      <c r="E8660"/>
    </row>
    <row r="8661" spans="5:5" x14ac:dyDescent="0.25">
      <c r="E8661"/>
    </row>
    <row r="8662" spans="5:5" x14ac:dyDescent="0.25">
      <c r="E8662"/>
    </row>
    <row r="8663" spans="5:5" x14ac:dyDescent="0.25">
      <c r="E8663"/>
    </row>
    <row r="8664" spans="5:5" x14ac:dyDescent="0.25">
      <c r="E8664"/>
    </row>
    <row r="8665" spans="5:5" x14ac:dyDescent="0.25">
      <c r="E8665"/>
    </row>
    <row r="8666" spans="5:5" x14ac:dyDescent="0.25">
      <c r="E8666"/>
    </row>
    <row r="8667" spans="5:5" x14ac:dyDescent="0.25">
      <c r="E8667"/>
    </row>
    <row r="8668" spans="5:5" x14ac:dyDescent="0.25">
      <c r="E8668"/>
    </row>
    <row r="8669" spans="5:5" x14ac:dyDescent="0.25">
      <c r="E8669"/>
    </row>
    <row r="8670" spans="5:5" x14ac:dyDescent="0.25">
      <c r="E8670"/>
    </row>
    <row r="8671" spans="5:5" x14ac:dyDescent="0.25">
      <c r="E8671"/>
    </row>
    <row r="8672" spans="5:5" x14ac:dyDescent="0.25">
      <c r="E8672"/>
    </row>
    <row r="8673" spans="5:5" x14ac:dyDescent="0.25">
      <c r="E8673"/>
    </row>
    <row r="8674" spans="5:5" x14ac:dyDescent="0.25">
      <c r="E8674"/>
    </row>
    <row r="8675" spans="5:5" x14ac:dyDescent="0.25">
      <c r="E8675"/>
    </row>
    <row r="8676" spans="5:5" x14ac:dyDescent="0.25">
      <c r="E8676"/>
    </row>
    <row r="8677" spans="5:5" x14ac:dyDescent="0.25">
      <c r="E8677"/>
    </row>
    <row r="8678" spans="5:5" x14ac:dyDescent="0.25">
      <c r="E8678"/>
    </row>
    <row r="8679" spans="5:5" x14ac:dyDescent="0.25">
      <c r="E8679"/>
    </row>
    <row r="8680" spans="5:5" x14ac:dyDescent="0.25">
      <c r="E8680"/>
    </row>
    <row r="8681" spans="5:5" x14ac:dyDescent="0.25">
      <c r="E8681"/>
    </row>
    <row r="8682" spans="5:5" x14ac:dyDescent="0.25">
      <c r="E8682"/>
    </row>
    <row r="8683" spans="5:5" x14ac:dyDescent="0.25">
      <c r="E8683"/>
    </row>
    <row r="8684" spans="5:5" x14ac:dyDescent="0.25">
      <c r="E8684"/>
    </row>
    <row r="8685" spans="5:5" x14ac:dyDescent="0.25">
      <c r="E8685"/>
    </row>
    <row r="8686" spans="5:5" x14ac:dyDescent="0.25">
      <c r="E8686"/>
    </row>
    <row r="8687" spans="5:5" x14ac:dyDescent="0.25">
      <c r="E8687"/>
    </row>
    <row r="8688" spans="5:5" x14ac:dyDescent="0.25">
      <c r="E8688"/>
    </row>
    <row r="8689" spans="5:5" x14ac:dyDescent="0.25">
      <c r="E8689"/>
    </row>
    <row r="8690" spans="5:5" x14ac:dyDescent="0.25">
      <c r="E8690"/>
    </row>
    <row r="8691" spans="5:5" x14ac:dyDescent="0.25">
      <c r="E8691"/>
    </row>
    <row r="8692" spans="5:5" x14ac:dyDescent="0.25">
      <c r="E8692"/>
    </row>
    <row r="8693" spans="5:5" x14ac:dyDescent="0.25">
      <c r="E8693"/>
    </row>
    <row r="8694" spans="5:5" x14ac:dyDescent="0.25">
      <c r="E8694"/>
    </row>
    <row r="8695" spans="5:5" x14ac:dyDescent="0.25">
      <c r="E8695"/>
    </row>
    <row r="8696" spans="5:5" x14ac:dyDescent="0.25">
      <c r="E8696"/>
    </row>
    <row r="8697" spans="5:5" x14ac:dyDescent="0.25">
      <c r="E8697"/>
    </row>
    <row r="8698" spans="5:5" x14ac:dyDescent="0.25">
      <c r="E8698"/>
    </row>
    <row r="8699" spans="5:5" x14ac:dyDescent="0.25">
      <c r="E8699"/>
    </row>
    <row r="8700" spans="5:5" x14ac:dyDescent="0.25">
      <c r="E8700"/>
    </row>
    <row r="8701" spans="5:5" x14ac:dyDescent="0.25">
      <c r="E8701"/>
    </row>
    <row r="8702" spans="5:5" x14ac:dyDescent="0.25">
      <c r="E8702"/>
    </row>
    <row r="8703" spans="5:5" x14ac:dyDescent="0.25">
      <c r="E8703"/>
    </row>
    <row r="8704" spans="5:5" x14ac:dyDescent="0.25">
      <c r="E8704"/>
    </row>
    <row r="8705" spans="5:5" x14ac:dyDescent="0.25">
      <c r="E8705"/>
    </row>
    <row r="8706" spans="5:5" x14ac:dyDescent="0.25">
      <c r="E8706"/>
    </row>
    <row r="8707" spans="5:5" x14ac:dyDescent="0.25">
      <c r="E8707"/>
    </row>
    <row r="8708" spans="5:5" x14ac:dyDescent="0.25">
      <c r="E8708"/>
    </row>
    <row r="8709" spans="5:5" x14ac:dyDescent="0.25">
      <c r="E8709"/>
    </row>
    <row r="8710" spans="5:5" x14ac:dyDescent="0.25">
      <c r="E8710"/>
    </row>
    <row r="8711" spans="5:5" x14ac:dyDescent="0.25">
      <c r="E8711"/>
    </row>
    <row r="8712" spans="5:5" x14ac:dyDescent="0.25">
      <c r="E8712"/>
    </row>
    <row r="8713" spans="5:5" x14ac:dyDescent="0.25">
      <c r="E8713"/>
    </row>
    <row r="8714" spans="5:5" x14ac:dyDescent="0.25">
      <c r="E8714"/>
    </row>
    <row r="8715" spans="5:5" x14ac:dyDescent="0.25">
      <c r="E8715"/>
    </row>
    <row r="8716" spans="5:5" x14ac:dyDescent="0.25">
      <c r="E8716"/>
    </row>
    <row r="8717" spans="5:5" x14ac:dyDescent="0.25">
      <c r="E8717"/>
    </row>
    <row r="8718" spans="5:5" x14ac:dyDescent="0.25">
      <c r="E8718"/>
    </row>
    <row r="8719" spans="5:5" x14ac:dyDescent="0.25">
      <c r="E8719"/>
    </row>
    <row r="8720" spans="5:5" x14ac:dyDescent="0.25">
      <c r="E8720"/>
    </row>
    <row r="8721" spans="5:5" x14ac:dyDescent="0.25">
      <c r="E8721"/>
    </row>
    <row r="8722" spans="5:5" x14ac:dyDescent="0.25">
      <c r="E8722"/>
    </row>
    <row r="8723" spans="5:5" x14ac:dyDescent="0.25">
      <c r="E8723"/>
    </row>
    <row r="8724" spans="5:5" x14ac:dyDescent="0.25">
      <c r="E8724"/>
    </row>
    <row r="8725" spans="5:5" x14ac:dyDescent="0.25">
      <c r="E8725"/>
    </row>
    <row r="8726" spans="5:5" x14ac:dyDescent="0.25">
      <c r="E8726"/>
    </row>
    <row r="8727" spans="5:5" x14ac:dyDescent="0.25">
      <c r="E8727"/>
    </row>
    <row r="8728" spans="5:5" x14ac:dyDescent="0.25">
      <c r="E8728"/>
    </row>
    <row r="8729" spans="5:5" x14ac:dyDescent="0.25">
      <c r="E8729"/>
    </row>
    <row r="8730" spans="5:5" x14ac:dyDescent="0.25">
      <c r="E8730"/>
    </row>
    <row r="8731" spans="5:5" x14ac:dyDescent="0.25">
      <c r="E8731"/>
    </row>
    <row r="8732" spans="5:5" x14ac:dyDescent="0.25">
      <c r="E8732"/>
    </row>
    <row r="8733" spans="5:5" x14ac:dyDescent="0.25">
      <c r="E8733"/>
    </row>
    <row r="8734" spans="5:5" x14ac:dyDescent="0.25">
      <c r="E8734"/>
    </row>
    <row r="8735" spans="5:5" x14ac:dyDescent="0.25">
      <c r="E8735"/>
    </row>
    <row r="8736" spans="5:5" x14ac:dyDescent="0.25">
      <c r="E8736"/>
    </row>
    <row r="8737" spans="5:5" x14ac:dyDescent="0.25">
      <c r="E8737"/>
    </row>
    <row r="8738" spans="5:5" x14ac:dyDescent="0.25">
      <c r="E8738"/>
    </row>
    <row r="8739" spans="5:5" x14ac:dyDescent="0.25">
      <c r="E8739"/>
    </row>
    <row r="8740" spans="5:5" x14ac:dyDescent="0.25">
      <c r="E8740"/>
    </row>
    <row r="8741" spans="5:5" x14ac:dyDescent="0.25">
      <c r="E8741"/>
    </row>
    <row r="8742" spans="5:5" x14ac:dyDescent="0.25">
      <c r="E8742"/>
    </row>
    <row r="8743" spans="5:5" x14ac:dyDescent="0.25">
      <c r="E8743"/>
    </row>
    <row r="8744" spans="5:5" x14ac:dyDescent="0.25">
      <c r="E8744"/>
    </row>
    <row r="8745" spans="5:5" x14ac:dyDescent="0.25">
      <c r="E8745"/>
    </row>
    <row r="8746" spans="5:5" x14ac:dyDescent="0.25">
      <c r="E8746"/>
    </row>
    <row r="8747" spans="5:5" x14ac:dyDescent="0.25">
      <c r="E8747"/>
    </row>
    <row r="8748" spans="5:5" x14ac:dyDescent="0.25">
      <c r="E8748"/>
    </row>
    <row r="8749" spans="5:5" x14ac:dyDescent="0.25">
      <c r="E8749"/>
    </row>
    <row r="8750" spans="5:5" x14ac:dyDescent="0.25">
      <c r="E8750"/>
    </row>
    <row r="8751" spans="5:5" x14ac:dyDescent="0.25">
      <c r="E8751"/>
    </row>
    <row r="8752" spans="5:5" x14ac:dyDescent="0.25">
      <c r="E8752"/>
    </row>
    <row r="8753" spans="5:5" x14ac:dyDescent="0.25">
      <c r="E8753"/>
    </row>
    <row r="8754" spans="5:5" x14ac:dyDescent="0.25">
      <c r="E8754"/>
    </row>
    <row r="8755" spans="5:5" x14ac:dyDescent="0.25">
      <c r="E8755"/>
    </row>
    <row r="8756" spans="5:5" x14ac:dyDescent="0.25">
      <c r="E8756"/>
    </row>
    <row r="8757" spans="5:5" x14ac:dyDescent="0.25">
      <c r="E8757"/>
    </row>
    <row r="8758" spans="5:5" x14ac:dyDescent="0.25">
      <c r="E8758"/>
    </row>
    <row r="8759" spans="5:5" x14ac:dyDescent="0.25">
      <c r="E8759"/>
    </row>
    <row r="8760" spans="5:5" x14ac:dyDescent="0.25">
      <c r="E8760"/>
    </row>
    <row r="8761" spans="5:5" x14ac:dyDescent="0.25">
      <c r="E8761"/>
    </row>
    <row r="8762" spans="5:5" x14ac:dyDescent="0.25">
      <c r="E8762"/>
    </row>
    <row r="8763" spans="5:5" x14ac:dyDescent="0.25">
      <c r="E8763"/>
    </row>
    <row r="8764" spans="5:5" x14ac:dyDescent="0.25">
      <c r="E8764"/>
    </row>
    <row r="8765" spans="5:5" x14ac:dyDescent="0.25">
      <c r="E8765"/>
    </row>
    <row r="8766" spans="5:5" x14ac:dyDescent="0.25">
      <c r="E8766"/>
    </row>
    <row r="8767" spans="5:5" x14ac:dyDescent="0.25">
      <c r="E8767"/>
    </row>
    <row r="8768" spans="5:5" x14ac:dyDescent="0.25">
      <c r="E8768"/>
    </row>
    <row r="8769" spans="5:5" x14ac:dyDescent="0.25">
      <c r="E8769"/>
    </row>
    <row r="8770" spans="5:5" x14ac:dyDescent="0.25">
      <c r="E8770"/>
    </row>
    <row r="8771" spans="5:5" x14ac:dyDescent="0.25">
      <c r="E8771"/>
    </row>
    <row r="8772" spans="5:5" x14ac:dyDescent="0.25">
      <c r="E8772"/>
    </row>
    <row r="8773" spans="5:5" x14ac:dyDescent="0.25">
      <c r="E8773"/>
    </row>
    <row r="8774" spans="5:5" x14ac:dyDescent="0.25">
      <c r="E8774"/>
    </row>
    <row r="8775" spans="5:5" x14ac:dyDescent="0.25">
      <c r="E8775"/>
    </row>
    <row r="8776" spans="5:5" x14ac:dyDescent="0.25">
      <c r="E8776"/>
    </row>
    <row r="8777" spans="5:5" x14ac:dyDescent="0.25">
      <c r="E8777"/>
    </row>
    <row r="8778" spans="5:5" x14ac:dyDescent="0.25">
      <c r="E8778"/>
    </row>
    <row r="8779" spans="5:5" x14ac:dyDescent="0.25">
      <c r="E8779"/>
    </row>
    <row r="8780" spans="5:5" x14ac:dyDescent="0.25">
      <c r="E8780"/>
    </row>
    <row r="8781" spans="5:5" x14ac:dyDescent="0.25">
      <c r="E8781"/>
    </row>
    <row r="8782" spans="5:5" x14ac:dyDescent="0.25">
      <c r="E8782"/>
    </row>
    <row r="8783" spans="5:5" x14ac:dyDescent="0.25">
      <c r="E8783"/>
    </row>
    <row r="8784" spans="5:5" x14ac:dyDescent="0.25">
      <c r="E8784"/>
    </row>
    <row r="8785" spans="5:5" x14ac:dyDescent="0.25">
      <c r="E8785"/>
    </row>
    <row r="8786" spans="5:5" x14ac:dyDescent="0.25">
      <c r="E8786"/>
    </row>
    <row r="8787" spans="5:5" x14ac:dyDescent="0.25">
      <c r="E8787"/>
    </row>
    <row r="8788" spans="5:5" x14ac:dyDescent="0.25">
      <c r="E8788"/>
    </row>
    <row r="8789" spans="5:5" x14ac:dyDescent="0.25">
      <c r="E8789"/>
    </row>
    <row r="8790" spans="5:5" x14ac:dyDescent="0.25">
      <c r="E8790"/>
    </row>
    <row r="8791" spans="5:5" x14ac:dyDescent="0.25">
      <c r="E8791"/>
    </row>
    <row r="8792" spans="5:5" x14ac:dyDescent="0.25">
      <c r="E8792"/>
    </row>
    <row r="8793" spans="5:5" x14ac:dyDescent="0.25">
      <c r="E8793"/>
    </row>
    <row r="8794" spans="5:5" x14ac:dyDescent="0.25">
      <c r="E8794"/>
    </row>
    <row r="8795" spans="5:5" x14ac:dyDescent="0.25">
      <c r="E8795"/>
    </row>
    <row r="8796" spans="5:5" x14ac:dyDescent="0.25">
      <c r="E8796"/>
    </row>
    <row r="8797" spans="5:5" x14ac:dyDescent="0.25">
      <c r="E8797"/>
    </row>
    <row r="8798" spans="5:5" x14ac:dyDescent="0.25">
      <c r="E8798"/>
    </row>
    <row r="8799" spans="5:5" x14ac:dyDescent="0.25">
      <c r="E8799"/>
    </row>
    <row r="8800" spans="5:5" x14ac:dyDescent="0.25">
      <c r="E8800"/>
    </row>
    <row r="8801" spans="5:5" x14ac:dyDescent="0.25">
      <c r="E8801"/>
    </row>
    <row r="8802" spans="5:5" x14ac:dyDescent="0.25">
      <c r="E8802"/>
    </row>
    <row r="8803" spans="5:5" x14ac:dyDescent="0.25">
      <c r="E8803"/>
    </row>
    <row r="8804" spans="5:5" x14ac:dyDescent="0.25">
      <c r="E8804"/>
    </row>
    <row r="8805" spans="5:5" x14ac:dyDescent="0.25">
      <c r="E8805"/>
    </row>
    <row r="8806" spans="5:5" x14ac:dyDescent="0.25">
      <c r="E8806"/>
    </row>
    <row r="8807" spans="5:5" x14ac:dyDescent="0.25">
      <c r="E8807"/>
    </row>
    <row r="8808" spans="5:5" x14ac:dyDescent="0.25">
      <c r="E8808"/>
    </row>
    <row r="8809" spans="5:5" x14ac:dyDescent="0.25">
      <c r="E8809"/>
    </row>
    <row r="8810" spans="5:5" x14ac:dyDescent="0.25">
      <c r="E8810"/>
    </row>
    <row r="8811" spans="5:5" x14ac:dyDescent="0.25">
      <c r="E8811"/>
    </row>
    <row r="8812" spans="5:5" x14ac:dyDescent="0.25">
      <c r="E8812"/>
    </row>
    <row r="8813" spans="5:5" x14ac:dyDescent="0.25">
      <c r="E8813"/>
    </row>
    <row r="8814" spans="5:5" x14ac:dyDescent="0.25">
      <c r="E8814"/>
    </row>
    <row r="8815" spans="5:5" x14ac:dyDescent="0.25">
      <c r="E8815"/>
    </row>
    <row r="8816" spans="5:5" x14ac:dyDescent="0.25">
      <c r="E8816"/>
    </row>
    <row r="8817" spans="5:5" x14ac:dyDescent="0.25">
      <c r="E8817"/>
    </row>
    <row r="8818" spans="5:5" x14ac:dyDescent="0.25">
      <c r="E8818"/>
    </row>
    <row r="8819" spans="5:5" x14ac:dyDescent="0.25">
      <c r="E8819"/>
    </row>
    <row r="8820" spans="5:5" x14ac:dyDescent="0.25">
      <c r="E8820"/>
    </row>
    <row r="8821" spans="5:5" x14ac:dyDescent="0.25">
      <c r="E8821"/>
    </row>
    <row r="8822" spans="5:5" x14ac:dyDescent="0.25">
      <c r="E8822"/>
    </row>
    <row r="8823" spans="5:5" x14ac:dyDescent="0.25">
      <c r="E8823"/>
    </row>
    <row r="8824" spans="5:5" x14ac:dyDescent="0.25">
      <c r="E8824"/>
    </row>
    <row r="8825" spans="5:5" x14ac:dyDescent="0.25">
      <c r="E8825"/>
    </row>
    <row r="8826" spans="5:5" x14ac:dyDescent="0.25">
      <c r="E8826"/>
    </row>
    <row r="8827" spans="5:5" x14ac:dyDescent="0.25">
      <c r="E8827"/>
    </row>
    <row r="8828" spans="5:5" x14ac:dyDescent="0.25">
      <c r="E8828"/>
    </row>
    <row r="8829" spans="5:5" x14ac:dyDescent="0.25">
      <c r="E8829"/>
    </row>
    <row r="8830" spans="5:5" x14ac:dyDescent="0.25">
      <c r="E8830"/>
    </row>
    <row r="8831" spans="5:5" x14ac:dyDescent="0.25">
      <c r="E8831"/>
    </row>
    <row r="8832" spans="5:5" x14ac:dyDescent="0.25">
      <c r="E8832"/>
    </row>
    <row r="8833" spans="5:5" x14ac:dyDescent="0.25">
      <c r="E8833"/>
    </row>
    <row r="8834" spans="5:5" x14ac:dyDescent="0.25">
      <c r="E8834"/>
    </row>
    <row r="8835" spans="5:5" x14ac:dyDescent="0.25">
      <c r="E8835"/>
    </row>
    <row r="8836" spans="5:5" x14ac:dyDescent="0.25">
      <c r="E8836"/>
    </row>
    <row r="8837" spans="5:5" x14ac:dyDescent="0.25">
      <c r="E8837"/>
    </row>
    <row r="8838" spans="5:5" x14ac:dyDescent="0.25">
      <c r="E8838"/>
    </row>
    <row r="8839" spans="5:5" x14ac:dyDescent="0.25">
      <c r="E8839"/>
    </row>
    <row r="8840" spans="5:5" x14ac:dyDescent="0.25">
      <c r="E8840"/>
    </row>
    <row r="8841" spans="5:5" x14ac:dyDescent="0.25">
      <c r="E8841"/>
    </row>
    <row r="8842" spans="5:5" x14ac:dyDescent="0.25">
      <c r="E8842"/>
    </row>
    <row r="8843" spans="5:5" x14ac:dyDescent="0.25">
      <c r="E8843"/>
    </row>
    <row r="8844" spans="5:5" x14ac:dyDescent="0.25">
      <c r="E8844"/>
    </row>
    <row r="8845" spans="5:5" x14ac:dyDescent="0.25">
      <c r="E8845"/>
    </row>
    <row r="8846" spans="5:5" x14ac:dyDescent="0.25">
      <c r="E8846"/>
    </row>
    <row r="8847" spans="5:5" x14ac:dyDescent="0.25">
      <c r="E8847"/>
    </row>
    <row r="8848" spans="5:5" x14ac:dyDescent="0.25">
      <c r="E8848"/>
    </row>
    <row r="8849" spans="5:5" x14ac:dyDescent="0.25">
      <c r="E8849"/>
    </row>
    <row r="8850" spans="5:5" x14ac:dyDescent="0.25">
      <c r="E8850"/>
    </row>
    <row r="8851" spans="5:5" x14ac:dyDescent="0.25">
      <c r="E8851"/>
    </row>
    <row r="8852" spans="5:5" x14ac:dyDescent="0.25">
      <c r="E8852"/>
    </row>
    <row r="8853" spans="5:5" x14ac:dyDescent="0.25">
      <c r="E8853"/>
    </row>
    <row r="8854" spans="5:5" x14ac:dyDescent="0.25">
      <c r="E8854"/>
    </row>
    <row r="8855" spans="5:5" x14ac:dyDescent="0.25">
      <c r="E8855"/>
    </row>
    <row r="8856" spans="5:5" x14ac:dyDescent="0.25">
      <c r="E8856"/>
    </row>
    <row r="8857" spans="5:5" x14ac:dyDescent="0.25">
      <c r="E8857"/>
    </row>
    <row r="8858" spans="5:5" x14ac:dyDescent="0.25">
      <c r="E8858"/>
    </row>
    <row r="8859" spans="5:5" x14ac:dyDescent="0.25">
      <c r="E8859"/>
    </row>
    <row r="8860" spans="5:5" x14ac:dyDescent="0.25">
      <c r="E8860"/>
    </row>
    <row r="8861" spans="5:5" x14ac:dyDescent="0.25">
      <c r="E8861"/>
    </row>
    <row r="8862" spans="5:5" x14ac:dyDescent="0.25">
      <c r="E8862"/>
    </row>
    <row r="8863" spans="5:5" x14ac:dyDescent="0.25">
      <c r="E8863"/>
    </row>
    <row r="8864" spans="5:5" x14ac:dyDescent="0.25">
      <c r="E8864"/>
    </row>
    <row r="8865" spans="5:5" x14ac:dyDescent="0.25">
      <c r="E8865"/>
    </row>
    <row r="8866" spans="5:5" x14ac:dyDescent="0.25">
      <c r="E8866"/>
    </row>
    <row r="8867" spans="5:5" x14ac:dyDescent="0.25">
      <c r="E8867"/>
    </row>
    <row r="8868" spans="5:5" x14ac:dyDescent="0.25">
      <c r="E8868"/>
    </row>
    <row r="8869" spans="5:5" x14ac:dyDescent="0.25">
      <c r="E8869"/>
    </row>
    <row r="8870" spans="5:5" x14ac:dyDescent="0.25">
      <c r="E8870"/>
    </row>
    <row r="8871" spans="5:5" x14ac:dyDescent="0.25">
      <c r="E8871"/>
    </row>
    <row r="8872" spans="5:5" x14ac:dyDescent="0.25">
      <c r="E8872"/>
    </row>
    <row r="8873" spans="5:5" x14ac:dyDescent="0.25">
      <c r="E8873"/>
    </row>
    <row r="8874" spans="5:5" x14ac:dyDescent="0.25">
      <c r="E8874"/>
    </row>
    <row r="8875" spans="5:5" x14ac:dyDescent="0.25">
      <c r="E8875"/>
    </row>
    <row r="8876" spans="5:5" x14ac:dyDescent="0.25">
      <c r="E8876"/>
    </row>
    <row r="8877" spans="5:5" x14ac:dyDescent="0.25">
      <c r="E8877"/>
    </row>
    <row r="8878" spans="5:5" x14ac:dyDescent="0.25">
      <c r="E8878"/>
    </row>
    <row r="8879" spans="5:5" x14ac:dyDescent="0.25">
      <c r="E8879"/>
    </row>
    <row r="8880" spans="5:5" x14ac:dyDescent="0.25">
      <c r="E8880"/>
    </row>
    <row r="8881" spans="5:5" x14ac:dyDescent="0.25">
      <c r="E8881"/>
    </row>
    <row r="8882" spans="5:5" x14ac:dyDescent="0.25">
      <c r="E8882"/>
    </row>
    <row r="8883" spans="5:5" x14ac:dyDescent="0.25">
      <c r="E8883"/>
    </row>
    <row r="8884" spans="5:5" x14ac:dyDescent="0.25">
      <c r="E8884"/>
    </row>
    <row r="8885" spans="5:5" x14ac:dyDescent="0.25">
      <c r="E8885"/>
    </row>
    <row r="8886" spans="5:5" x14ac:dyDescent="0.25">
      <c r="E8886"/>
    </row>
    <row r="8887" spans="5:5" x14ac:dyDescent="0.25">
      <c r="E8887"/>
    </row>
    <row r="8888" spans="5:5" x14ac:dyDescent="0.25">
      <c r="E8888"/>
    </row>
    <row r="8889" spans="5:5" x14ac:dyDescent="0.25">
      <c r="E8889"/>
    </row>
    <row r="8890" spans="5:5" x14ac:dyDescent="0.25">
      <c r="E8890"/>
    </row>
    <row r="8891" spans="5:5" x14ac:dyDescent="0.25">
      <c r="E8891"/>
    </row>
    <row r="8892" spans="5:5" x14ac:dyDescent="0.25">
      <c r="E8892"/>
    </row>
    <row r="8893" spans="5:5" x14ac:dyDescent="0.25">
      <c r="E8893"/>
    </row>
    <row r="8894" spans="5:5" x14ac:dyDescent="0.25">
      <c r="E8894"/>
    </row>
    <row r="8895" spans="5:5" x14ac:dyDescent="0.25">
      <c r="E8895"/>
    </row>
    <row r="8896" spans="5:5" x14ac:dyDescent="0.25">
      <c r="E8896"/>
    </row>
    <row r="8897" spans="5:5" x14ac:dyDescent="0.25">
      <c r="E8897"/>
    </row>
    <row r="8898" spans="5:5" x14ac:dyDescent="0.25">
      <c r="E8898"/>
    </row>
    <row r="8899" spans="5:5" x14ac:dyDescent="0.25">
      <c r="E8899"/>
    </row>
    <row r="8900" spans="5:5" x14ac:dyDescent="0.25">
      <c r="E8900"/>
    </row>
    <row r="8901" spans="5:5" x14ac:dyDescent="0.25">
      <c r="E8901"/>
    </row>
    <row r="8902" spans="5:5" x14ac:dyDescent="0.25">
      <c r="E8902"/>
    </row>
    <row r="8903" spans="5:5" x14ac:dyDescent="0.25">
      <c r="E8903"/>
    </row>
    <row r="8904" spans="5:5" x14ac:dyDescent="0.25">
      <c r="E8904"/>
    </row>
    <row r="8905" spans="5:5" x14ac:dyDescent="0.25">
      <c r="E8905"/>
    </row>
    <row r="8906" spans="5:5" x14ac:dyDescent="0.25">
      <c r="E8906"/>
    </row>
    <row r="8907" spans="5:5" x14ac:dyDescent="0.25">
      <c r="E8907"/>
    </row>
    <row r="8908" spans="5:5" x14ac:dyDescent="0.25">
      <c r="E8908"/>
    </row>
    <row r="8909" spans="5:5" x14ac:dyDescent="0.25">
      <c r="E8909"/>
    </row>
    <row r="8910" spans="5:5" x14ac:dyDescent="0.25">
      <c r="E8910"/>
    </row>
    <row r="8911" spans="5:5" x14ac:dyDescent="0.25">
      <c r="E8911"/>
    </row>
    <row r="8912" spans="5:5" x14ac:dyDescent="0.25">
      <c r="E8912"/>
    </row>
    <row r="8913" spans="5:5" x14ac:dyDescent="0.25">
      <c r="E8913"/>
    </row>
    <row r="8914" spans="5:5" x14ac:dyDescent="0.25">
      <c r="E8914"/>
    </row>
    <row r="8915" spans="5:5" x14ac:dyDescent="0.25">
      <c r="E8915"/>
    </row>
    <row r="8916" spans="5:5" x14ac:dyDescent="0.25">
      <c r="E8916"/>
    </row>
    <row r="8917" spans="5:5" x14ac:dyDescent="0.25">
      <c r="E8917"/>
    </row>
    <row r="8918" spans="5:5" x14ac:dyDescent="0.25">
      <c r="E8918"/>
    </row>
    <row r="8919" spans="5:5" x14ac:dyDescent="0.25">
      <c r="E8919"/>
    </row>
    <row r="8920" spans="5:5" x14ac:dyDescent="0.25">
      <c r="E8920"/>
    </row>
    <row r="8921" spans="5:5" x14ac:dyDescent="0.25">
      <c r="E8921"/>
    </row>
    <row r="8922" spans="5:5" x14ac:dyDescent="0.25">
      <c r="E8922"/>
    </row>
    <row r="8923" spans="5:5" x14ac:dyDescent="0.25">
      <c r="E8923"/>
    </row>
    <row r="8924" spans="5:5" x14ac:dyDescent="0.25">
      <c r="E8924"/>
    </row>
    <row r="8925" spans="5:5" x14ac:dyDescent="0.25">
      <c r="E8925"/>
    </row>
    <row r="8926" spans="5:5" x14ac:dyDescent="0.25">
      <c r="E8926"/>
    </row>
    <row r="8927" spans="5:5" x14ac:dyDescent="0.25">
      <c r="E8927"/>
    </row>
    <row r="8928" spans="5:5" x14ac:dyDescent="0.25">
      <c r="E8928"/>
    </row>
    <row r="8929" spans="5:5" x14ac:dyDescent="0.25">
      <c r="E8929"/>
    </row>
    <row r="8930" spans="5:5" x14ac:dyDescent="0.25">
      <c r="E8930"/>
    </row>
    <row r="8931" spans="5:5" x14ac:dyDescent="0.25">
      <c r="E8931"/>
    </row>
    <row r="8932" spans="5:5" x14ac:dyDescent="0.25">
      <c r="E8932"/>
    </row>
    <row r="8933" spans="5:5" x14ac:dyDescent="0.25">
      <c r="E8933"/>
    </row>
    <row r="8934" spans="5:5" x14ac:dyDescent="0.25">
      <c r="E8934"/>
    </row>
    <row r="8935" spans="5:5" x14ac:dyDescent="0.25">
      <c r="E8935"/>
    </row>
    <row r="8936" spans="5:5" x14ac:dyDescent="0.25">
      <c r="E8936"/>
    </row>
    <row r="8937" spans="5:5" x14ac:dyDescent="0.25">
      <c r="E8937"/>
    </row>
    <row r="8938" spans="5:5" x14ac:dyDescent="0.25">
      <c r="E8938"/>
    </row>
    <row r="8939" spans="5:5" x14ac:dyDescent="0.25">
      <c r="E8939"/>
    </row>
    <row r="8940" spans="5:5" x14ac:dyDescent="0.25">
      <c r="E8940"/>
    </row>
    <row r="8941" spans="5:5" x14ac:dyDescent="0.25">
      <c r="E8941"/>
    </row>
    <row r="8942" spans="5:5" x14ac:dyDescent="0.25">
      <c r="E8942"/>
    </row>
    <row r="8943" spans="5:5" x14ac:dyDescent="0.25">
      <c r="E8943"/>
    </row>
    <row r="8944" spans="5:5" x14ac:dyDescent="0.25">
      <c r="E8944"/>
    </row>
    <row r="8945" spans="5:5" x14ac:dyDescent="0.25">
      <c r="E8945"/>
    </row>
    <row r="8946" spans="5:5" x14ac:dyDescent="0.25">
      <c r="E8946"/>
    </row>
    <row r="8947" spans="5:5" x14ac:dyDescent="0.25">
      <c r="E8947"/>
    </row>
    <row r="8948" spans="5:5" x14ac:dyDescent="0.25">
      <c r="E8948"/>
    </row>
    <row r="8949" spans="5:5" x14ac:dyDescent="0.25">
      <c r="E8949"/>
    </row>
    <row r="8950" spans="5:5" x14ac:dyDescent="0.25">
      <c r="E8950"/>
    </row>
    <row r="8951" spans="5:5" x14ac:dyDescent="0.25">
      <c r="E8951"/>
    </row>
    <row r="8952" spans="5:5" x14ac:dyDescent="0.25">
      <c r="E8952"/>
    </row>
    <row r="8953" spans="5:5" x14ac:dyDescent="0.25">
      <c r="E8953"/>
    </row>
    <row r="8954" spans="5:5" x14ac:dyDescent="0.25">
      <c r="E8954"/>
    </row>
    <row r="8955" spans="5:5" x14ac:dyDescent="0.25">
      <c r="E8955"/>
    </row>
    <row r="8956" spans="5:5" x14ac:dyDescent="0.25">
      <c r="E8956"/>
    </row>
    <row r="8957" spans="5:5" x14ac:dyDescent="0.25">
      <c r="E8957"/>
    </row>
    <row r="8958" spans="5:5" x14ac:dyDescent="0.25">
      <c r="E8958"/>
    </row>
    <row r="8959" spans="5:5" x14ac:dyDescent="0.25">
      <c r="E8959"/>
    </row>
    <row r="8960" spans="5:5" x14ac:dyDescent="0.25">
      <c r="E8960"/>
    </row>
    <row r="8961" spans="5:5" x14ac:dyDescent="0.25">
      <c r="E8961"/>
    </row>
    <row r="8962" spans="5:5" x14ac:dyDescent="0.25">
      <c r="E8962"/>
    </row>
    <row r="8963" spans="5:5" x14ac:dyDescent="0.25">
      <c r="E8963"/>
    </row>
    <row r="8964" spans="5:5" x14ac:dyDescent="0.25">
      <c r="E8964"/>
    </row>
    <row r="8965" spans="5:5" x14ac:dyDescent="0.25">
      <c r="E8965"/>
    </row>
    <row r="8966" spans="5:5" x14ac:dyDescent="0.25">
      <c r="E8966"/>
    </row>
    <row r="8967" spans="5:5" x14ac:dyDescent="0.25">
      <c r="E8967"/>
    </row>
    <row r="8968" spans="5:5" x14ac:dyDescent="0.25">
      <c r="E8968"/>
    </row>
    <row r="8969" spans="5:5" x14ac:dyDescent="0.25">
      <c r="E8969"/>
    </row>
    <row r="8970" spans="5:5" x14ac:dyDescent="0.25">
      <c r="E8970"/>
    </row>
    <row r="8971" spans="5:5" x14ac:dyDescent="0.25">
      <c r="E8971"/>
    </row>
    <row r="8972" spans="5:5" x14ac:dyDescent="0.25">
      <c r="E8972"/>
    </row>
    <row r="8973" spans="5:5" x14ac:dyDescent="0.25">
      <c r="E8973"/>
    </row>
    <row r="8974" spans="5:5" x14ac:dyDescent="0.25">
      <c r="E8974"/>
    </row>
    <row r="8975" spans="5:5" x14ac:dyDescent="0.25">
      <c r="E8975"/>
    </row>
    <row r="8976" spans="5:5" x14ac:dyDescent="0.25">
      <c r="E8976"/>
    </row>
    <row r="8977" spans="5:5" x14ac:dyDescent="0.25">
      <c r="E8977"/>
    </row>
    <row r="8978" spans="5:5" x14ac:dyDescent="0.25">
      <c r="E8978"/>
    </row>
    <row r="8979" spans="5:5" x14ac:dyDescent="0.25">
      <c r="E8979"/>
    </row>
    <row r="8980" spans="5:5" x14ac:dyDescent="0.25">
      <c r="E8980"/>
    </row>
    <row r="8981" spans="5:5" x14ac:dyDescent="0.25">
      <c r="E8981"/>
    </row>
    <row r="8982" spans="5:5" x14ac:dyDescent="0.25">
      <c r="E8982"/>
    </row>
    <row r="8983" spans="5:5" x14ac:dyDescent="0.25">
      <c r="E8983"/>
    </row>
    <row r="8984" spans="5:5" x14ac:dyDescent="0.25">
      <c r="E8984"/>
    </row>
    <row r="8985" spans="5:5" x14ac:dyDescent="0.25">
      <c r="E8985"/>
    </row>
    <row r="8986" spans="5:5" x14ac:dyDescent="0.25">
      <c r="E8986"/>
    </row>
    <row r="8987" spans="5:5" x14ac:dyDescent="0.25">
      <c r="E8987"/>
    </row>
    <row r="8988" spans="5:5" x14ac:dyDescent="0.25">
      <c r="E8988"/>
    </row>
    <row r="8989" spans="5:5" x14ac:dyDescent="0.25">
      <c r="E8989"/>
    </row>
    <row r="8990" spans="5:5" x14ac:dyDescent="0.25">
      <c r="E8990"/>
    </row>
    <row r="8991" spans="5:5" x14ac:dyDescent="0.25">
      <c r="E8991"/>
    </row>
    <row r="8992" spans="5:5" x14ac:dyDescent="0.25">
      <c r="E8992"/>
    </row>
    <row r="8993" spans="5:5" x14ac:dyDescent="0.25">
      <c r="E8993"/>
    </row>
    <row r="8994" spans="5:5" x14ac:dyDescent="0.25">
      <c r="E8994"/>
    </row>
    <row r="8995" spans="5:5" x14ac:dyDescent="0.25">
      <c r="E8995"/>
    </row>
    <row r="8996" spans="5:5" x14ac:dyDescent="0.25">
      <c r="E8996"/>
    </row>
    <row r="8997" spans="5:5" x14ac:dyDescent="0.25">
      <c r="E8997"/>
    </row>
    <row r="8998" spans="5:5" x14ac:dyDescent="0.25">
      <c r="E8998"/>
    </row>
    <row r="8999" spans="5:5" x14ac:dyDescent="0.25">
      <c r="E8999"/>
    </row>
    <row r="9000" spans="5:5" x14ac:dyDescent="0.25">
      <c r="E9000"/>
    </row>
    <row r="9001" spans="5:5" x14ac:dyDescent="0.25">
      <c r="E9001"/>
    </row>
    <row r="9002" spans="5:5" x14ac:dyDescent="0.25">
      <c r="E9002"/>
    </row>
    <row r="9003" spans="5:5" x14ac:dyDescent="0.25">
      <c r="E9003"/>
    </row>
    <row r="9004" spans="5:5" x14ac:dyDescent="0.25">
      <c r="E9004"/>
    </row>
    <row r="9005" spans="5:5" x14ac:dyDescent="0.25">
      <c r="E9005"/>
    </row>
    <row r="9006" spans="5:5" x14ac:dyDescent="0.25">
      <c r="E9006"/>
    </row>
    <row r="9007" spans="5:5" x14ac:dyDescent="0.25">
      <c r="E9007"/>
    </row>
    <row r="9008" spans="5:5" x14ac:dyDescent="0.25">
      <c r="E9008"/>
    </row>
    <row r="9009" spans="5:5" x14ac:dyDescent="0.25">
      <c r="E9009"/>
    </row>
    <row r="9010" spans="5:5" x14ac:dyDescent="0.25">
      <c r="E9010"/>
    </row>
    <row r="9011" spans="5:5" x14ac:dyDescent="0.25">
      <c r="E9011"/>
    </row>
    <row r="9012" spans="5:5" x14ac:dyDescent="0.25">
      <c r="E9012"/>
    </row>
    <row r="9013" spans="5:5" x14ac:dyDescent="0.25">
      <c r="E9013"/>
    </row>
    <row r="9014" spans="5:5" x14ac:dyDescent="0.25">
      <c r="E9014"/>
    </row>
    <row r="9015" spans="5:5" x14ac:dyDescent="0.25">
      <c r="E9015"/>
    </row>
    <row r="9016" spans="5:5" x14ac:dyDescent="0.25">
      <c r="E9016"/>
    </row>
    <row r="9017" spans="5:5" x14ac:dyDescent="0.25">
      <c r="E9017"/>
    </row>
    <row r="9018" spans="5:5" x14ac:dyDescent="0.25">
      <c r="E9018"/>
    </row>
    <row r="9019" spans="5:5" x14ac:dyDescent="0.25">
      <c r="E9019"/>
    </row>
    <row r="9020" spans="5:5" x14ac:dyDescent="0.25">
      <c r="E9020"/>
    </row>
    <row r="9021" spans="5:5" x14ac:dyDescent="0.25">
      <c r="E9021"/>
    </row>
    <row r="9022" spans="5:5" x14ac:dyDescent="0.25">
      <c r="E9022"/>
    </row>
    <row r="9023" spans="5:5" x14ac:dyDescent="0.25">
      <c r="E9023"/>
    </row>
    <row r="9024" spans="5:5" x14ac:dyDescent="0.25">
      <c r="E9024"/>
    </row>
    <row r="9025" spans="5:5" x14ac:dyDescent="0.25">
      <c r="E9025"/>
    </row>
    <row r="9026" spans="5:5" x14ac:dyDescent="0.25">
      <c r="E9026"/>
    </row>
    <row r="9027" spans="5:5" x14ac:dyDescent="0.25">
      <c r="E9027"/>
    </row>
    <row r="9028" spans="5:5" x14ac:dyDescent="0.25">
      <c r="E9028"/>
    </row>
    <row r="9029" spans="5:5" x14ac:dyDescent="0.25">
      <c r="E9029"/>
    </row>
    <row r="9030" spans="5:5" x14ac:dyDescent="0.25">
      <c r="E9030"/>
    </row>
    <row r="9031" spans="5:5" x14ac:dyDescent="0.25">
      <c r="E9031"/>
    </row>
    <row r="9032" spans="5:5" x14ac:dyDescent="0.25">
      <c r="E9032"/>
    </row>
    <row r="9033" spans="5:5" x14ac:dyDescent="0.25">
      <c r="E9033"/>
    </row>
    <row r="9034" spans="5:5" x14ac:dyDescent="0.25">
      <c r="E9034"/>
    </row>
    <row r="9035" spans="5:5" x14ac:dyDescent="0.25">
      <c r="E9035"/>
    </row>
    <row r="9036" spans="5:5" x14ac:dyDescent="0.25">
      <c r="E9036"/>
    </row>
    <row r="9037" spans="5:5" x14ac:dyDescent="0.25">
      <c r="E9037"/>
    </row>
    <row r="9038" spans="5:5" x14ac:dyDescent="0.25">
      <c r="E9038"/>
    </row>
    <row r="9039" spans="5:5" x14ac:dyDescent="0.25">
      <c r="E9039"/>
    </row>
    <row r="9040" spans="5:5" x14ac:dyDescent="0.25">
      <c r="E9040"/>
    </row>
    <row r="9041" spans="5:5" x14ac:dyDescent="0.25">
      <c r="E9041"/>
    </row>
    <row r="9042" spans="5:5" x14ac:dyDescent="0.25">
      <c r="E9042"/>
    </row>
    <row r="9043" spans="5:5" x14ac:dyDescent="0.25">
      <c r="E9043"/>
    </row>
    <row r="9044" spans="5:5" x14ac:dyDescent="0.25">
      <c r="E9044"/>
    </row>
    <row r="9045" spans="5:5" x14ac:dyDescent="0.25">
      <c r="E9045"/>
    </row>
    <row r="9046" spans="5:5" x14ac:dyDescent="0.25">
      <c r="E9046"/>
    </row>
    <row r="9047" spans="5:5" x14ac:dyDescent="0.25">
      <c r="E9047"/>
    </row>
    <row r="9048" spans="5:5" x14ac:dyDescent="0.25">
      <c r="E9048"/>
    </row>
    <row r="9049" spans="5:5" x14ac:dyDescent="0.25">
      <c r="E9049"/>
    </row>
    <row r="9050" spans="5:5" x14ac:dyDescent="0.25">
      <c r="E9050"/>
    </row>
    <row r="9051" spans="5:5" x14ac:dyDescent="0.25">
      <c r="E9051"/>
    </row>
    <row r="9052" spans="5:5" x14ac:dyDescent="0.25">
      <c r="E9052"/>
    </row>
    <row r="9053" spans="5:5" x14ac:dyDescent="0.25">
      <c r="E9053"/>
    </row>
    <row r="9054" spans="5:5" x14ac:dyDescent="0.25">
      <c r="E9054"/>
    </row>
    <row r="9055" spans="5:5" x14ac:dyDescent="0.25">
      <c r="E9055"/>
    </row>
    <row r="9056" spans="5:5" x14ac:dyDescent="0.25">
      <c r="E9056"/>
    </row>
    <row r="9057" spans="5:5" x14ac:dyDescent="0.25">
      <c r="E9057"/>
    </row>
    <row r="9058" spans="5:5" x14ac:dyDescent="0.25">
      <c r="E9058"/>
    </row>
    <row r="9059" spans="5:5" x14ac:dyDescent="0.25">
      <c r="E9059"/>
    </row>
    <row r="9060" spans="5:5" x14ac:dyDescent="0.25">
      <c r="E9060"/>
    </row>
    <row r="9061" spans="5:5" x14ac:dyDescent="0.25">
      <c r="E9061"/>
    </row>
    <row r="9062" spans="5:5" x14ac:dyDescent="0.25">
      <c r="E9062"/>
    </row>
    <row r="9063" spans="5:5" x14ac:dyDescent="0.25">
      <c r="E9063"/>
    </row>
    <row r="9064" spans="5:5" x14ac:dyDescent="0.25">
      <c r="E9064"/>
    </row>
    <row r="9065" spans="5:5" x14ac:dyDescent="0.25">
      <c r="E9065"/>
    </row>
    <row r="9066" spans="5:5" x14ac:dyDescent="0.25">
      <c r="E9066"/>
    </row>
    <row r="9067" spans="5:5" x14ac:dyDescent="0.25">
      <c r="E9067"/>
    </row>
    <row r="9068" spans="5:5" x14ac:dyDescent="0.25">
      <c r="E9068"/>
    </row>
    <row r="9069" spans="5:5" x14ac:dyDescent="0.25">
      <c r="E9069"/>
    </row>
    <row r="9070" spans="5:5" x14ac:dyDescent="0.25">
      <c r="E9070"/>
    </row>
    <row r="9071" spans="5:5" x14ac:dyDescent="0.25">
      <c r="E9071"/>
    </row>
    <row r="9072" spans="5:5" x14ac:dyDescent="0.25">
      <c r="E9072"/>
    </row>
    <row r="9073" spans="5:5" x14ac:dyDescent="0.25">
      <c r="E9073"/>
    </row>
    <row r="9074" spans="5:5" x14ac:dyDescent="0.25">
      <c r="E9074"/>
    </row>
    <row r="9075" spans="5:5" x14ac:dyDescent="0.25">
      <c r="E9075"/>
    </row>
    <row r="9076" spans="5:5" x14ac:dyDescent="0.25">
      <c r="E9076"/>
    </row>
    <row r="9077" spans="5:5" x14ac:dyDescent="0.25">
      <c r="E9077"/>
    </row>
    <row r="9078" spans="5:5" x14ac:dyDescent="0.25">
      <c r="E9078"/>
    </row>
    <row r="9079" spans="5:5" x14ac:dyDescent="0.25">
      <c r="E9079"/>
    </row>
    <row r="9080" spans="5:5" x14ac:dyDescent="0.25">
      <c r="E9080"/>
    </row>
    <row r="9081" spans="5:5" x14ac:dyDescent="0.25">
      <c r="E9081"/>
    </row>
    <row r="9082" spans="5:5" x14ac:dyDescent="0.25">
      <c r="E9082"/>
    </row>
    <row r="9083" spans="5:5" x14ac:dyDescent="0.25">
      <c r="E9083"/>
    </row>
    <row r="9084" spans="5:5" x14ac:dyDescent="0.25">
      <c r="E9084"/>
    </row>
    <row r="9085" spans="5:5" x14ac:dyDescent="0.25">
      <c r="E9085"/>
    </row>
    <row r="9086" spans="5:5" x14ac:dyDescent="0.25">
      <c r="E9086"/>
    </row>
    <row r="9087" spans="5:5" x14ac:dyDescent="0.25">
      <c r="E9087"/>
    </row>
    <row r="9088" spans="5:5" x14ac:dyDescent="0.25">
      <c r="E9088"/>
    </row>
    <row r="9089" spans="5:5" x14ac:dyDescent="0.25">
      <c r="E9089"/>
    </row>
    <row r="9090" spans="5:5" x14ac:dyDescent="0.25">
      <c r="E9090"/>
    </row>
    <row r="9091" spans="5:5" x14ac:dyDescent="0.25">
      <c r="E9091"/>
    </row>
    <row r="9092" spans="5:5" x14ac:dyDescent="0.25">
      <c r="E9092"/>
    </row>
    <row r="9093" spans="5:5" x14ac:dyDescent="0.25">
      <c r="E9093"/>
    </row>
    <row r="9094" spans="5:5" x14ac:dyDescent="0.25">
      <c r="E9094"/>
    </row>
    <row r="9095" spans="5:5" x14ac:dyDescent="0.25">
      <c r="E9095"/>
    </row>
    <row r="9096" spans="5:5" x14ac:dyDescent="0.25">
      <c r="E9096"/>
    </row>
    <row r="9097" spans="5:5" x14ac:dyDescent="0.25">
      <c r="E9097"/>
    </row>
    <row r="9098" spans="5:5" x14ac:dyDescent="0.25">
      <c r="E9098"/>
    </row>
    <row r="9099" spans="5:5" x14ac:dyDescent="0.25">
      <c r="E9099"/>
    </row>
    <row r="9100" spans="5:5" x14ac:dyDescent="0.25">
      <c r="E9100"/>
    </row>
    <row r="9101" spans="5:5" x14ac:dyDescent="0.25">
      <c r="E9101"/>
    </row>
    <row r="9102" spans="5:5" x14ac:dyDescent="0.25">
      <c r="E9102"/>
    </row>
    <row r="9103" spans="5:5" x14ac:dyDescent="0.25">
      <c r="E9103"/>
    </row>
    <row r="9104" spans="5:5" x14ac:dyDescent="0.25">
      <c r="E9104"/>
    </row>
    <row r="9105" spans="5:5" x14ac:dyDescent="0.25">
      <c r="E9105"/>
    </row>
    <row r="9106" spans="5:5" x14ac:dyDescent="0.25">
      <c r="E9106"/>
    </row>
    <row r="9107" spans="5:5" x14ac:dyDescent="0.25">
      <c r="E9107"/>
    </row>
    <row r="9108" spans="5:5" x14ac:dyDescent="0.25">
      <c r="E9108"/>
    </row>
    <row r="9109" spans="5:5" x14ac:dyDescent="0.25">
      <c r="E9109"/>
    </row>
    <row r="9110" spans="5:5" x14ac:dyDescent="0.25">
      <c r="E9110"/>
    </row>
    <row r="9111" spans="5:5" x14ac:dyDescent="0.25">
      <c r="E9111"/>
    </row>
    <row r="9112" spans="5:5" x14ac:dyDescent="0.25">
      <c r="E9112"/>
    </row>
    <row r="9113" spans="5:5" x14ac:dyDescent="0.25">
      <c r="E9113"/>
    </row>
    <row r="9114" spans="5:5" x14ac:dyDescent="0.25">
      <c r="E9114"/>
    </row>
    <row r="9115" spans="5:5" x14ac:dyDescent="0.25">
      <c r="E9115"/>
    </row>
    <row r="9116" spans="5:5" x14ac:dyDescent="0.25">
      <c r="E9116"/>
    </row>
    <row r="9117" spans="5:5" x14ac:dyDescent="0.25">
      <c r="E9117"/>
    </row>
    <row r="9118" spans="5:5" x14ac:dyDescent="0.25">
      <c r="E9118"/>
    </row>
    <row r="9119" spans="5:5" x14ac:dyDescent="0.25">
      <c r="E9119"/>
    </row>
    <row r="9120" spans="5:5" x14ac:dyDescent="0.25">
      <c r="E9120"/>
    </row>
    <row r="9121" spans="5:5" x14ac:dyDescent="0.25">
      <c r="E9121"/>
    </row>
    <row r="9122" spans="5:5" x14ac:dyDescent="0.25">
      <c r="E9122"/>
    </row>
    <row r="9123" spans="5:5" x14ac:dyDescent="0.25">
      <c r="E9123"/>
    </row>
    <row r="9124" spans="5:5" x14ac:dyDescent="0.25">
      <c r="E9124"/>
    </row>
    <row r="9125" spans="5:5" x14ac:dyDescent="0.25">
      <c r="E9125"/>
    </row>
    <row r="9126" spans="5:5" x14ac:dyDescent="0.25">
      <c r="E9126"/>
    </row>
    <row r="9127" spans="5:5" x14ac:dyDescent="0.25">
      <c r="E9127"/>
    </row>
    <row r="9128" spans="5:5" x14ac:dyDescent="0.25">
      <c r="E9128"/>
    </row>
    <row r="9129" spans="5:5" x14ac:dyDescent="0.25">
      <c r="E9129"/>
    </row>
    <row r="9130" spans="5:5" x14ac:dyDescent="0.25">
      <c r="E9130"/>
    </row>
    <row r="9131" spans="5:5" x14ac:dyDescent="0.25">
      <c r="E9131"/>
    </row>
    <row r="9132" spans="5:5" x14ac:dyDescent="0.25">
      <c r="E9132"/>
    </row>
    <row r="9133" spans="5:5" x14ac:dyDescent="0.25">
      <c r="E9133"/>
    </row>
    <row r="9134" spans="5:5" x14ac:dyDescent="0.25">
      <c r="E9134"/>
    </row>
    <row r="9135" spans="5:5" x14ac:dyDescent="0.25">
      <c r="E9135"/>
    </row>
    <row r="9136" spans="5:5" x14ac:dyDescent="0.25">
      <c r="E9136"/>
    </row>
    <row r="9137" spans="5:5" x14ac:dyDescent="0.25">
      <c r="E9137"/>
    </row>
    <row r="9138" spans="5:5" x14ac:dyDescent="0.25">
      <c r="E9138"/>
    </row>
    <row r="9139" spans="5:5" x14ac:dyDescent="0.25">
      <c r="E9139"/>
    </row>
    <row r="9140" spans="5:5" x14ac:dyDescent="0.25">
      <c r="E9140"/>
    </row>
    <row r="9141" spans="5:5" x14ac:dyDescent="0.25">
      <c r="E9141"/>
    </row>
    <row r="9142" spans="5:5" x14ac:dyDescent="0.25">
      <c r="E9142"/>
    </row>
    <row r="9143" spans="5:5" x14ac:dyDescent="0.25">
      <c r="E9143"/>
    </row>
    <row r="9144" spans="5:5" x14ac:dyDescent="0.25">
      <c r="E9144"/>
    </row>
    <row r="9145" spans="5:5" x14ac:dyDescent="0.25">
      <c r="E9145"/>
    </row>
    <row r="9146" spans="5:5" x14ac:dyDescent="0.25">
      <c r="E9146"/>
    </row>
    <row r="9147" spans="5:5" x14ac:dyDescent="0.25">
      <c r="E9147"/>
    </row>
    <row r="9148" spans="5:5" x14ac:dyDescent="0.25">
      <c r="E9148"/>
    </row>
    <row r="9149" spans="5:5" x14ac:dyDescent="0.25">
      <c r="E9149"/>
    </row>
    <row r="9150" spans="5:5" x14ac:dyDescent="0.25">
      <c r="E9150"/>
    </row>
    <row r="9151" spans="5:5" x14ac:dyDescent="0.25">
      <c r="E9151"/>
    </row>
    <row r="9152" spans="5:5" x14ac:dyDescent="0.25">
      <c r="E9152"/>
    </row>
    <row r="9153" spans="5:5" x14ac:dyDescent="0.25">
      <c r="E9153"/>
    </row>
    <row r="9154" spans="5:5" x14ac:dyDescent="0.25">
      <c r="E9154"/>
    </row>
    <row r="9155" spans="5:5" x14ac:dyDescent="0.25">
      <c r="E9155"/>
    </row>
    <row r="9156" spans="5:5" x14ac:dyDescent="0.25">
      <c r="E9156"/>
    </row>
    <row r="9157" spans="5:5" x14ac:dyDescent="0.25">
      <c r="E9157"/>
    </row>
    <row r="9158" spans="5:5" x14ac:dyDescent="0.25">
      <c r="E9158"/>
    </row>
    <row r="9159" spans="5:5" x14ac:dyDescent="0.25">
      <c r="E9159"/>
    </row>
    <row r="9160" spans="5:5" x14ac:dyDescent="0.25">
      <c r="E9160"/>
    </row>
    <row r="9161" spans="5:5" x14ac:dyDescent="0.25">
      <c r="E9161"/>
    </row>
    <row r="9162" spans="5:5" x14ac:dyDescent="0.25">
      <c r="E9162"/>
    </row>
    <row r="9163" spans="5:5" x14ac:dyDescent="0.25">
      <c r="E9163"/>
    </row>
    <row r="9164" spans="5:5" x14ac:dyDescent="0.25">
      <c r="E9164"/>
    </row>
    <row r="9165" spans="5:5" x14ac:dyDescent="0.25">
      <c r="E9165"/>
    </row>
    <row r="9166" spans="5:5" x14ac:dyDescent="0.25">
      <c r="E9166"/>
    </row>
    <row r="9167" spans="5:5" x14ac:dyDescent="0.25">
      <c r="E9167"/>
    </row>
    <row r="9168" spans="5:5" x14ac:dyDescent="0.25">
      <c r="E9168"/>
    </row>
    <row r="9169" spans="5:5" x14ac:dyDescent="0.25">
      <c r="E9169"/>
    </row>
    <row r="9170" spans="5:5" x14ac:dyDescent="0.25">
      <c r="E9170"/>
    </row>
    <row r="9171" spans="5:5" x14ac:dyDescent="0.25">
      <c r="E9171"/>
    </row>
    <row r="9172" spans="5:5" x14ac:dyDescent="0.25">
      <c r="E9172"/>
    </row>
    <row r="9173" spans="5:5" x14ac:dyDescent="0.25">
      <c r="E9173"/>
    </row>
    <row r="9174" spans="5:5" x14ac:dyDescent="0.25">
      <c r="E9174"/>
    </row>
    <row r="9175" spans="5:5" x14ac:dyDescent="0.25">
      <c r="E9175"/>
    </row>
    <row r="9176" spans="5:5" x14ac:dyDescent="0.25">
      <c r="E9176"/>
    </row>
    <row r="9177" spans="5:5" x14ac:dyDescent="0.25">
      <c r="E9177"/>
    </row>
    <row r="9178" spans="5:5" x14ac:dyDescent="0.25">
      <c r="E9178"/>
    </row>
    <row r="9179" spans="5:5" x14ac:dyDescent="0.25">
      <c r="E9179"/>
    </row>
    <row r="9180" spans="5:5" x14ac:dyDescent="0.25">
      <c r="E9180"/>
    </row>
    <row r="9181" spans="5:5" x14ac:dyDescent="0.25">
      <c r="E9181"/>
    </row>
    <row r="9182" spans="5:5" x14ac:dyDescent="0.25">
      <c r="E9182"/>
    </row>
    <row r="9183" spans="5:5" x14ac:dyDescent="0.25">
      <c r="E9183"/>
    </row>
    <row r="9184" spans="5:5" x14ac:dyDescent="0.25">
      <c r="E9184"/>
    </row>
    <row r="9185" spans="5:5" x14ac:dyDescent="0.25">
      <c r="E9185"/>
    </row>
    <row r="9186" spans="5:5" x14ac:dyDescent="0.25">
      <c r="E9186"/>
    </row>
    <row r="9187" spans="5:5" x14ac:dyDescent="0.25">
      <c r="E9187"/>
    </row>
    <row r="9188" spans="5:5" x14ac:dyDescent="0.25">
      <c r="E9188"/>
    </row>
    <row r="9189" spans="5:5" x14ac:dyDescent="0.25">
      <c r="E9189"/>
    </row>
    <row r="9190" spans="5:5" x14ac:dyDescent="0.25">
      <c r="E9190"/>
    </row>
    <row r="9191" spans="5:5" x14ac:dyDescent="0.25">
      <c r="E9191"/>
    </row>
    <row r="9192" spans="5:5" x14ac:dyDescent="0.25">
      <c r="E9192"/>
    </row>
    <row r="9193" spans="5:5" x14ac:dyDescent="0.25">
      <c r="E9193"/>
    </row>
    <row r="9194" spans="5:5" x14ac:dyDescent="0.25">
      <c r="E9194"/>
    </row>
    <row r="9195" spans="5:5" x14ac:dyDescent="0.25">
      <c r="E9195"/>
    </row>
    <row r="9196" spans="5:5" x14ac:dyDescent="0.25">
      <c r="E9196"/>
    </row>
    <row r="9197" spans="5:5" x14ac:dyDescent="0.25">
      <c r="E9197"/>
    </row>
    <row r="9198" spans="5:5" x14ac:dyDescent="0.25">
      <c r="E9198"/>
    </row>
    <row r="9199" spans="5:5" x14ac:dyDescent="0.25">
      <c r="E9199"/>
    </row>
    <row r="9200" spans="5:5" x14ac:dyDescent="0.25">
      <c r="E9200"/>
    </row>
    <row r="9201" spans="5:5" x14ac:dyDescent="0.25">
      <c r="E9201"/>
    </row>
    <row r="9202" spans="5:5" x14ac:dyDescent="0.25">
      <c r="E9202"/>
    </row>
    <row r="9203" spans="5:5" x14ac:dyDescent="0.25">
      <c r="E9203"/>
    </row>
    <row r="9204" spans="5:5" x14ac:dyDescent="0.25">
      <c r="E9204"/>
    </row>
    <row r="9205" spans="5:5" x14ac:dyDescent="0.25">
      <c r="E9205"/>
    </row>
    <row r="9206" spans="5:5" x14ac:dyDescent="0.25">
      <c r="E9206"/>
    </row>
    <row r="9207" spans="5:5" x14ac:dyDescent="0.25">
      <c r="E9207"/>
    </row>
    <row r="9208" spans="5:5" x14ac:dyDescent="0.25">
      <c r="E9208"/>
    </row>
    <row r="9209" spans="5:5" x14ac:dyDescent="0.25">
      <c r="E9209"/>
    </row>
    <row r="9210" spans="5:5" x14ac:dyDescent="0.25">
      <c r="E9210"/>
    </row>
    <row r="9211" spans="5:5" x14ac:dyDescent="0.25">
      <c r="E9211"/>
    </row>
    <row r="9212" spans="5:5" x14ac:dyDescent="0.25">
      <c r="E9212"/>
    </row>
    <row r="9213" spans="5:5" x14ac:dyDescent="0.25">
      <c r="E9213"/>
    </row>
    <row r="9214" spans="5:5" x14ac:dyDescent="0.25">
      <c r="E9214"/>
    </row>
    <row r="9215" spans="5:5" x14ac:dyDescent="0.25">
      <c r="E9215"/>
    </row>
    <row r="9216" spans="5:5" x14ac:dyDescent="0.25">
      <c r="E9216"/>
    </row>
    <row r="9217" spans="5:5" x14ac:dyDescent="0.25">
      <c r="E9217"/>
    </row>
    <row r="9218" spans="5:5" x14ac:dyDescent="0.25">
      <c r="E9218"/>
    </row>
    <row r="9219" spans="5:5" x14ac:dyDescent="0.25">
      <c r="E9219"/>
    </row>
    <row r="9220" spans="5:5" x14ac:dyDescent="0.25">
      <c r="E9220"/>
    </row>
    <row r="9221" spans="5:5" x14ac:dyDescent="0.25">
      <c r="E9221"/>
    </row>
    <row r="9222" spans="5:5" x14ac:dyDescent="0.25">
      <c r="E9222"/>
    </row>
    <row r="9223" spans="5:5" x14ac:dyDescent="0.25">
      <c r="E9223"/>
    </row>
    <row r="9224" spans="5:5" x14ac:dyDescent="0.25">
      <c r="E9224"/>
    </row>
    <row r="9225" spans="5:5" x14ac:dyDescent="0.25">
      <c r="E9225"/>
    </row>
    <row r="9226" spans="5:5" x14ac:dyDescent="0.25">
      <c r="E9226"/>
    </row>
    <row r="9227" spans="5:5" x14ac:dyDescent="0.25">
      <c r="E9227"/>
    </row>
    <row r="9228" spans="5:5" x14ac:dyDescent="0.25">
      <c r="E9228"/>
    </row>
    <row r="9229" spans="5:5" x14ac:dyDescent="0.25">
      <c r="E9229"/>
    </row>
    <row r="9230" spans="5:5" x14ac:dyDescent="0.25">
      <c r="E9230"/>
    </row>
    <row r="9231" spans="5:5" x14ac:dyDescent="0.25">
      <c r="E9231"/>
    </row>
    <row r="9232" spans="5:5" x14ac:dyDescent="0.25">
      <c r="E9232"/>
    </row>
    <row r="9233" spans="5:5" x14ac:dyDescent="0.25">
      <c r="E9233"/>
    </row>
    <row r="9234" spans="5:5" x14ac:dyDescent="0.25">
      <c r="E9234"/>
    </row>
    <row r="9235" spans="5:5" x14ac:dyDescent="0.25">
      <c r="E9235"/>
    </row>
    <row r="9236" spans="5:5" x14ac:dyDescent="0.25">
      <c r="E9236"/>
    </row>
    <row r="9237" spans="5:5" x14ac:dyDescent="0.25">
      <c r="E9237"/>
    </row>
    <row r="9238" spans="5:5" x14ac:dyDescent="0.25">
      <c r="E9238"/>
    </row>
    <row r="9239" spans="5:5" x14ac:dyDescent="0.25">
      <c r="E9239"/>
    </row>
    <row r="9240" spans="5:5" x14ac:dyDescent="0.25">
      <c r="E9240"/>
    </row>
    <row r="9241" spans="5:5" x14ac:dyDescent="0.25">
      <c r="E9241"/>
    </row>
    <row r="9242" spans="5:5" x14ac:dyDescent="0.25">
      <c r="E9242"/>
    </row>
    <row r="9243" spans="5:5" x14ac:dyDescent="0.25">
      <c r="E9243"/>
    </row>
    <row r="9244" spans="5:5" x14ac:dyDescent="0.25">
      <c r="E9244"/>
    </row>
    <row r="9245" spans="5:5" x14ac:dyDescent="0.25">
      <c r="E9245"/>
    </row>
    <row r="9246" spans="5:5" x14ac:dyDescent="0.25">
      <c r="E9246"/>
    </row>
    <row r="9247" spans="5:5" x14ac:dyDescent="0.25">
      <c r="E9247"/>
    </row>
    <row r="9248" spans="5:5" x14ac:dyDescent="0.25">
      <c r="E9248"/>
    </row>
    <row r="9249" spans="5:5" x14ac:dyDescent="0.25">
      <c r="E9249"/>
    </row>
    <row r="9250" spans="5:5" x14ac:dyDescent="0.25">
      <c r="E9250"/>
    </row>
    <row r="9251" spans="5:5" x14ac:dyDescent="0.25">
      <c r="E9251"/>
    </row>
    <row r="9252" spans="5:5" x14ac:dyDescent="0.25">
      <c r="E9252"/>
    </row>
    <row r="9253" spans="5:5" x14ac:dyDescent="0.25">
      <c r="E9253"/>
    </row>
    <row r="9254" spans="5:5" x14ac:dyDescent="0.25">
      <c r="E9254"/>
    </row>
    <row r="9255" spans="5:5" x14ac:dyDescent="0.25">
      <c r="E9255"/>
    </row>
    <row r="9256" spans="5:5" x14ac:dyDescent="0.25">
      <c r="E9256"/>
    </row>
    <row r="9257" spans="5:5" x14ac:dyDescent="0.25">
      <c r="E9257"/>
    </row>
    <row r="9258" spans="5:5" x14ac:dyDescent="0.25">
      <c r="E9258"/>
    </row>
    <row r="9259" spans="5:5" x14ac:dyDescent="0.25">
      <c r="E9259"/>
    </row>
    <row r="9260" spans="5:5" x14ac:dyDescent="0.25">
      <c r="E9260"/>
    </row>
    <row r="9261" spans="5:5" x14ac:dyDescent="0.25">
      <c r="E9261"/>
    </row>
    <row r="9262" spans="5:5" x14ac:dyDescent="0.25">
      <c r="E9262"/>
    </row>
    <row r="9263" spans="5:5" x14ac:dyDescent="0.25">
      <c r="E9263"/>
    </row>
    <row r="9264" spans="5:5" x14ac:dyDescent="0.25">
      <c r="E9264"/>
    </row>
    <row r="9265" spans="5:5" x14ac:dyDescent="0.25">
      <c r="E9265"/>
    </row>
    <row r="9266" spans="5:5" x14ac:dyDescent="0.25">
      <c r="E9266"/>
    </row>
    <row r="9267" spans="5:5" x14ac:dyDescent="0.25">
      <c r="E9267"/>
    </row>
    <row r="9268" spans="5:5" x14ac:dyDescent="0.25">
      <c r="E9268"/>
    </row>
    <row r="9269" spans="5:5" x14ac:dyDescent="0.25">
      <c r="E9269"/>
    </row>
    <row r="9270" spans="5:5" x14ac:dyDescent="0.25">
      <c r="E9270"/>
    </row>
    <row r="9271" spans="5:5" x14ac:dyDescent="0.25">
      <c r="E9271"/>
    </row>
    <row r="9272" spans="5:5" x14ac:dyDescent="0.25">
      <c r="E9272"/>
    </row>
    <row r="9273" spans="5:5" x14ac:dyDescent="0.25">
      <c r="E9273"/>
    </row>
    <row r="9274" spans="5:5" x14ac:dyDescent="0.25">
      <c r="E9274"/>
    </row>
    <row r="9275" spans="5:5" x14ac:dyDescent="0.25">
      <c r="E9275"/>
    </row>
    <row r="9276" spans="5:5" x14ac:dyDescent="0.25">
      <c r="E9276"/>
    </row>
    <row r="9277" spans="5:5" x14ac:dyDescent="0.25">
      <c r="E9277"/>
    </row>
    <row r="9278" spans="5:5" x14ac:dyDescent="0.25">
      <c r="E9278"/>
    </row>
    <row r="9279" spans="5:5" x14ac:dyDescent="0.25">
      <c r="E9279"/>
    </row>
    <row r="9280" spans="5:5" x14ac:dyDescent="0.25">
      <c r="E9280"/>
    </row>
    <row r="9281" spans="5:5" x14ac:dyDescent="0.25">
      <c r="E9281"/>
    </row>
    <row r="9282" spans="5:5" x14ac:dyDescent="0.25">
      <c r="E9282"/>
    </row>
    <row r="9283" spans="5:5" x14ac:dyDescent="0.25">
      <c r="E9283"/>
    </row>
    <row r="9284" spans="5:5" x14ac:dyDescent="0.25">
      <c r="E9284"/>
    </row>
    <row r="9285" spans="5:5" x14ac:dyDescent="0.25">
      <c r="E9285"/>
    </row>
    <row r="9286" spans="5:5" x14ac:dyDescent="0.25">
      <c r="E9286"/>
    </row>
    <row r="9287" spans="5:5" x14ac:dyDescent="0.25">
      <c r="E9287"/>
    </row>
    <row r="9288" spans="5:5" x14ac:dyDescent="0.25">
      <c r="E9288"/>
    </row>
    <row r="9289" spans="5:5" x14ac:dyDescent="0.25">
      <c r="E9289"/>
    </row>
    <row r="9290" spans="5:5" x14ac:dyDescent="0.25">
      <c r="E9290"/>
    </row>
    <row r="9291" spans="5:5" x14ac:dyDescent="0.25">
      <c r="E9291"/>
    </row>
    <row r="9292" spans="5:5" x14ac:dyDescent="0.25">
      <c r="E9292"/>
    </row>
    <row r="9293" spans="5:5" x14ac:dyDescent="0.25">
      <c r="E9293"/>
    </row>
    <row r="9294" spans="5:5" x14ac:dyDescent="0.25">
      <c r="E9294"/>
    </row>
    <row r="9295" spans="5:5" x14ac:dyDescent="0.25">
      <c r="E9295"/>
    </row>
    <row r="9296" spans="5:5" x14ac:dyDescent="0.25">
      <c r="E9296"/>
    </row>
    <row r="9297" spans="5:5" x14ac:dyDescent="0.25">
      <c r="E9297"/>
    </row>
    <row r="9298" spans="5:5" x14ac:dyDescent="0.25">
      <c r="E9298"/>
    </row>
    <row r="9299" spans="5:5" x14ac:dyDescent="0.25">
      <c r="E9299"/>
    </row>
    <row r="9300" spans="5:5" x14ac:dyDescent="0.25">
      <c r="E9300"/>
    </row>
    <row r="9301" spans="5:5" x14ac:dyDescent="0.25">
      <c r="E9301"/>
    </row>
    <row r="9302" spans="5:5" x14ac:dyDescent="0.25">
      <c r="E9302"/>
    </row>
    <row r="9303" spans="5:5" x14ac:dyDescent="0.25">
      <c r="E9303"/>
    </row>
    <row r="9304" spans="5:5" x14ac:dyDescent="0.25">
      <c r="E9304"/>
    </row>
    <row r="9305" spans="5:5" x14ac:dyDescent="0.25">
      <c r="E9305"/>
    </row>
    <row r="9306" spans="5:5" x14ac:dyDescent="0.25">
      <c r="E9306"/>
    </row>
    <row r="9307" spans="5:5" x14ac:dyDescent="0.25">
      <c r="E9307"/>
    </row>
    <row r="9308" spans="5:5" x14ac:dyDescent="0.25">
      <c r="E9308"/>
    </row>
    <row r="9309" spans="5:5" x14ac:dyDescent="0.25">
      <c r="E9309"/>
    </row>
    <row r="9310" spans="5:5" x14ac:dyDescent="0.25">
      <c r="E9310"/>
    </row>
    <row r="9311" spans="5:5" x14ac:dyDescent="0.25">
      <c r="E9311"/>
    </row>
    <row r="9312" spans="5:5" x14ac:dyDescent="0.25">
      <c r="E9312"/>
    </row>
    <row r="9313" spans="5:5" x14ac:dyDescent="0.25">
      <c r="E9313"/>
    </row>
    <row r="9314" spans="5:5" x14ac:dyDescent="0.25">
      <c r="E9314"/>
    </row>
    <row r="9315" spans="5:5" x14ac:dyDescent="0.25">
      <c r="E9315"/>
    </row>
    <row r="9316" spans="5:5" x14ac:dyDescent="0.25">
      <c r="E9316"/>
    </row>
    <row r="9317" spans="5:5" x14ac:dyDescent="0.25">
      <c r="E9317"/>
    </row>
    <row r="9318" spans="5:5" x14ac:dyDescent="0.25">
      <c r="E9318"/>
    </row>
    <row r="9319" spans="5:5" x14ac:dyDescent="0.25">
      <c r="E9319"/>
    </row>
    <row r="9320" spans="5:5" x14ac:dyDescent="0.25">
      <c r="E9320"/>
    </row>
    <row r="9321" spans="5:5" x14ac:dyDescent="0.25">
      <c r="E9321"/>
    </row>
    <row r="9322" spans="5:5" x14ac:dyDescent="0.25">
      <c r="E9322"/>
    </row>
    <row r="9323" spans="5:5" x14ac:dyDescent="0.25">
      <c r="E9323"/>
    </row>
    <row r="9324" spans="5:5" x14ac:dyDescent="0.25">
      <c r="E9324"/>
    </row>
    <row r="9325" spans="5:5" x14ac:dyDescent="0.25">
      <c r="E9325"/>
    </row>
    <row r="9326" spans="5:5" x14ac:dyDescent="0.25">
      <c r="E9326"/>
    </row>
    <row r="9327" spans="5:5" x14ac:dyDescent="0.25">
      <c r="E9327"/>
    </row>
    <row r="9328" spans="5:5" x14ac:dyDescent="0.25">
      <c r="E9328"/>
    </row>
    <row r="9329" spans="5:5" x14ac:dyDescent="0.25">
      <c r="E9329"/>
    </row>
    <row r="9330" spans="5:5" x14ac:dyDescent="0.25">
      <c r="E9330"/>
    </row>
    <row r="9331" spans="5:5" x14ac:dyDescent="0.25">
      <c r="E9331"/>
    </row>
    <row r="9332" spans="5:5" x14ac:dyDescent="0.25">
      <c r="E9332"/>
    </row>
    <row r="9333" spans="5:5" x14ac:dyDescent="0.25">
      <c r="E9333"/>
    </row>
    <row r="9334" spans="5:5" x14ac:dyDescent="0.25">
      <c r="E9334"/>
    </row>
    <row r="9335" spans="5:5" x14ac:dyDescent="0.25">
      <c r="E9335"/>
    </row>
    <row r="9336" spans="5:5" x14ac:dyDescent="0.25">
      <c r="E9336"/>
    </row>
    <row r="9337" spans="5:5" x14ac:dyDescent="0.25">
      <c r="E9337"/>
    </row>
    <row r="9338" spans="5:5" x14ac:dyDescent="0.25">
      <c r="E9338"/>
    </row>
    <row r="9339" spans="5:5" x14ac:dyDescent="0.25">
      <c r="E9339"/>
    </row>
    <row r="9340" spans="5:5" x14ac:dyDescent="0.25">
      <c r="E9340"/>
    </row>
    <row r="9341" spans="5:5" x14ac:dyDescent="0.25">
      <c r="E9341"/>
    </row>
    <row r="9342" spans="5:5" x14ac:dyDescent="0.25">
      <c r="E9342"/>
    </row>
    <row r="9343" spans="5:5" x14ac:dyDescent="0.25">
      <c r="E9343"/>
    </row>
    <row r="9344" spans="5:5" x14ac:dyDescent="0.25">
      <c r="E9344"/>
    </row>
    <row r="9345" spans="5:5" x14ac:dyDescent="0.25">
      <c r="E9345"/>
    </row>
    <row r="9346" spans="5:5" x14ac:dyDescent="0.25">
      <c r="E9346"/>
    </row>
    <row r="9347" spans="5:5" x14ac:dyDescent="0.25">
      <c r="E9347"/>
    </row>
    <row r="9348" spans="5:5" x14ac:dyDescent="0.25">
      <c r="E9348"/>
    </row>
    <row r="9349" spans="5:5" x14ac:dyDescent="0.25">
      <c r="E9349"/>
    </row>
    <row r="9350" spans="5:5" x14ac:dyDescent="0.25">
      <c r="E9350"/>
    </row>
    <row r="9351" spans="5:5" x14ac:dyDescent="0.25">
      <c r="E9351"/>
    </row>
    <row r="9352" spans="5:5" x14ac:dyDescent="0.25">
      <c r="E9352"/>
    </row>
    <row r="9353" spans="5:5" x14ac:dyDescent="0.25">
      <c r="E9353"/>
    </row>
    <row r="9354" spans="5:5" x14ac:dyDescent="0.25">
      <c r="E9354"/>
    </row>
    <row r="9355" spans="5:5" x14ac:dyDescent="0.25">
      <c r="E9355"/>
    </row>
    <row r="9356" spans="5:5" x14ac:dyDescent="0.25">
      <c r="E9356"/>
    </row>
    <row r="9357" spans="5:5" x14ac:dyDescent="0.25">
      <c r="E9357"/>
    </row>
    <row r="9358" spans="5:5" x14ac:dyDescent="0.25">
      <c r="E9358"/>
    </row>
    <row r="9359" spans="5:5" x14ac:dyDescent="0.25">
      <c r="E9359"/>
    </row>
    <row r="9360" spans="5:5" x14ac:dyDescent="0.25">
      <c r="E9360"/>
    </row>
    <row r="9361" spans="5:5" x14ac:dyDescent="0.25">
      <c r="E9361"/>
    </row>
    <row r="9362" spans="5:5" x14ac:dyDescent="0.25">
      <c r="E9362"/>
    </row>
    <row r="9363" spans="5:5" x14ac:dyDescent="0.25">
      <c r="E9363"/>
    </row>
    <row r="9364" spans="5:5" x14ac:dyDescent="0.25">
      <c r="E9364"/>
    </row>
    <row r="9365" spans="5:5" x14ac:dyDescent="0.25">
      <c r="E9365"/>
    </row>
    <row r="9366" spans="5:5" x14ac:dyDescent="0.25">
      <c r="E9366"/>
    </row>
    <row r="9367" spans="5:5" x14ac:dyDescent="0.25">
      <c r="E9367"/>
    </row>
    <row r="9368" spans="5:5" x14ac:dyDescent="0.25">
      <c r="E9368"/>
    </row>
    <row r="9369" spans="5:5" x14ac:dyDescent="0.25">
      <c r="E9369"/>
    </row>
    <row r="9370" spans="5:5" x14ac:dyDescent="0.25">
      <c r="E9370"/>
    </row>
    <row r="9371" spans="5:5" x14ac:dyDescent="0.25">
      <c r="E9371"/>
    </row>
    <row r="9372" spans="5:5" x14ac:dyDescent="0.25">
      <c r="E9372"/>
    </row>
    <row r="9373" spans="5:5" x14ac:dyDescent="0.25">
      <c r="E9373"/>
    </row>
    <row r="9374" spans="5:5" x14ac:dyDescent="0.25">
      <c r="E9374"/>
    </row>
    <row r="9375" spans="5:5" x14ac:dyDescent="0.25">
      <c r="E9375"/>
    </row>
    <row r="9376" spans="5:5" x14ac:dyDescent="0.25">
      <c r="E9376"/>
    </row>
    <row r="9377" spans="5:5" x14ac:dyDescent="0.25">
      <c r="E9377"/>
    </row>
    <row r="9378" spans="5:5" x14ac:dyDescent="0.25">
      <c r="E9378"/>
    </row>
    <row r="9379" spans="5:5" x14ac:dyDescent="0.25">
      <c r="E9379"/>
    </row>
    <row r="9380" spans="5:5" x14ac:dyDescent="0.25">
      <c r="E9380"/>
    </row>
    <row r="9381" spans="5:5" x14ac:dyDescent="0.25">
      <c r="E9381"/>
    </row>
    <row r="9382" spans="5:5" x14ac:dyDescent="0.25">
      <c r="E9382"/>
    </row>
    <row r="9383" spans="5:5" x14ac:dyDescent="0.25">
      <c r="E9383"/>
    </row>
    <row r="9384" spans="5:5" x14ac:dyDescent="0.25">
      <c r="E9384"/>
    </row>
    <row r="9385" spans="5:5" x14ac:dyDescent="0.25">
      <c r="E9385"/>
    </row>
    <row r="9386" spans="5:5" x14ac:dyDescent="0.25">
      <c r="E9386"/>
    </row>
    <row r="9387" spans="5:5" x14ac:dyDescent="0.25">
      <c r="E9387"/>
    </row>
    <row r="9388" spans="5:5" x14ac:dyDescent="0.25">
      <c r="E9388"/>
    </row>
    <row r="9389" spans="5:5" x14ac:dyDescent="0.25">
      <c r="E9389"/>
    </row>
    <row r="9390" spans="5:5" x14ac:dyDescent="0.25">
      <c r="E9390"/>
    </row>
    <row r="9391" spans="5:5" x14ac:dyDescent="0.25">
      <c r="E9391"/>
    </row>
    <row r="9392" spans="5:5" x14ac:dyDescent="0.25">
      <c r="E9392"/>
    </row>
    <row r="9393" spans="5:5" x14ac:dyDescent="0.25">
      <c r="E9393"/>
    </row>
    <row r="9394" spans="5:5" x14ac:dyDescent="0.25">
      <c r="E9394"/>
    </row>
    <row r="9395" spans="5:5" x14ac:dyDescent="0.25">
      <c r="E9395"/>
    </row>
    <row r="9396" spans="5:5" x14ac:dyDescent="0.25">
      <c r="E9396"/>
    </row>
    <row r="9397" spans="5:5" x14ac:dyDescent="0.25">
      <c r="E9397"/>
    </row>
    <row r="9398" spans="5:5" x14ac:dyDescent="0.25">
      <c r="E9398"/>
    </row>
    <row r="9399" spans="5:5" x14ac:dyDescent="0.25">
      <c r="E9399"/>
    </row>
    <row r="9400" spans="5:5" x14ac:dyDescent="0.25">
      <c r="E9400"/>
    </row>
    <row r="9401" spans="5:5" x14ac:dyDescent="0.25">
      <c r="E9401"/>
    </row>
    <row r="9402" spans="5:5" x14ac:dyDescent="0.25">
      <c r="E9402"/>
    </row>
    <row r="9403" spans="5:5" x14ac:dyDescent="0.25">
      <c r="E9403"/>
    </row>
    <row r="9404" spans="5:5" x14ac:dyDescent="0.25">
      <c r="E9404"/>
    </row>
    <row r="9405" spans="5:5" x14ac:dyDescent="0.25">
      <c r="E9405"/>
    </row>
    <row r="9406" spans="5:5" x14ac:dyDescent="0.25">
      <c r="E9406"/>
    </row>
    <row r="9407" spans="5:5" x14ac:dyDescent="0.25">
      <c r="E9407"/>
    </row>
    <row r="9408" spans="5:5" x14ac:dyDescent="0.25">
      <c r="E9408"/>
    </row>
    <row r="9409" spans="5:5" x14ac:dyDescent="0.25">
      <c r="E9409"/>
    </row>
    <row r="9410" spans="5:5" x14ac:dyDescent="0.25">
      <c r="E9410"/>
    </row>
    <row r="9411" spans="5:5" x14ac:dyDescent="0.25">
      <c r="E9411"/>
    </row>
    <row r="9412" spans="5:5" x14ac:dyDescent="0.25">
      <c r="E9412"/>
    </row>
    <row r="9413" spans="5:5" x14ac:dyDescent="0.25">
      <c r="E9413"/>
    </row>
    <row r="9414" spans="5:5" x14ac:dyDescent="0.25">
      <c r="E9414"/>
    </row>
    <row r="9415" spans="5:5" x14ac:dyDescent="0.25">
      <c r="E9415"/>
    </row>
    <row r="9416" spans="5:5" x14ac:dyDescent="0.25">
      <c r="E9416"/>
    </row>
    <row r="9417" spans="5:5" x14ac:dyDescent="0.25">
      <c r="E9417"/>
    </row>
    <row r="9418" spans="5:5" x14ac:dyDescent="0.25">
      <c r="E9418"/>
    </row>
    <row r="9419" spans="5:5" x14ac:dyDescent="0.25">
      <c r="E9419"/>
    </row>
    <row r="9420" spans="5:5" x14ac:dyDescent="0.25">
      <c r="E9420"/>
    </row>
    <row r="9421" spans="5:5" x14ac:dyDescent="0.25">
      <c r="E9421"/>
    </row>
    <row r="9422" spans="5:5" x14ac:dyDescent="0.25">
      <c r="E9422"/>
    </row>
    <row r="9423" spans="5:5" x14ac:dyDescent="0.25">
      <c r="E9423"/>
    </row>
    <row r="9424" spans="5:5" x14ac:dyDescent="0.25">
      <c r="E9424"/>
    </row>
    <row r="9425" spans="5:5" x14ac:dyDescent="0.25">
      <c r="E9425"/>
    </row>
    <row r="9426" spans="5:5" x14ac:dyDescent="0.25">
      <c r="E9426"/>
    </row>
    <row r="9427" spans="5:5" x14ac:dyDescent="0.25">
      <c r="E9427"/>
    </row>
    <row r="9428" spans="5:5" x14ac:dyDescent="0.25">
      <c r="E9428"/>
    </row>
    <row r="9429" spans="5:5" x14ac:dyDescent="0.25">
      <c r="E9429"/>
    </row>
    <row r="9430" spans="5:5" x14ac:dyDescent="0.25">
      <c r="E9430"/>
    </row>
    <row r="9431" spans="5:5" x14ac:dyDescent="0.25">
      <c r="E9431"/>
    </row>
    <row r="9432" spans="5:5" x14ac:dyDescent="0.25">
      <c r="E9432"/>
    </row>
    <row r="9433" spans="5:5" x14ac:dyDescent="0.25">
      <c r="E9433"/>
    </row>
    <row r="9434" spans="5:5" x14ac:dyDescent="0.25">
      <c r="E9434"/>
    </row>
    <row r="9435" spans="5:5" x14ac:dyDescent="0.25">
      <c r="E9435"/>
    </row>
    <row r="9436" spans="5:5" x14ac:dyDescent="0.25">
      <c r="E9436"/>
    </row>
    <row r="9437" spans="5:5" x14ac:dyDescent="0.25">
      <c r="E9437"/>
    </row>
    <row r="9438" spans="5:5" x14ac:dyDescent="0.25">
      <c r="E9438"/>
    </row>
    <row r="9439" spans="5:5" x14ac:dyDescent="0.25">
      <c r="E9439"/>
    </row>
    <row r="9440" spans="5:5" x14ac:dyDescent="0.25">
      <c r="E9440"/>
    </row>
    <row r="9441" spans="5:5" x14ac:dyDescent="0.25">
      <c r="E9441"/>
    </row>
    <row r="9442" spans="5:5" x14ac:dyDescent="0.25">
      <c r="E9442"/>
    </row>
    <row r="9443" spans="5:5" x14ac:dyDescent="0.25">
      <c r="E9443"/>
    </row>
    <row r="9444" spans="5:5" x14ac:dyDescent="0.25">
      <c r="E9444"/>
    </row>
    <row r="9445" spans="5:5" x14ac:dyDescent="0.25">
      <c r="E9445"/>
    </row>
    <row r="9446" spans="5:5" x14ac:dyDescent="0.25">
      <c r="E9446"/>
    </row>
    <row r="9447" spans="5:5" x14ac:dyDescent="0.25">
      <c r="E9447"/>
    </row>
    <row r="9448" spans="5:5" x14ac:dyDescent="0.25">
      <c r="E9448"/>
    </row>
    <row r="9449" spans="5:5" x14ac:dyDescent="0.25">
      <c r="E9449"/>
    </row>
    <row r="9450" spans="5:5" x14ac:dyDescent="0.25">
      <c r="E9450"/>
    </row>
    <row r="9451" spans="5:5" x14ac:dyDescent="0.25">
      <c r="E9451"/>
    </row>
    <row r="9452" spans="5:5" x14ac:dyDescent="0.25">
      <c r="E9452"/>
    </row>
    <row r="9453" spans="5:5" x14ac:dyDescent="0.25">
      <c r="E9453"/>
    </row>
    <row r="9454" spans="5:5" x14ac:dyDescent="0.25">
      <c r="E9454"/>
    </row>
    <row r="9455" spans="5:5" x14ac:dyDescent="0.25">
      <c r="E9455"/>
    </row>
    <row r="9456" spans="5:5" x14ac:dyDescent="0.25">
      <c r="E9456"/>
    </row>
    <row r="9457" spans="5:5" x14ac:dyDescent="0.25">
      <c r="E9457"/>
    </row>
    <row r="9458" spans="5:5" x14ac:dyDescent="0.25">
      <c r="E9458"/>
    </row>
    <row r="9459" spans="5:5" x14ac:dyDescent="0.25">
      <c r="E9459"/>
    </row>
    <row r="9460" spans="5:5" x14ac:dyDescent="0.25">
      <c r="E9460"/>
    </row>
    <row r="9461" spans="5:5" x14ac:dyDescent="0.25">
      <c r="E9461"/>
    </row>
    <row r="9462" spans="5:5" x14ac:dyDescent="0.25">
      <c r="E9462"/>
    </row>
    <row r="9463" spans="5:5" x14ac:dyDescent="0.25">
      <c r="E9463"/>
    </row>
    <row r="9464" spans="5:5" x14ac:dyDescent="0.25">
      <c r="E9464"/>
    </row>
    <row r="9465" spans="5:5" x14ac:dyDescent="0.25">
      <c r="E9465"/>
    </row>
    <row r="9466" spans="5:5" x14ac:dyDescent="0.25">
      <c r="E9466"/>
    </row>
    <row r="9467" spans="5:5" x14ac:dyDescent="0.25">
      <c r="E9467"/>
    </row>
    <row r="9468" spans="5:5" x14ac:dyDescent="0.25">
      <c r="E9468"/>
    </row>
    <row r="9469" spans="5:5" x14ac:dyDescent="0.25">
      <c r="E9469"/>
    </row>
    <row r="9470" spans="5:5" x14ac:dyDescent="0.25">
      <c r="E9470"/>
    </row>
    <row r="9471" spans="5:5" x14ac:dyDescent="0.25">
      <c r="E9471"/>
    </row>
    <row r="9472" spans="5:5" x14ac:dyDescent="0.25">
      <c r="E9472"/>
    </row>
    <row r="9473" spans="5:5" x14ac:dyDescent="0.25">
      <c r="E9473"/>
    </row>
    <row r="9474" spans="5:5" x14ac:dyDescent="0.25">
      <c r="E9474"/>
    </row>
    <row r="9475" spans="5:5" x14ac:dyDescent="0.25">
      <c r="E9475"/>
    </row>
    <row r="9476" spans="5:5" x14ac:dyDescent="0.25">
      <c r="E9476"/>
    </row>
    <row r="9477" spans="5:5" x14ac:dyDescent="0.25">
      <c r="E9477"/>
    </row>
    <row r="9478" spans="5:5" x14ac:dyDescent="0.25">
      <c r="E9478"/>
    </row>
    <row r="9479" spans="5:5" x14ac:dyDescent="0.25">
      <c r="E9479"/>
    </row>
    <row r="9480" spans="5:5" x14ac:dyDescent="0.25">
      <c r="E9480"/>
    </row>
    <row r="9481" spans="5:5" x14ac:dyDescent="0.25">
      <c r="E9481"/>
    </row>
    <row r="9482" spans="5:5" x14ac:dyDescent="0.25">
      <c r="E9482"/>
    </row>
    <row r="9483" spans="5:5" x14ac:dyDescent="0.25">
      <c r="E9483"/>
    </row>
    <row r="9484" spans="5:5" x14ac:dyDescent="0.25">
      <c r="E9484"/>
    </row>
    <row r="9485" spans="5:5" x14ac:dyDescent="0.25">
      <c r="E9485"/>
    </row>
    <row r="9486" spans="5:5" x14ac:dyDescent="0.25">
      <c r="E9486"/>
    </row>
    <row r="9487" spans="5:5" x14ac:dyDescent="0.25">
      <c r="E9487"/>
    </row>
    <row r="9488" spans="5:5" x14ac:dyDescent="0.25">
      <c r="E9488"/>
    </row>
    <row r="9489" spans="5:5" x14ac:dyDescent="0.25">
      <c r="E9489"/>
    </row>
    <row r="9490" spans="5:5" x14ac:dyDescent="0.25">
      <c r="E9490"/>
    </row>
    <row r="9491" spans="5:5" x14ac:dyDescent="0.25">
      <c r="E9491"/>
    </row>
    <row r="9492" spans="5:5" x14ac:dyDescent="0.25">
      <c r="E9492"/>
    </row>
    <row r="9493" spans="5:5" x14ac:dyDescent="0.25">
      <c r="E9493"/>
    </row>
    <row r="9494" spans="5:5" x14ac:dyDescent="0.25">
      <c r="E9494"/>
    </row>
    <row r="9495" spans="5:5" x14ac:dyDescent="0.25">
      <c r="E9495"/>
    </row>
    <row r="9496" spans="5:5" x14ac:dyDescent="0.25">
      <c r="E9496"/>
    </row>
    <row r="9497" spans="5:5" x14ac:dyDescent="0.25">
      <c r="E9497"/>
    </row>
    <row r="9498" spans="5:5" x14ac:dyDescent="0.25">
      <c r="E9498"/>
    </row>
    <row r="9499" spans="5:5" x14ac:dyDescent="0.25">
      <c r="E9499"/>
    </row>
    <row r="9500" spans="5:5" x14ac:dyDescent="0.25">
      <c r="E9500"/>
    </row>
    <row r="9501" spans="5:5" x14ac:dyDescent="0.25">
      <c r="E9501"/>
    </row>
    <row r="9502" spans="5:5" x14ac:dyDescent="0.25">
      <c r="E9502"/>
    </row>
    <row r="9503" spans="5:5" x14ac:dyDescent="0.25">
      <c r="E9503"/>
    </row>
    <row r="9504" spans="5:5" x14ac:dyDescent="0.25">
      <c r="E9504"/>
    </row>
    <row r="9505" spans="5:5" x14ac:dyDescent="0.25">
      <c r="E9505"/>
    </row>
    <row r="9506" spans="5:5" x14ac:dyDescent="0.25">
      <c r="E9506"/>
    </row>
    <row r="9507" spans="5:5" x14ac:dyDescent="0.25">
      <c r="E9507"/>
    </row>
    <row r="9508" spans="5:5" x14ac:dyDescent="0.25">
      <c r="E9508"/>
    </row>
    <row r="9509" spans="5:5" x14ac:dyDescent="0.25">
      <c r="E9509"/>
    </row>
    <row r="9510" spans="5:5" x14ac:dyDescent="0.25">
      <c r="E9510"/>
    </row>
    <row r="9511" spans="5:5" x14ac:dyDescent="0.25">
      <c r="E9511"/>
    </row>
    <row r="9512" spans="5:5" x14ac:dyDescent="0.25">
      <c r="E9512"/>
    </row>
    <row r="9513" spans="5:5" x14ac:dyDescent="0.25">
      <c r="E9513"/>
    </row>
    <row r="9514" spans="5:5" x14ac:dyDescent="0.25">
      <c r="E9514"/>
    </row>
    <row r="9515" spans="5:5" x14ac:dyDescent="0.25">
      <c r="E9515"/>
    </row>
    <row r="9516" spans="5:5" x14ac:dyDescent="0.25">
      <c r="E9516"/>
    </row>
    <row r="9517" spans="5:5" x14ac:dyDescent="0.25">
      <c r="E9517"/>
    </row>
    <row r="9518" spans="5:5" x14ac:dyDescent="0.25">
      <c r="E9518"/>
    </row>
    <row r="9519" spans="5:5" x14ac:dyDescent="0.25">
      <c r="E9519"/>
    </row>
    <row r="9520" spans="5:5" x14ac:dyDescent="0.25">
      <c r="E9520"/>
    </row>
    <row r="9521" spans="5:5" x14ac:dyDescent="0.25">
      <c r="E9521"/>
    </row>
    <row r="9522" spans="5:5" x14ac:dyDescent="0.25">
      <c r="E9522"/>
    </row>
    <row r="9523" spans="5:5" x14ac:dyDescent="0.25">
      <c r="E9523"/>
    </row>
    <row r="9524" spans="5:5" x14ac:dyDescent="0.25">
      <c r="E9524"/>
    </row>
    <row r="9525" spans="5:5" x14ac:dyDescent="0.25">
      <c r="E9525"/>
    </row>
    <row r="9526" spans="5:5" x14ac:dyDescent="0.25">
      <c r="E9526"/>
    </row>
    <row r="9527" spans="5:5" x14ac:dyDescent="0.25">
      <c r="E9527"/>
    </row>
    <row r="9528" spans="5:5" x14ac:dyDescent="0.25">
      <c r="E9528"/>
    </row>
    <row r="9529" spans="5:5" x14ac:dyDescent="0.25">
      <c r="E9529"/>
    </row>
    <row r="9530" spans="5:5" x14ac:dyDescent="0.25">
      <c r="E9530"/>
    </row>
    <row r="9531" spans="5:5" x14ac:dyDescent="0.25">
      <c r="E9531"/>
    </row>
    <row r="9532" spans="5:5" x14ac:dyDescent="0.25">
      <c r="E9532"/>
    </row>
    <row r="9533" spans="5:5" x14ac:dyDescent="0.25">
      <c r="E9533"/>
    </row>
    <row r="9534" spans="5:5" x14ac:dyDescent="0.25">
      <c r="E9534"/>
    </row>
    <row r="9535" spans="5:5" x14ac:dyDescent="0.25">
      <c r="E9535"/>
    </row>
    <row r="9536" spans="5:5" x14ac:dyDescent="0.25">
      <c r="E9536"/>
    </row>
    <row r="9537" spans="5:5" x14ac:dyDescent="0.25">
      <c r="E9537"/>
    </row>
    <row r="9538" spans="5:5" x14ac:dyDescent="0.25">
      <c r="E9538"/>
    </row>
    <row r="9539" spans="5:5" x14ac:dyDescent="0.25">
      <c r="E9539"/>
    </row>
    <row r="9540" spans="5:5" x14ac:dyDescent="0.25">
      <c r="E9540"/>
    </row>
    <row r="9541" spans="5:5" x14ac:dyDescent="0.25">
      <c r="E9541"/>
    </row>
    <row r="9542" spans="5:5" x14ac:dyDescent="0.25">
      <c r="E9542"/>
    </row>
    <row r="9543" spans="5:5" x14ac:dyDescent="0.25">
      <c r="E9543"/>
    </row>
    <row r="9544" spans="5:5" x14ac:dyDescent="0.25">
      <c r="E9544"/>
    </row>
    <row r="9545" spans="5:5" x14ac:dyDescent="0.25">
      <c r="E9545"/>
    </row>
    <row r="9546" spans="5:5" x14ac:dyDescent="0.25">
      <c r="E9546"/>
    </row>
    <row r="9547" spans="5:5" x14ac:dyDescent="0.25">
      <c r="E9547"/>
    </row>
    <row r="9548" spans="5:5" x14ac:dyDescent="0.25">
      <c r="E9548"/>
    </row>
    <row r="9549" spans="5:5" x14ac:dyDescent="0.25">
      <c r="E9549"/>
    </row>
    <row r="9550" spans="5:5" x14ac:dyDescent="0.25">
      <c r="E9550"/>
    </row>
    <row r="9551" spans="5:5" x14ac:dyDescent="0.25">
      <c r="E9551"/>
    </row>
    <row r="9552" spans="5:5" x14ac:dyDescent="0.25">
      <c r="E9552"/>
    </row>
    <row r="9553" spans="5:5" x14ac:dyDescent="0.25">
      <c r="E9553"/>
    </row>
    <row r="9554" spans="5:5" x14ac:dyDescent="0.25">
      <c r="E9554"/>
    </row>
    <row r="9555" spans="5:5" x14ac:dyDescent="0.25">
      <c r="E9555"/>
    </row>
    <row r="9556" spans="5:5" x14ac:dyDescent="0.25">
      <c r="E9556"/>
    </row>
    <row r="9557" spans="5:5" x14ac:dyDescent="0.25">
      <c r="E9557"/>
    </row>
    <row r="9558" spans="5:5" x14ac:dyDescent="0.25">
      <c r="E9558"/>
    </row>
    <row r="9559" spans="5:5" x14ac:dyDescent="0.25">
      <c r="E9559"/>
    </row>
    <row r="9560" spans="5:5" x14ac:dyDescent="0.25">
      <c r="E9560"/>
    </row>
    <row r="9561" spans="5:5" x14ac:dyDescent="0.25">
      <c r="E9561"/>
    </row>
    <row r="9562" spans="5:5" x14ac:dyDescent="0.25">
      <c r="E9562"/>
    </row>
    <row r="9563" spans="5:5" x14ac:dyDescent="0.25">
      <c r="E9563"/>
    </row>
    <row r="9564" spans="5:5" x14ac:dyDescent="0.25">
      <c r="E9564"/>
    </row>
    <row r="9565" spans="5:5" x14ac:dyDescent="0.25">
      <c r="E9565"/>
    </row>
    <row r="9566" spans="5:5" x14ac:dyDescent="0.25">
      <c r="E9566"/>
    </row>
    <row r="9567" spans="5:5" x14ac:dyDescent="0.25">
      <c r="E9567"/>
    </row>
    <row r="9568" spans="5:5" x14ac:dyDescent="0.25">
      <c r="E9568"/>
    </row>
    <row r="9569" spans="5:5" x14ac:dyDescent="0.25">
      <c r="E9569"/>
    </row>
    <row r="9570" spans="5:5" x14ac:dyDescent="0.25">
      <c r="E9570"/>
    </row>
    <row r="9571" spans="5:5" x14ac:dyDescent="0.25">
      <c r="E9571"/>
    </row>
    <row r="9572" spans="5:5" x14ac:dyDescent="0.25">
      <c r="E9572"/>
    </row>
    <row r="9573" spans="5:5" x14ac:dyDescent="0.25">
      <c r="E9573"/>
    </row>
    <row r="9574" spans="5:5" x14ac:dyDescent="0.25">
      <c r="E9574"/>
    </row>
    <row r="9575" spans="5:5" x14ac:dyDescent="0.25">
      <c r="E9575"/>
    </row>
    <row r="9576" spans="5:5" x14ac:dyDescent="0.25">
      <c r="E9576"/>
    </row>
    <row r="9577" spans="5:5" x14ac:dyDescent="0.25">
      <c r="E9577"/>
    </row>
    <row r="9578" spans="5:5" x14ac:dyDescent="0.25">
      <c r="E9578"/>
    </row>
    <row r="9579" spans="5:5" x14ac:dyDescent="0.25">
      <c r="E9579"/>
    </row>
    <row r="9580" spans="5:5" x14ac:dyDescent="0.25">
      <c r="E9580"/>
    </row>
    <row r="9581" spans="5:5" x14ac:dyDescent="0.25">
      <c r="E9581"/>
    </row>
    <row r="9582" spans="5:5" x14ac:dyDescent="0.25">
      <c r="E9582"/>
    </row>
    <row r="9583" spans="5:5" x14ac:dyDescent="0.25">
      <c r="E9583"/>
    </row>
    <row r="9584" spans="5:5" x14ac:dyDescent="0.25">
      <c r="E9584"/>
    </row>
    <row r="9585" spans="5:5" x14ac:dyDescent="0.25">
      <c r="E9585"/>
    </row>
    <row r="9586" spans="5:5" x14ac:dyDescent="0.25">
      <c r="E9586"/>
    </row>
    <row r="9587" spans="5:5" x14ac:dyDescent="0.25">
      <c r="E9587"/>
    </row>
    <row r="9588" spans="5:5" x14ac:dyDescent="0.25">
      <c r="E9588"/>
    </row>
    <row r="9589" spans="5:5" x14ac:dyDescent="0.25">
      <c r="E9589"/>
    </row>
    <row r="9590" spans="5:5" x14ac:dyDescent="0.25">
      <c r="E9590"/>
    </row>
    <row r="9591" spans="5:5" x14ac:dyDescent="0.25">
      <c r="E9591"/>
    </row>
    <row r="9592" spans="5:5" x14ac:dyDescent="0.25">
      <c r="E9592"/>
    </row>
    <row r="9593" spans="5:5" x14ac:dyDescent="0.25">
      <c r="E9593"/>
    </row>
    <row r="9594" spans="5:5" x14ac:dyDescent="0.25">
      <c r="E9594"/>
    </row>
    <row r="9595" spans="5:5" x14ac:dyDescent="0.25">
      <c r="E9595"/>
    </row>
    <row r="9596" spans="5:5" x14ac:dyDescent="0.25">
      <c r="E9596"/>
    </row>
    <row r="9597" spans="5:5" x14ac:dyDescent="0.25">
      <c r="E9597"/>
    </row>
    <row r="9598" spans="5:5" x14ac:dyDescent="0.25">
      <c r="E9598"/>
    </row>
    <row r="9599" spans="5:5" x14ac:dyDescent="0.25">
      <c r="E9599"/>
    </row>
    <row r="9600" spans="5:5" x14ac:dyDescent="0.25">
      <c r="E9600"/>
    </row>
    <row r="9601" spans="5:5" x14ac:dyDescent="0.25">
      <c r="E9601"/>
    </row>
    <row r="9602" spans="5:5" x14ac:dyDescent="0.25">
      <c r="E9602"/>
    </row>
    <row r="9603" spans="5:5" x14ac:dyDescent="0.25">
      <c r="E9603"/>
    </row>
    <row r="9604" spans="5:5" x14ac:dyDescent="0.25">
      <c r="E9604"/>
    </row>
    <row r="9605" spans="5:5" x14ac:dyDescent="0.25">
      <c r="E9605"/>
    </row>
    <row r="9606" spans="5:5" x14ac:dyDescent="0.25">
      <c r="E9606"/>
    </row>
    <row r="9607" spans="5:5" x14ac:dyDescent="0.25">
      <c r="E9607"/>
    </row>
    <row r="9608" spans="5:5" x14ac:dyDescent="0.25">
      <c r="E9608"/>
    </row>
    <row r="9609" spans="5:5" x14ac:dyDescent="0.25">
      <c r="E9609"/>
    </row>
    <row r="9610" spans="5:5" x14ac:dyDescent="0.25">
      <c r="E9610"/>
    </row>
    <row r="9611" spans="5:5" x14ac:dyDescent="0.25">
      <c r="E9611"/>
    </row>
    <row r="9612" spans="5:5" x14ac:dyDescent="0.25">
      <c r="E9612"/>
    </row>
    <row r="9613" spans="5:5" x14ac:dyDescent="0.25">
      <c r="E9613"/>
    </row>
    <row r="9614" spans="5:5" x14ac:dyDescent="0.25">
      <c r="E9614"/>
    </row>
    <row r="9615" spans="5:5" x14ac:dyDescent="0.25">
      <c r="E9615"/>
    </row>
    <row r="9616" spans="5:5" x14ac:dyDescent="0.25">
      <c r="E9616"/>
    </row>
    <row r="9617" spans="5:5" x14ac:dyDescent="0.25">
      <c r="E9617"/>
    </row>
    <row r="9618" spans="5:5" x14ac:dyDescent="0.25">
      <c r="E9618"/>
    </row>
    <row r="9619" spans="5:5" x14ac:dyDescent="0.25">
      <c r="E9619"/>
    </row>
    <row r="9620" spans="5:5" x14ac:dyDescent="0.25">
      <c r="E9620"/>
    </row>
    <row r="9621" spans="5:5" x14ac:dyDescent="0.25">
      <c r="E9621"/>
    </row>
    <row r="9622" spans="5:5" x14ac:dyDescent="0.25">
      <c r="E9622"/>
    </row>
    <row r="9623" spans="5:5" x14ac:dyDescent="0.25">
      <c r="E9623"/>
    </row>
    <row r="9624" spans="5:5" x14ac:dyDescent="0.25">
      <c r="E9624"/>
    </row>
    <row r="9625" spans="5:5" x14ac:dyDescent="0.25">
      <c r="E9625"/>
    </row>
    <row r="9626" spans="5:5" x14ac:dyDescent="0.25">
      <c r="E9626"/>
    </row>
    <row r="9627" spans="5:5" x14ac:dyDescent="0.25">
      <c r="E9627"/>
    </row>
    <row r="9628" spans="5:5" x14ac:dyDescent="0.25">
      <c r="E9628"/>
    </row>
    <row r="9629" spans="5:5" x14ac:dyDescent="0.25">
      <c r="E9629"/>
    </row>
    <row r="9630" spans="5:5" x14ac:dyDescent="0.25">
      <c r="E9630"/>
    </row>
    <row r="9631" spans="5:5" x14ac:dyDescent="0.25">
      <c r="E9631"/>
    </row>
    <row r="9632" spans="5:5" x14ac:dyDescent="0.25">
      <c r="E9632"/>
    </row>
    <row r="9633" spans="5:5" x14ac:dyDescent="0.25">
      <c r="E9633"/>
    </row>
    <row r="9634" spans="5:5" x14ac:dyDescent="0.25">
      <c r="E9634"/>
    </row>
    <row r="9635" spans="5:5" x14ac:dyDescent="0.25">
      <c r="E9635"/>
    </row>
    <row r="9636" spans="5:5" x14ac:dyDescent="0.25">
      <c r="E9636"/>
    </row>
    <row r="9637" spans="5:5" x14ac:dyDescent="0.25">
      <c r="E9637"/>
    </row>
    <row r="9638" spans="5:5" x14ac:dyDescent="0.25">
      <c r="E9638"/>
    </row>
    <row r="9639" spans="5:5" x14ac:dyDescent="0.25">
      <c r="E9639"/>
    </row>
    <row r="9640" spans="5:5" x14ac:dyDescent="0.25">
      <c r="E9640"/>
    </row>
    <row r="9641" spans="5:5" x14ac:dyDescent="0.25">
      <c r="E9641"/>
    </row>
    <row r="9642" spans="5:5" x14ac:dyDescent="0.25">
      <c r="E9642"/>
    </row>
    <row r="9643" spans="5:5" x14ac:dyDescent="0.25">
      <c r="E9643"/>
    </row>
    <row r="9644" spans="5:5" x14ac:dyDescent="0.25">
      <c r="E9644"/>
    </row>
    <row r="9645" spans="5:5" x14ac:dyDescent="0.25">
      <c r="E9645"/>
    </row>
    <row r="9646" spans="5:5" x14ac:dyDescent="0.25">
      <c r="E9646"/>
    </row>
    <row r="9647" spans="5:5" x14ac:dyDescent="0.25">
      <c r="E9647"/>
    </row>
    <row r="9648" spans="5:5" x14ac:dyDescent="0.25">
      <c r="E9648"/>
    </row>
    <row r="9649" spans="5:5" x14ac:dyDescent="0.25">
      <c r="E9649"/>
    </row>
    <row r="9650" spans="5:5" x14ac:dyDescent="0.25">
      <c r="E9650"/>
    </row>
    <row r="9651" spans="5:5" x14ac:dyDescent="0.25">
      <c r="E9651"/>
    </row>
    <row r="9652" spans="5:5" x14ac:dyDescent="0.25">
      <c r="E9652"/>
    </row>
    <row r="9653" spans="5:5" x14ac:dyDescent="0.25">
      <c r="E9653"/>
    </row>
    <row r="9654" spans="5:5" x14ac:dyDescent="0.25">
      <c r="E9654"/>
    </row>
    <row r="9655" spans="5:5" x14ac:dyDescent="0.25">
      <c r="E9655"/>
    </row>
    <row r="9656" spans="5:5" x14ac:dyDescent="0.25">
      <c r="E9656"/>
    </row>
    <row r="9657" spans="5:5" x14ac:dyDescent="0.25">
      <c r="E9657"/>
    </row>
    <row r="9658" spans="5:5" x14ac:dyDescent="0.25">
      <c r="E9658"/>
    </row>
    <row r="9659" spans="5:5" x14ac:dyDescent="0.25">
      <c r="E9659"/>
    </row>
    <row r="9660" spans="5:5" x14ac:dyDescent="0.25">
      <c r="E9660"/>
    </row>
    <row r="9661" spans="5:5" x14ac:dyDescent="0.25">
      <c r="E9661"/>
    </row>
    <row r="9662" spans="5:5" x14ac:dyDescent="0.25">
      <c r="E9662"/>
    </row>
    <row r="9663" spans="5:5" x14ac:dyDescent="0.25">
      <c r="E9663"/>
    </row>
    <row r="9664" spans="5:5" x14ac:dyDescent="0.25">
      <c r="E9664"/>
    </row>
    <row r="9665" spans="5:5" x14ac:dyDescent="0.25">
      <c r="E9665"/>
    </row>
    <row r="9666" spans="5:5" x14ac:dyDescent="0.25">
      <c r="E9666"/>
    </row>
    <row r="9667" spans="5:5" x14ac:dyDescent="0.25">
      <c r="E9667"/>
    </row>
    <row r="9668" spans="5:5" x14ac:dyDescent="0.25">
      <c r="E9668"/>
    </row>
    <row r="9669" spans="5:5" x14ac:dyDescent="0.25">
      <c r="E9669"/>
    </row>
    <row r="9670" spans="5:5" x14ac:dyDescent="0.25">
      <c r="E9670"/>
    </row>
    <row r="9671" spans="5:5" x14ac:dyDescent="0.25">
      <c r="E9671"/>
    </row>
    <row r="9672" spans="5:5" x14ac:dyDescent="0.25">
      <c r="E9672"/>
    </row>
    <row r="9673" spans="5:5" x14ac:dyDescent="0.25">
      <c r="E9673"/>
    </row>
    <row r="9674" spans="5:5" x14ac:dyDescent="0.25">
      <c r="E9674"/>
    </row>
    <row r="9675" spans="5:5" x14ac:dyDescent="0.25">
      <c r="E9675"/>
    </row>
    <row r="9676" spans="5:5" x14ac:dyDescent="0.25">
      <c r="E9676"/>
    </row>
    <row r="9677" spans="5:5" x14ac:dyDescent="0.25">
      <c r="E9677"/>
    </row>
    <row r="9678" spans="5:5" x14ac:dyDescent="0.25">
      <c r="E9678"/>
    </row>
    <row r="9679" spans="5:5" x14ac:dyDescent="0.25">
      <c r="E9679"/>
    </row>
    <row r="9680" spans="5:5" x14ac:dyDescent="0.25">
      <c r="E9680"/>
    </row>
    <row r="9681" spans="5:5" x14ac:dyDescent="0.25">
      <c r="E9681"/>
    </row>
    <row r="9682" spans="5:5" x14ac:dyDescent="0.25">
      <c r="E9682"/>
    </row>
    <row r="9683" spans="5:5" x14ac:dyDescent="0.25">
      <c r="E9683"/>
    </row>
    <row r="9684" spans="5:5" x14ac:dyDescent="0.25">
      <c r="E9684"/>
    </row>
    <row r="9685" spans="5:5" x14ac:dyDescent="0.25">
      <c r="E9685"/>
    </row>
    <row r="9686" spans="5:5" x14ac:dyDescent="0.25">
      <c r="E9686"/>
    </row>
    <row r="9687" spans="5:5" x14ac:dyDescent="0.25">
      <c r="E9687"/>
    </row>
    <row r="9688" spans="5:5" x14ac:dyDescent="0.25">
      <c r="E9688"/>
    </row>
    <row r="9689" spans="5:5" x14ac:dyDescent="0.25">
      <c r="E9689"/>
    </row>
    <row r="9690" spans="5:5" x14ac:dyDescent="0.25">
      <c r="E9690"/>
    </row>
    <row r="9691" spans="5:5" x14ac:dyDescent="0.25">
      <c r="E9691"/>
    </row>
    <row r="9692" spans="5:5" x14ac:dyDescent="0.25">
      <c r="E9692"/>
    </row>
    <row r="9693" spans="5:5" x14ac:dyDescent="0.25">
      <c r="E9693"/>
    </row>
    <row r="9694" spans="5:5" x14ac:dyDescent="0.25">
      <c r="E9694"/>
    </row>
    <row r="9695" spans="5:5" x14ac:dyDescent="0.25">
      <c r="E9695"/>
    </row>
    <row r="9696" spans="5:5" x14ac:dyDescent="0.25">
      <c r="E9696"/>
    </row>
    <row r="9697" spans="5:5" x14ac:dyDescent="0.25">
      <c r="E9697"/>
    </row>
    <row r="9698" spans="5:5" x14ac:dyDescent="0.25">
      <c r="E9698"/>
    </row>
    <row r="9699" spans="5:5" x14ac:dyDescent="0.25">
      <c r="E9699"/>
    </row>
    <row r="9700" spans="5:5" x14ac:dyDescent="0.25">
      <c r="E9700"/>
    </row>
    <row r="9701" spans="5:5" x14ac:dyDescent="0.25">
      <c r="E9701"/>
    </row>
    <row r="9702" spans="5:5" x14ac:dyDescent="0.25">
      <c r="E9702"/>
    </row>
    <row r="9703" spans="5:5" x14ac:dyDescent="0.25">
      <c r="E9703"/>
    </row>
    <row r="9704" spans="5:5" x14ac:dyDescent="0.25">
      <c r="E9704"/>
    </row>
    <row r="9705" spans="5:5" x14ac:dyDescent="0.25">
      <c r="E9705"/>
    </row>
    <row r="9706" spans="5:5" x14ac:dyDescent="0.25">
      <c r="E9706"/>
    </row>
    <row r="9707" spans="5:5" x14ac:dyDescent="0.25">
      <c r="E9707"/>
    </row>
    <row r="9708" spans="5:5" x14ac:dyDescent="0.25">
      <c r="E9708"/>
    </row>
    <row r="9709" spans="5:5" x14ac:dyDescent="0.25">
      <c r="E9709"/>
    </row>
    <row r="9710" spans="5:5" x14ac:dyDescent="0.25">
      <c r="E9710"/>
    </row>
    <row r="9711" spans="5:5" x14ac:dyDescent="0.25">
      <c r="E9711"/>
    </row>
    <row r="9712" spans="5:5" x14ac:dyDescent="0.25">
      <c r="E9712"/>
    </row>
    <row r="9713" spans="5:5" x14ac:dyDescent="0.25">
      <c r="E9713"/>
    </row>
    <row r="9714" spans="5:5" x14ac:dyDescent="0.25">
      <c r="E9714"/>
    </row>
    <row r="9715" spans="5:5" x14ac:dyDescent="0.25">
      <c r="E9715"/>
    </row>
    <row r="9716" spans="5:5" x14ac:dyDescent="0.25">
      <c r="E9716"/>
    </row>
    <row r="9717" spans="5:5" x14ac:dyDescent="0.25">
      <c r="E9717"/>
    </row>
    <row r="9718" spans="5:5" x14ac:dyDescent="0.25">
      <c r="E9718"/>
    </row>
    <row r="9719" spans="5:5" x14ac:dyDescent="0.25">
      <c r="E9719"/>
    </row>
    <row r="9720" spans="5:5" x14ac:dyDescent="0.25">
      <c r="E9720"/>
    </row>
    <row r="9721" spans="5:5" x14ac:dyDescent="0.25">
      <c r="E9721"/>
    </row>
    <row r="9722" spans="5:5" x14ac:dyDescent="0.25">
      <c r="E9722"/>
    </row>
    <row r="9723" spans="5:5" x14ac:dyDescent="0.25">
      <c r="E9723"/>
    </row>
    <row r="9724" spans="5:5" x14ac:dyDescent="0.25">
      <c r="E9724"/>
    </row>
    <row r="9725" spans="5:5" x14ac:dyDescent="0.25">
      <c r="E9725"/>
    </row>
    <row r="9726" spans="5:5" x14ac:dyDescent="0.25">
      <c r="E9726"/>
    </row>
    <row r="9727" spans="5:5" x14ac:dyDescent="0.25">
      <c r="E9727"/>
    </row>
    <row r="9728" spans="5:5" x14ac:dyDescent="0.25">
      <c r="E9728"/>
    </row>
    <row r="9729" spans="5:5" x14ac:dyDescent="0.25">
      <c r="E9729"/>
    </row>
    <row r="9730" spans="5:5" x14ac:dyDescent="0.25">
      <c r="E9730"/>
    </row>
    <row r="9731" spans="5:5" x14ac:dyDescent="0.25">
      <c r="E9731"/>
    </row>
    <row r="9732" spans="5:5" x14ac:dyDescent="0.25">
      <c r="E9732"/>
    </row>
    <row r="9733" spans="5:5" x14ac:dyDescent="0.25">
      <c r="E9733"/>
    </row>
    <row r="9734" spans="5:5" x14ac:dyDescent="0.25">
      <c r="E9734"/>
    </row>
    <row r="9735" spans="5:5" x14ac:dyDescent="0.25">
      <c r="E9735"/>
    </row>
    <row r="9736" spans="5:5" x14ac:dyDescent="0.25">
      <c r="E9736"/>
    </row>
    <row r="9737" spans="5:5" x14ac:dyDescent="0.25">
      <c r="E9737"/>
    </row>
    <row r="9738" spans="5:5" x14ac:dyDescent="0.25">
      <c r="E9738"/>
    </row>
    <row r="9739" spans="5:5" x14ac:dyDescent="0.25">
      <c r="E9739"/>
    </row>
    <row r="9740" spans="5:5" x14ac:dyDescent="0.25">
      <c r="E9740"/>
    </row>
    <row r="9741" spans="5:5" x14ac:dyDescent="0.25">
      <c r="E9741"/>
    </row>
    <row r="9742" spans="5:5" x14ac:dyDescent="0.25">
      <c r="E9742"/>
    </row>
    <row r="9743" spans="5:5" x14ac:dyDescent="0.25">
      <c r="E9743"/>
    </row>
    <row r="9744" spans="5:5" x14ac:dyDescent="0.25">
      <c r="E9744"/>
    </row>
    <row r="9745" spans="5:5" x14ac:dyDescent="0.25">
      <c r="E9745"/>
    </row>
    <row r="9746" spans="5:5" x14ac:dyDescent="0.25">
      <c r="E9746"/>
    </row>
    <row r="9747" spans="5:5" x14ac:dyDescent="0.25">
      <c r="E9747"/>
    </row>
    <row r="9748" spans="5:5" x14ac:dyDescent="0.25">
      <c r="E9748"/>
    </row>
    <row r="9749" spans="5:5" x14ac:dyDescent="0.25">
      <c r="E9749"/>
    </row>
    <row r="9750" spans="5:5" x14ac:dyDescent="0.25">
      <c r="E9750"/>
    </row>
    <row r="9751" spans="5:5" x14ac:dyDescent="0.25">
      <c r="E9751"/>
    </row>
    <row r="9752" spans="5:5" x14ac:dyDescent="0.25">
      <c r="E9752"/>
    </row>
    <row r="9753" spans="5:5" x14ac:dyDescent="0.25">
      <c r="E9753"/>
    </row>
    <row r="9754" spans="5:5" x14ac:dyDescent="0.25">
      <c r="E9754"/>
    </row>
    <row r="9755" spans="5:5" x14ac:dyDescent="0.25">
      <c r="E9755"/>
    </row>
    <row r="9756" spans="5:5" x14ac:dyDescent="0.25">
      <c r="E9756"/>
    </row>
    <row r="9757" spans="5:5" x14ac:dyDescent="0.25">
      <c r="E9757"/>
    </row>
    <row r="9758" spans="5:5" x14ac:dyDescent="0.25">
      <c r="E9758"/>
    </row>
    <row r="9759" spans="5:5" x14ac:dyDescent="0.25">
      <c r="E9759"/>
    </row>
    <row r="9760" spans="5:5" x14ac:dyDescent="0.25">
      <c r="E9760"/>
    </row>
    <row r="9761" spans="5:5" x14ac:dyDescent="0.25">
      <c r="E9761"/>
    </row>
    <row r="9762" spans="5:5" x14ac:dyDescent="0.25">
      <c r="E9762"/>
    </row>
    <row r="9763" spans="5:5" x14ac:dyDescent="0.25">
      <c r="E9763"/>
    </row>
    <row r="9764" spans="5:5" x14ac:dyDescent="0.25">
      <c r="E9764"/>
    </row>
    <row r="9765" spans="5:5" x14ac:dyDescent="0.25">
      <c r="E9765"/>
    </row>
    <row r="9766" spans="5:5" x14ac:dyDescent="0.25">
      <c r="E9766"/>
    </row>
    <row r="9767" spans="5:5" x14ac:dyDescent="0.25">
      <c r="E9767"/>
    </row>
    <row r="9768" spans="5:5" x14ac:dyDescent="0.25">
      <c r="E9768"/>
    </row>
    <row r="9769" spans="5:5" x14ac:dyDescent="0.25">
      <c r="E9769"/>
    </row>
    <row r="9770" spans="5:5" x14ac:dyDescent="0.25">
      <c r="E9770"/>
    </row>
    <row r="9771" spans="5:5" x14ac:dyDescent="0.25">
      <c r="E9771"/>
    </row>
    <row r="9772" spans="5:5" x14ac:dyDescent="0.25">
      <c r="E9772"/>
    </row>
    <row r="9773" spans="5:5" x14ac:dyDescent="0.25">
      <c r="E9773"/>
    </row>
    <row r="9774" spans="5:5" x14ac:dyDescent="0.25">
      <c r="E9774"/>
    </row>
    <row r="9775" spans="5:5" x14ac:dyDescent="0.25">
      <c r="E9775"/>
    </row>
    <row r="9776" spans="5:5" x14ac:dyDescent="0.25">
      <c r="E9776"/>
    </row>
    <row r="9777" spans="5:5" x14ac:dyDescent="0.25">
      <c r="E9777"/>
    </row>
    <row r="9778" spans="5:5" x14ac:dyDescent="0.25">
      <c r="E9778"/>
    </row>
    <row r="9779" spans="5:5" x14ac:dyDescent="0.25">
      <c r="E9779"/>
    </row>
    <row r="9780" spans="5:5" x14ac:dyDescent="0.25">
      <c r="E9780"/>
    </row>
    <row r="9781" spans="5:5" x14ac:dyDescent="0.25">
      <c r="E9781"/>
    </row>
    <row r="9782" spans="5:5" x14ac:dyDescent="0.25">
      <c r="E9782"/>
    </row>
    <row r="9783" spans="5:5" x14ac:dyDescent="0.25">
      <c r="E9783"/>
    </row>
    <row r="9784" spans="5:5" x14ac:dyDescent="0.25">
      <c r="E9784"/>
    </row>
    <row r="9785" spans="5:5" x14ac:dyDescent="0.25">
      <c r="E9785"/>
    </row>
    <row r="9786" spans="5:5" x14ac:dyDescent="0.25">
      <c r="E9786"/>
    </row>
    <row r="9787" spans="5:5" x14ac:dyDescent="0.25">
      <c r="E9787"/>
    </row>
    <row r="9788" spans="5:5" x14ac:dyDescent="0.25">
      <c r="E9788"/>
    </row>
    <row r="9789" spans="5:5" x14ac:dyDescent="0.25">
      <c r="E9789"/>
    </row>
    <row r="9790" spans="5:5" x14ac:dyDescent="0.25">
      <c r="E9790"/>
    </row>
    <row r="9791" spans="5:5" x14ac:dyDescent="0.25">
      <c r="E9791"/>
    </row>
    <row r="9792" spans="5:5" x14ac:dyDescent="0.25">
      <c r="E9792"/>
    </row>
    <row r="9793" spans="5:5" x14ac:dyDescent="0.25">
      <c r="E9793"/>
    </row>
    <row r="9794" spans="5:5" x14ac:dyDescent="0.25">
      <c r="E9794"/>
    </row>
    <row r="9795" spans="5:5" x14ac:dyDescent="0.25">
      <c r="E9795"/>
    </row>
    <row r="9796" spans="5:5" x14ac:dyDescent="0.25">
      <c r="E9796"/>
    </row>
    <row r="9797" spans="5:5" x14ac:dyDescent="0.25">
      <c r="E9797"/>
    </row>
    <row r="9798" spans="5:5" x14ac:dyDescent="0.25">
      <c r="E9798"/>
    </row>
    <row r="9799" spans="5:5" x14ac:dyDescent="0.25">
      <c r="E9799"/>
    </row>
    <row r="9800" spans="5:5" x14ac:dyDescent="0.25">
      <c r="E9800"/>
    </row>
    <row r="9801" spans="5:5" x14ac:dyDescent="0.25">
      <c r="E9801"/>
    </row>
    <row r="9802" spans="5:5" x14ac:dyDescent="0.25">
      <c r="E9802"/>
    </row>
    <row r="9803" spans="5:5" x14ac:dyDescent="0.25">
      <c r="E9803"/>
    </row>
    <row r="9804" spans="5:5" x14ac:dyDescent="0.25">
      <c r="E9804"/>
    </row>
    <row r="9805" spans="5:5" x14ac:dyDescent="0.25">
      <c r="E9805"/>
    </row>
    <row r="9806" spans="5:5" x14ac:dyDescent="0.25">
      <c r="E9806"/>
    </row>
    <row r="9807" spans="5:5" x14ac:dyDescent="0.25">
      <c r="E9807"/>
    </row>
    <row r="9808" spans="5:5" x14ac:dyDescent="0.25">
      <c r="E9808"/>
    </row>
    <row r="9809" spans="5:5" x14ac:dyDescent="0.25">
      <c r="E9809"/>
    </row>
    <row r="9810" spans="5:5" x14ac:dyDescent="0.25">
      <c r="E9810"/>
    </row>
    <row r="9811" spans="5:5" x14ac:dyDescent="0.25">
      <c r="E9811"/>
    </row>
    <row r="9812" spans="5:5" x14ac:dyDescent="0.25">
      <c r="E9812"/>
    </row>
    <row r="9813" spans="5:5" x14ac:dyDescent="0.25">
      <c r="E9813"/>
    </row>
    <row r="9814" spans="5:5" x14ac:dyDescent="0.25">
      <c r="E9814"/>
    </row>
    <row r="9815" spans="5:5" x14ac:dyDescent="0.25">
      <c r="E9815"/>
    </row>
    <row r="9816" spans="5:5" x14ac:dyDescent="0.25">
      <c r="E9816"/>
    </row>
    <row r="9817" spans="5:5" x14ac:dyDescent="0.25">
      <c r="E9817"/>
    </row>
    <row r="9818" spans="5:5" x14ac:dyDescent="0.25">
      <c r="E9818"/>
    </row>
    <row r="9819" spans="5:5" x14ac:dyDescent="0.25">
      <c r="E9819"/>
    </row>
    <row r="9820" spans="5:5" x14ac:dyDescent="0.25">
      <c r="E9820"/>
    </row>
    <row r="9821" spans="5:5" x14ac:dyDescent="0.25">
      <c r="E9821"/>
    </row>
    <row r="9822" spans="5:5" x14ac:dyDescent="0.25">
      <c r="E9822"/>
    </row>
    <row r="9823" spans="5:5" x14ac:dyDescent="0.25">
      <c r="E9823"/>
    </row>
    <row r="9824" spans="5:5" x14ac:dyDescent="0.25">
      <c r="E9824"/>
    </row>
    <row r="9825" spans="5:5" x14ac:dyDescent="0.25">
      <c r="E9825"/>
    </row>
    <row r="9826" spans="5:5" x14ac:dyDescent="0.25">
      <c r="E9826"/>
    </row>
    <row r="9827" spans="5:5" x14ac:dyDescent="0.25">
      <c r="E9827"/>
    </row>
    <row r="9828" spans="5:5" x14ac:dyDescent="0.25">
      <c r="E9828"/>
    </row>
    <row r="9829" spans="5:5" x14ac:dyDescent="0.25">
      <c r="E9829"/>
    </row>
    <row r="9830" spans="5:5" x14ac:dyDescent="0.25">
      <c r="E9830"/>
    </row>
    <row r="9831" spans="5:5" x14ac:dyDescent="0.25">
      <c r="E9831"/>
    </row>
    <row r="9832" spans="5:5" x14ac:dyDescent="0.25">
      <c r="E9832"/>
    </row>
    <row r="9833" spans="5:5" x14ac:dyDescent="0.25">
      <c r="E9833"/>
    </row>
    <row r="9834" spans="5:5" x14ac:dyDescent="0.25">
      <c r="E9834"/>
    </row>
    <row r="9835" spans="5:5" x14ac:dyDescent="0.25">
      <c r="E9835"/>
    </row>
    <row r="9836" spans="5:5" x14ac:dyDescent="0.25">
      <c r="E9836"/>
    </row>
    <row r="9837" spans="5:5" x14ac:dyDescent="0.25">
      <c r="E9837"/>
    </row>
    <row r="9838" spans="5:5" x14ac:dyDescent="0.25">
      <c r="E9838"/>
    </row>
    <row r="9839" spans="5:5" x14ac:dyDescent="0.25">
      <c r="E9839"/>
    </row>
    <row r="9840" spans="5:5" x14ac:dyDescent="0.25">
      <c r="E9840"/>
    </row>
    <row r="9841" spans="5:5" x14ac:dyDescent="0.25">
      <c r="E9841"/>
    </row>
    <row r="9842" spans="5:5" x14ac:dyDescent="0.25">
      <c r="E9842"/>
    </row>
    <row r="9843" spans="5:5" x14ac:dyDescent="0.25">
      <c r="E9843"/>
    </row>
    <row r="9844" spans="5:5" x14ac:dyDescent="0.25">
      <c r="E9844"/>
    </row>
    <row r="9845" spans="5:5" x14ac:dyDescent="0.25">
      <c r="E9845"/>
    </row>
    <row r="9846" spans="5:5" x14ac:dyDescent="0.25">
      <c r="E9846"/>
    </row>
    <row r="9847" spans="5:5" x14ac:dyDescent="0.25">
      <c r="E9847"/>
    </row>
    <row r="9848" spans="5:5" x14ac:dyDescent="0.25">
      <c r="E9848"/>
    </row>
    <row r="9849" spans="5:5" x14ac:dyDescent="0.25">
      <c r="E9849"/>
    </row>
    <row r="9850" spans="5:5" x14ac:dyDescent="0.25">
      <c r="E9850"/>
    </row>
    <row r="9851" spans="5:5" x14ac:dyDescent="0.25">
      <c r="E9851"/>
    </row>
    <row r="9852" spans="5:5" x14ac:dyDescent="0.25">
      <c r="E9852"/>
    </row>
    <row r="9853" spans="5:5" x14ac:dyDescent="0.25">
      <c r="E9853"/>
    </row>
    <row r="9854" spans="5:5" x14ac:dyDescent="0.25">
      <c r="E9854"/>
    </row>
    <row r="9855" spans="5:5" x14ac:dyDescent="0.25">
      <c r="E9855"/>
    </row>
    <row r="9856" spans="5:5" x14ac:dyDescent="0.25">
      <c r="E9856"/>
    </row>
    <row r="9857" spans="5:5" x14ac:dyDescent="0.25">
      <c r="E9857"/>
    </row>
    <row r="9858" spans="5:5" x14ac:dyDescent="0.25">
      <c r="E9858"/>
    </row>
    <row r="9859" spans="5:5" x14ac:dyDescent="0.25">
      <c r="E9859"/>
    </row>
    <row r="9860" spans="5:5" x14ac:dyDescent="0.25">
      <c r="E9860"/>
    </row>
    <row r="9861" spans="5:5" x14ac:dyDescent="0.25">
      <c r="E9861"/>
    </row>
    <row r="9862" spans="5:5" x14ac:dyDescent="0.25">
      <c r="E9862"/>
    </row>
    <row r="9863" spans="5:5" x14ac:dyDescent="0.25">
      <c r="E9863"/>
    </row>
    <row r="9864" spans="5:5" x14ac:dyDescent="0.25">
      <c r="E9864"/>
    </row>
    <row r="9865" spans="5:5" x14ac:dyDescent="0.25">
      <c r="E9865"/>
    </row>
    <row r="9866" spans="5:5" x14ac:dyDescent="0.25">
      <c r="E9866"/>
    </row>
    <row r="9867" spans="5:5" x14ac:dyDescent="0.25">
      <c r="E9867"/>
    </row>
    <row r="9868" spans="5:5" x14ac:dyDescent="0.25">
      <c r="E9868"/>
    </row>
    <row r="9869" spans="5:5" x14ac:dyDescent="0.25">
      <c r="E9869"/>
    </row>
    <row r="9870" spans="5:5" x14ac:dyDescent="0.25">
      <c r="E9870"/>
    </row>
    <row r="9871" spans="5:5" x14ac:dyDescent="0.25">
      <c r="E9871"/>
    </row>
    <row r="9872" spans="5:5" x14ac:dyDescent="0.25">
      <c r="E9872"/>
    </row>
    <row r="9873" spans="5:5" x14ac:dyDescent="0.25">
      <c r="E9873"/>
    </row>
    <row r="9874" spans="5:5" x14ac:dyDescent="0.25">
      <c r="E9874"/>
    </row>
    <row r="9875" spans="5:5" x14ac:dyDescent="0.25">
      <c r="E9875"/>
    </row>
    <row r="9876" spans="5:5" x14ac:dyDescent="0.25">
      <c r="E9876"/>
    </row>
    <row r="9877" spans="5:5" x14ac:dyDescent="0.25">
      <c r="E9877"/>
    </row>
    <row r="9878" spans="5:5" x14ac:dyDescent="0.25">
      <c r="E9878"/>
    </row>
    <row r="9879" spans="5:5" x14ac:dyDescent="0.25">
      <c r="E9879"/>
    </row>
    <row r="9880" spans="5:5" x14ac:dyDescent="0.25">
      <c r="E9880"/>
    </row>
    <row r="9881" spans="5:5" x14ac:dyDescent="0.25">
      <c r="E9881"/>
    </row>
    <row r="9882" spans="5:5" x14ac:dyDescent="0.25">
      <c r="E9882"/>
    </row>
    <row r="9883" spans="5:5" x14ac:dyDescent="0.25">
      <c r="E9883"/>
    </row>
    <row r="9884" spans="5:5" x14ac:dyDescent="0.25">
      <c r="E9884"/>
    </row>
    <row r="9885" spans="5:5" x14ac:dyDescent="0.25">
      <c r="E9885"/>
    </row>
    <row r="9886" spans="5:5" x14ac:dyDescent="0.25">
      <c r="E9886"/>
    </row>
    <row r="9887" spans="5:5" x14ac:dyDescent="0.25">
      <c r="E9887"/>
    </row>
    <row r="9888" spans="5:5" x14ac:dyDescent="0.25">
      <c r="E9888"/>
    </row>
    <row r="9889" spans="5:5" x14ac:dyDescent="0.25">
      <c r="E9889"/>
    </row>
    <row r="9890" spans="5:5" x14ac:dyDescent="0.25">
      <c r="E9890"/>
    </row>
    <row r="9891" spans="5:5" x14ac:dyDescent="0.25">
      <c r="E9891"/>
    </row>
    <row r="9892" spans="5:5" x14ac:dyDescent="0.25">
      <c r="E9892"/>
    </row>
    <row r="9893" spans="5:5" x14ac:dyDescent="0.25">
      <c r="E9893"/>
    </row>
    <row r="9894" spans="5:5" x14ac:dyDescent="0.25">
      <c r="E9894"/>
    </row>
    <row r="9895" spans="5:5" x14ac:dyDescent="0.25">
      <c r="E9895"/>
    </row>
    <row r="9896" spans="5:5" x14ac:dyDescent="0.25">
      <c r="E9896"/>
    </row>
    <row r="9897" spans="5:5" x14ac:dyDescent="0.25">
      <c r="E9897"/>
    </row>
    <row r="9898" spans="5:5" x14ac:dyDescent="0.25">
      <c r="E9898"/>
    </row>
    <row r="9899" spans="5:5" x14ac:dyDescent="0.25">
      <c r="E9899"/>
    </row>
    <row r="9900" spans="5:5" x14ac:dyDescent="0.25">
      <c r="E9900"/>
    </row>
    <row r="9901" spans="5:5" x14ac:dyDescent="0.25">
      <c r="E9901"/>
    </row>
    <row r="9902" spans="5:5" x14ac:dyDescent="0.25">
      <c r="E9902"/>
    </row>
    <row r="9903" spans="5:5" x14ac:dyDescent="0.25">
      <c r="E9903"/>
    </row>
    <row r="9904" spans="5:5" x14ac:dyDescent="0.25">
      <c r="E9904"/>
    </row>
    <row r="9905" spans="5:5" x14ac:dyDescent="0.25">
      <c r="E9905"/>
    </row>
    <row r="9906" spans="5:5" x14ac:dyDescent="0.25">
      <c r="E9906"/>
    </row>
    <row r="9907" spans="5:5" x14ac:dyDescent="0.25">
      <c r="E9907"/>
    </row>
    <row r="9908" spans="5:5" x14ac:dyDescent="0.25">
      <c r="E9908"/>
    </row>
    <row r="9909" spans="5:5" x14ac:dyDescent="0.25">
      <c r="E9909"/>
    </row>
    <row r="9910" spans="5:5" x14ac:dyDescent="0.25">
      <c r="E9910"/>
    </row>
    <row r="9911" spans="5:5" x14ac:dyDescent="0.25">
      <c r="E9911"/>
    </row>
    <row r="9912" spans="5:5" x14ac:dyDescent="0.25">
      <c r="E9912"/>
    </row>
    <row r="9913" spans="5:5" x14ac:dyDescent="0.25">
      <c r="E9913"/>
    </row>
    <row r="9914" spans="5:5" x14ac:dyDescent="0.25">
      <c r="E9914"/>
    </row>
    <row r="9915" spans="5:5" x14ac:dyDescent="0.25">
      <c r="E9915"/>
    </row>
    <row r="9916" spans="5:5" x14ac:dyDescent="0.25">
      <c r="E9916"/>
    </row>
    <row r="9917" spans="5:5" x14ac:dyDescent="0.25">
      <c r="E9917"/>
    </row>
    <row r="9918" spans="5:5" x14ac:dyDescent="0.25">
      <c r="E9918"/>
    </row>
    <row r="9919" spans="5:5" x14ac:dyDescent="0.25">
      <c r="E9919"/>
    </row>
    <row r="9920" spans="5:5" x14ac:dyDescent="0.25">
      <c r="E9920"/>
    </row>
    <row r="9921" spans="5:5" x14ac:dyDescent="0.25">
      <c r="E9921"/>
    </row>
    <row r="9922" spans="5:5" x14ac:dyDescent="0.25">
      <c r="E9922"/>
    </row>
    <row r="9923" spans="5:5" x14ac:dyDescent="0.25">
      <c r="E9923"/>
    </row>
    <row r="9924" spans="5:5" x14ac:dyDescent="0.25">
      <c r="E9924"/>
    </row>
    <row r="9925" spans="5:5" x14ac:dyDescent="0.25">
      <c r="E9925"/>
    </row>
    <row r="9926" spans="5:5" x14ac:dyDescent="0.25">
      <c r="E9926"/>
    </row>
    <row r="9927" spans="5:5" x14ac:dyDescent="0.25">
      <c r="E9927"/>
    </row>
    <row r="9928" spans="5:5" x14ac:dyDescent="0.25">
      <c r="E9928"/>
    </row>
    <row r="9929" spans="5:5" x14ac:dyDescent="0.25">
      <c r="E9929"/>
    </row>
    <row r="9930" spans="5:5" x14ac:dyDescent="0.25">
      <c r="E9930"/>
    </row>
    <row r="9931" spans="5:5" x14ac:dyDescent="0.25">
      <c r="E9931"/>
    </row>
    <row r="9932" spans="5:5" x14ac:dyDescent="0.25">
      <c r="E9932"/>
    </row>
    <row r="9933" spans="5:5" x14ac:dyDescent="0.25">
      <c r="E9933"/>
    </row>
    <row r="9934" spans="5:5" x14ac:dyDescent="0.25">
      <c r="E9934"/>
    </row>
    <row r="9935" spans="5:5" x14ac:dyDescent="0.25">
      <c r="E9935"/>
    </row>
    <row r="9936" spans="5:5" x14ac:dyDescent="0.25">
      <c r="E9936"/>
    </row>
    <row r="9937" spans="5:5" x14ac:dyDescent="0.25">
      <c r="E9937"/>
    </row>
    <row r="9938" spans="5:5" x14ac:dyDescent="0.25">
      <c r="E9938"/>
    </row>
    <row r="9939" spans="5:5" x14ac:dyDescent="0.25">
      <c r="E9939"/>
    </row>
    <row r="9940" spans="5:5" x14ac:dyDescent="0.25">
      <c r="E9940"/>
    </row>
    <row r="9941" spans="5:5" x14ac:dyDescent="0.25">
      <c r="E9941"/>
    </row>
    <row r="9942" spans="5:5" x14ac:dyDescent="0.25">
      <c r="E9942"/>
    </row>
    <row r="9943" spans="5:5" x14ac:dyDescent="0.25">
      <c r="E9943"/>
    </row>
    <row r="9944" spans="5:5" x14ac:dyDescent="0.25">
      <c r="E9944"/>
    </row>
    <row r="9945" spans="5:5" x14ac:dyDescent="0.25">
      <c r="E9945"/>
    </row>
    <row r="9946" spans="5:5" x14ac:dyDescent="0.25">
      <c r="E9946"/>
    </row>
    <row r="9947" spans="5:5" x14ac:dyDescent="0.25">
      <c r="E9947"/>
    </row>
    <row r="9948" spans="5:5" x14ac:dyDescent="0.25">
      <c r="E9948"/>
    </row>
    <row r="9949" spans="5:5" x14ac:dyDescent="0.25">
      <c r="E9949"/>
    </row>
    <row r="9950" spans="5:5" x14ac:dyDescent="0.25">
      <c r="E9950"/>
    </row>
    <row r="9951" spans="5:5" x14ac:dyDescent="0.25">
      <c r="E9951"/>
    </row>
    <row r="9952" spans="5:5" x14ac:dyDescent="0.25">
      <c r="E9952"/>
    </row>
    <row r="9953" spans="5:5" x14ac:dyDescent="0.25">
      <c r="E9953"/>
    </row>
    <row r="9954" spans="5:5" x14ac:dyDescent="0.25">
      <c r="E9954"/>
    </row>
    <row r="9955" spans="5:5" x14ac:dyDescent="0.25">
      <c r="E9955"/>
    </row>
    <row r="9956" spans="5:5" x14ac:dyDescent="0.25">
      <c r="E9956"/>
    </row>
    <row r="9957" spans="5:5" x14ac:dyDescent="0.25">
      <c r="E9957"/>
    </row>
    <row r="9958" spans="5:5" x14ac:dyDescent="0.25">
      <c r="E9958"/>
    </row>
    <row r="9959" spans="5:5" x14ac:dyDescent="0.25">
      <c r="E9959"/>
    </row>
    <row r="9960" spans="5:5" x14ac:dyDescent="0.25">
      <c r="E9960"/>
    </row>
    <row r="9961" spans="5:5" x14ac:dyDescent="0.25">
      <c r="E9961"/>
    </row>
    <row r="9962" spans="5:5" x14ac:dyDescent="0.25">
      <c r="E9962"/>
    </row>
    <row r="9963" spans="5:5" x14ac:dyDescent="0.25">
      <c r="E9963"/>
    </row>
    <row r="9964" spans="5:5" x14ac:dyDescent="0.25">
      <c r="E9964"/>
    </row>
    <row r="9965" spans="5:5" x14ac:dyDescent="0.25">
      <c r="E9965"/>
    </row>
    <row r="9966" spans="5:5" x14ac:dyDescent="0.25">
      <c r="E9966"/>
    </row>
    <row r="9967" spans="5:5" x14ac:dyDescent="0.25">
      <c r="E9967"/>
    </row>
    <row r="9968" spans="5:5" x14ac:dyDescent="0.25">
      <c r="E9968"/>
    </row>
    <row r="9969" spans="5:5" x14ac:dyDescent="0.25">
      <c r="E9969"/>
    </row>
    <row r="9970" spans="5:5" x14ac:dyDescent="0.25">
      <c r="E9970"/>
    </row>
    <row r="9971" spans="5:5" x14ac:dyDescent="0.25">
      <c r="E9971"/>
    </row>
    <row r="9972" spans="5:5" x14ac:dyDescent="0.25">
      <c r="E9972"/>
    </row>
    <row r="9973" spans="5:5" x14ac:dyDescent="0.25">
      <c r="E9973"/>
    </row>
    <row r="9974" spans="5:5" x14ac:dyDescent="0.25">
      <c r="E9974"/>
    </row>
    <row r="9975" spans="5:5" x14ac:dyDescent="0.25">
      <c r="E9975"/>
    </row>
    <row r="9976" spans="5:5" x14ac:dyDescent="0.25">
      <c r="E9976"/>
    </row>
    <row r="9977" spans="5:5" x14ac:dyDescent="0.25">
      <c r="E9977"/>
    </row>
    <row r="9978" spans="5:5" x14ac:dyDescent="0.25">
      <c r="E9978"/>
    </row>
    <row r="9979" spans="5:5" x14ac:dyDescent="0.25">
      <c r="E9979"/>
    </row>
    <row r="9980" spans="5:5" x14ac:dyDescent="0.25">
      <c r="E9980"/>
    </row>
    <row r="9981" spans="5:5" x14ac:dyDescent="0.25">
      <c r="E9981"/>
    </row>
    <row r="9982" spans="5:5" x14ac:dyDescent="0.25">
      <c r="E9982"/>
    </row>
    <row r="9983" spans="5:5" x14ac:dyDescent="0.25">
      <c r="E9983"/>
    </row>
    <row r="9984" spans="5:5" x14ac:dyDescent="0.25">
      <c r="E9984"/>
    </row>
    <row r="9985" spans="5:5" x14ac:dyDescent="0.25">
      <c r="E9985"/>
    </row>
    <row r="9986" spans="5:5" x14ac:dyDescent="0.25">
      <c r="E9986"/>
    </row>
    <row r="9987" spans="5:5" x14ac:dyDescent="0.25">
      <c r="E9987"/>
    </row>
    <row r="9988" spans="5:5" x14ac:dyDescent="0.25">
      <c r="E9988"/>
    </row>
    <row r="9989" spans="5:5" x14ac:dyDescent="0.25">
      <c r="E9989"/>
    </row>
    <row r="9990" spans="5:5" x14ac:dyDescent="0.25">
      <c r="E9990"/>
    </row>
    <row r="9991" spans="5:5" x14ac:dyDescent="0.25">
      <c r="E9991"/>
    </row>
    <row r="9992" spans="5:5" x14ac:dyDescent="0.25">
      <c r="E9992"/>
    </row>
    <row r="9993" spans="5:5" x14ac:dyDescent="0.25">
      <c r="E9993"/>
    </row>
    <row r="9994" spans="5:5" x14ac:dyDescent="0.25">
      <c r="E9994"/>
    </row>
    <row r="9995" spans="5:5" x14ac:dyDescent="0.25">
      <c r="E9995"/>
    </row>
    <row r="9996" spans="5:5" x14ac:dyDescent="0.25">
      <c r="E9996"/>
    </row>
    <row r="9997" spans="5:5" x14ac:dyDescent="0.25">
      <c r="E9997"/>
    </row>
    <row r="9998" spans="5:5" x14ac:dyDescent="0.25">
      <c r="E9998"/>
    </row>
    <row r="9999" spans="5:5" x14ac:dyDescent="0.25">
      <c r="E9999"/>
    </row>
    <row r="10000" spans="5:5" x14ac:dyDescent="0.25">
      <c r="E10000"/>
    </row>
    <row r="10001" spans="5:5" x14ac:dyDescent="0.25">
      <c r="E10001"/>
    </row>
    <row r="10002" spans="5:5" x14ac:dyDescent="0.25">
      <c r="E10002"/>
    </row>
    <row r="10003" spans="5:5" x14ac:dyDescent="0.25">
      <c r="E10003"/>
    </row>
    <row r="10004" spans="5:5" x14ac:dyDescent="0.25">
      <c r="E10004"/>
    </row>
    <row r="10005" spans="5:5" x14ac:dyDescent="0.25">
      <c r="E10005"/>
    </row>
    <row r="10006" spans="5:5" x14ac:dyDescent="0.25">
      <c r="E10006"/>
    </row>
    <row r="10007" spans="5:5" x14ac:dyDescent="0.25">
      <c r="E10007"/>
    </row>
    <row r="10008" spans="5:5" x14ac:dyDescent="0.25">
      <c r="E10008"/>
    </row>
    <row r="10009" spans="5:5" x14ac:dyDescent="0.25">
      <c r="E10009"/>
    </row>
    <row r="10010" spans="5:5" x14ac:dyDescent="0.25">
      <c r="E10010"/>
    </row>
    <row r="10011" spans="5:5" x14ac:dyDescent="0.25">
      <c r="E10011"/>
    </row>
    <row r="10012" spans="5:5" x14ac:dyDescent="0.25">
      <c r="E10012"/>
    </row>
    <row r="10013" spans="5:5" x14ac:dyDescent="0.25">
      <c r="E10013"/>
    </row>
    <row r="10014" spans="5:5" x14ac:dyDescent="0.25">
      <c r="E10014"/>
    </row>
    <row r="10015" spans="5:5" x14ac:dyDescent="0.25">
      <c r="E10015"/>
    </row>
    <row r="10016" spans="5:5" x14ac:dyDescent="0.25">
      <c r="E10016"/>
    </row>
    <row r="10017" spans="5:5" x14ac:dyDescent="0.25">
      <c r="E10017"/>
    </row>
    <row r="10018" spans="5:5" x14ac:dyDescent="0.25">
      <c r="E10018"/>
    </row>
    <row r="10019" spans="5:5" x14ac:dyDescent="0.25">
      <c r="E10019"/>
    </row>
    <row r="10020" spans="5:5" x14ac:dyDescent="0.25">
      <c r="E10020"/>
    </row>
    <row r="10021" spans="5:5" x14ac:dyDescent="0.25">
      <c r="E10021"/>
    </row>
    <row r="10022" spans="5:5" x14ac:dyDescent="0.25">
      <c r="E10022"/>
    </row>
    <row r="10023" spans="5:5" x14ac:dyDescent="0.25">
      <c r="E10023"/>
    </row>
    <row r="10024" spans="5:5" x14ac:dyDescent="0.25">
      <c r="E10024"/>
    </row>
    <row r="10025" spans="5:5" x14ac:dyDescent="0.25">
      <c r="E10025"/>
    </row>
    <row r="10026" spans="5:5" x14ac:dyDescent="0.25">
      <c r="E10026"/>
    </row>
    <row r="10027" spans="5:5" x14ac:dyDescent="0.25">
      <c r="E10027"/>
    </row>
    <row r="10028" spans="5:5" x14ac:dyDescent="0.25">
      <c r="E10028"/>
    </row>
    <row r="10029" spans="5:5" x14ac:dyDescent="0.25">
      <c r="E10029"/>
    </row>
    <row r="10030" spans="5:5" x14ac:dyDescent="0.25">
      <c r="E10030"/>
    </row>
    <row r="10031" spans="5:5" x14ac:dyDescent="0.25">
      <c r="E10031"/>
    </row>
    <row r="10032" spans="5:5" x14ac:dyDescent="0.25">
      <c r="E10032"/>
    </row>
    <row r="10033" spans="5:5" x14ac:dyDescent="0.25">
      <c r="E10033"/>
    </row>
    <row r="10034" spans="5:5" x14ac:dyDescent="0.25">
      <c r="E10034"/>
    </row>
    <row r="10035" spans="5:5" x14ac:dyDescent="0.25">
      <c r="E10035"/>
    </row>
    <row r="10036" spans="5:5" x14ac:dyDescent="0.25">
      <c r="E10036"/>
    </row>
    <row r="10037" spans="5:5" x14ac:dyDescent="0.25">
      <c r="E10037"/>
    </row>
    <row r="10038" spans="5:5" x14ac:dyDescent="0.25">
      <c r="E10038"/>
    </row>
    <row r="10039" spans="5:5" x14ac:dyDescent="0.25">
      <c r="E10039"/>
    </row>
    <row r="10040" spans="5:5" x14ac:dyDescent="0.25">
      <c r="E10040"/>
    </row>
    <row r="10041" spans="5:5" x14ac:dyDescent="0.25">
      <c r="E10041"/>
    </row>
    <row r="10042" spans="5:5" x14ac:dyDescent="0.25">
      <c r="E10042"/>
    </row>
    <row r="10043" spans="5:5" x14ac:dyDescent="0.25">
      <c r="E10043"/>
    </row>
    <row r="10044" spans="5:5" x14ac:dyDescent="0.25">
      <c r="E10044"/>
    </row>
    <row r="10045" spans="5:5" x14ac:dyDescent="0.25">
      <c r="E10045"/>
    </row>
    <row r="10046" spans="5:5" x14ac:dyDescent="0.25">
      <c r="E10046"/>
    </row>
    <row r="10047" spans="5:5" x14ac:dyDescent="0.25">
      <c r="E10047"/>
    </row>
    <row r="10048" spans="5:5" x14ac:dyDescent="0.25">
      <c r="E10048"/>
    </row>
    <row r="10049" spans="5:5" x14ac:dyDescent="0.25">
      <c r="E10049"/>
    </row>
    <row r="10050" spans="5:5" x14ac:dyDescent="0.25">
      <c r="E10050"/>
    </row>
    <row r="10051" spans="5:5" x14ac:dyDescent="0.25">
      <c r="E10051"/>
    </row>
    <row r="10052" spans="5:5" x14ac:dyDescent="0.25">
      <c r="E10052"/>
    </row>
    <row r="10053" spans="5:5" x14ac:dyDescent="0.25">
      <c r="E10053"/>
    </row>
    <row r="10054" spans="5:5" x14ac:dyDescent="0.25">
      <c r="E10054"/>
    </row>
    <row r="10055" spans="5:5" x14ac:dyDescent="0.25">
      <c r="E10055"/>
    </row>
    <row r="10056" spans="5:5" x14ac:dyDescent="0.25">
      <c r="E10056"/>
    </row>
    <row r="10057" spans="5:5" x14ac:dyDescent="0.25">
      <c r="E10057"/>
    </row>
    <row r="10058" spans="5:5" x14ac:dyDescent="0.25">
      <c r="E10058"/>
    </row>
    <row r="10059" spans="5:5" x14ac:dyDescent="0.25">
      <c r="E10059"/>
    </row>
    <row r="10060" spans="5:5" x14ac:dyDescent="0.25">
      <c r="E10060"/>
    </row>
    <row r="10061" spans="5:5" x14ac:dyDescent="0.25">
      <c r="E10061"/>
    </row>
    <row r="10062" spans="5:5" x14ac:dyDescent="0.25">
      <c r="E10062"/>
    </row>
    <row r="10063" spans="5:5" x14ac:dyDescent="0.25">
      <c r="E10063"/>
    </row>
    <row r="10064" spans="5:5" x14ac:dyDescent="0.25">
      <c r="E10064"/>
    </row>
    <row r="10065" spans="5:5" x14ac:dyDescent="0.25">
      <c r="E10065"/>
    </row>
    <row r="10066" spans="5:5" x14ac:dyDescent="0.25">
      <c r="E10066"/>
    </row>
    <row r="10067" spans="5:5" x14ac:dyDescent="0.25">
      <c r="E10067"/>
    </row>
    <row r="10068" spans="5:5" x14ac:dyDescent="0.25">
      <c r="E10068"/>
    </row>
    <row r="10069" spans="5:5" x14ac:dyDescent="0.25">
      <c r="E10069"/>
    </row>
    <row r="10070" spans="5:5" x14ac:dyDescent="0.25">
      <c r="E10070"/>
    </row>
    <row r="10071" spans="5:5" x14ac:dyDescent="0.25">
      <c r="E10071"/>
    </row>
    <row r="10072" spans="5:5" x14ac:dyDescent="0.25">
      <c r="E10072"/>
    </row>
    <row r="10073" spans="5:5" x14ac:dyDescent="0.25">
      <c r="E10073"/>
    </row>
    <row r="10074" spans="5:5" x14ac:dyDescent="0.25">
      <c r="E10074"/>
    </row>
    <row r="10075" spans="5:5" x14ac:dyDescent="0.25">
      <c r="E10075"/>
    </row>
    <row r="10076" spans="5:5" x14ac:dyDescent="0.25">
      <c r="E10076"/>
    </row>
    <row r="10077" spans="5:5" x14ac:dyDescent="0.25">
      <c r="E10077"/>
    </row>
    <row r="10078" spans="5:5" x14ac:dyDescent="0.25">
      <c r="E10078"/>
    </row>
    <row r="10079" spans="5:5" x14ac:dyDescent="0.25">
      <c r="E10079"/>
    </row>
    <row r="10080" spans="5:5" x14ac:dyDescent="0.25">
      <c r="E10080"/>
    </row>
    <row r="10081" spans="5:5" x14ac:dyDescent="0.25">
      <c r="E10081"/>
    </row>
    <row r="10082" spans="5:5" x14ac:dyDescent="0.25">
      <c r="E10082"/>
    </row>
    <row r="10083" spans="5:5" x14ac:dyDescent="0.25">
      <c r="E10083"/>
    </row>
    <row r="10084" spans="5:5" x14ac:dyDescent="0.25">
      <c r="E10084"/>
    </row>
    <row r="10085" spans="5:5" x14ac:dyDescent="0.25">
      <c r="E10085"/>
    </row>
    <row r="10086" spans="5:5" x14ac:dyDescent="0.25">
      <c r="E10086"/>
    </row>
    <row r="10087" spans="5:5" x14ac:dyDescent="0.25">
      <c r="E10087"/>
    </row>
    <row r="10088" spans="5:5" x14ac:dyDescent="0.25">
      <c r="E10088"/>
    </row>
    <row r="10089" spans="5:5" x14ac:dyDescent="0.25">
      <c r="E10089"/>
    </row>
    <row r="10090" spans="5:5" x14ac:dyDescent="0.25">
      <c r="E10090"/>
    </row>
    <row r="10091" spans="5:5" x14ac:dyDescent="0.25">
      <c r="E10091"/>
    </row>
    <row r="10092" spans="5:5" x14ac:dyDescent="0.25">
      <c r="E10092"/>
    </row>
    <row r="10093" spans="5:5" x14ac:dyDescent="0.25">
      <c r="E10093"/>
    </row>
    <row r="10094" spans="5:5" x14ac:dyDescent="0.25">
      <c r="E10094"/>
    </row>
    <row r="10095" spans="5:5" x14ac:dyDescent="0.25">
      <c r="E10095"/>
    </row>
    <row r="10096" spans="5:5" x14ac:dyDescent="0.25">
      <c r="E10096"/>
    </row>
    <row r="10097" spans="5:5" x14ac:dyDescent="0.25">
      <c r="E10097"/>
    </row>
    <row r="10098" spans="5:5" x14ac:dyDescent="0.25">
      <c r="E10098"/>
    </row>
    <row r="10099" spans="5:5" x14ac:dyDescent="0.25">
      <c r="E10099"/>
    </row>
    <row r="10100" spans="5:5" x14ac:dyDescent="0.25">
      <c r="E10100"/>
    </row>
    <row r="10101" spans="5:5" x14ac:dyDescent="0.25">
      <c r="E10101"/>
    </row>
    <row r="10102" spans="5:5" x14ac:dyDescent="0.25">
      <c r="E10102"/>
    </row>
    <row r="10103" spans="5:5" x14ac:dyDescent="0.25">
      <c r="E10103"/>
    </row>
    <row r="10104" spans="5:5" x14ac:dyDescent="0.25">
      <c r="E10104"/>
    </row>
    <row r="10105" spans="5:5" x14ac:dyDescent="0.25">
      <c r="E10105"/>
    </row>
    <row r="10106" spans="5:5" x14ac:dyDescent="0.25">
      <c r="E10106"/>
    </row>
    <row r="10107" spans="5:5" x14ac:dyDescent="0.25">
      <c r="E10107"/>
    </row>
    <row r="10108" spans="5:5" x14ac:dyDescent="0.25">
      <c r="E10108"/>
    </row>
    <row r="10109" spans="5:5" x14ac:dyDescent="0.25">
      <c r="E10109"/>
    </row>
    <row r="10110" spans="5:5" x14ac:dyDescent="0.25">
      <c r="E10110"/>
    </row>
    <row r="10111" spans="5:5" x14ac:dyDescent="0.25">
      <c r="E10111"/>
    </row>
    <row r="10112" spans="5:5" x14ac:dyDescent="0.25">
      <c r="E10112"/>
    </row>
    <row r="10113" spans="5:5" x14ac:dyDescent="0.25">
      <c r="E10113"/>
    </row>
    <row r="10114" spans="5:5" x14ac:dyDescent="0.25">
      <c r="E10114"/>
    </row>
    <row r="10115" spans="5:5" x14ac:dyDescent="0.25">
      <c r="E10115"/>
    </row>
    <row r="10116" spans="5:5" x14ac:dyDescent="0.25">
      <c r="E10116"/>
    </row>
    <row r="10117" spans="5:5" x14ac:dyDescent="0.25">
      <c r="E10117"/>
    </row>
    <row r="10118" spans="5:5" x14ac:dyDescent="0.25">
      <c r="E10118"/>
    </row>
    <row r="10119" spans="5:5" x14ac:dyDescent="0.25">
      <c r="E10119"/>
    </row>
    <row r="10120" spans="5:5" x14ac:dyDescent="0.25">
      <c r="E10120"/>
    </row>
    <row r="10121" spans="5:5" x14ac:dyDescent="0.25">
      <c r="E10121"/>
    </row>
    <row r="10122" spans="5:5" x14ac:dyDescent="0.25">
      <c r="E10122"/>
    </row>
    <row r="10123" spans="5:5" x14ac:dyDescent="0.25">
      <c r="E10123"/>
    </row>
    <row r="10124" spans="5:5" x14ac:dyDescent="0.25">
      <c r="E10124"/>
    </row>
    <row r="10125" spans="5:5" x14ac:dyDescent="0.25">
      <c r="E10125"/>
    </row>
    <row r="10126" spans="5:5" x14ac:dyDescent="0.25">
      <c r="E10126"/>
    </row>
    <row r="10127" spans="5:5" x14ac:dyDescent="0.25">
      <c r="E10127"/>
    </row>
    <row r="10128" spans="5:5" x14ac:dyDescent="0.25">
      <c r="E10128"/>
    </row>
    <row r="10129" spans="5:5" x14ac:dyDescent="0.25">
      <c r="E10129"/>
    </row>
    <row r="10130" spans="5:5" x14ac:dyDescent="0.25">
      <c r="E10130"/>
    </row>
    <row r="10131" spans="5:5" x14ac:dyDescent="0.25">
      <c r="E10131"/>
    </row>
    <row r="10132" spans="5:5" x14ac:dyDescent="0.25">
      <c r="E10132"/>
    </row>
    <row r="10133" spans="5:5" x14ac:dyDescent="0.25">
      <c r="E10133"/>
    </row>
    <row r="10134" spans="5:5" x14ac:dyDescent="0.25">
      <c r="E10134"/>
    </row>
    <row r="10135" spans="5:5" x14ac:dyDescent="0.25">
      <c r="E10135"/>
    </row>
    <row r="10136" spans="5:5" x14ac:dyDescent="0.25">
      <c r="E10136"/>
    </row>
    <row r="10137" spans="5:5" x14ac:dyDescent="0.25">
      <c r="E10137"/>
    </row>
    <row r="10138" spans="5:5" x14ac:dyDescent="0.25">
      <c r="E10138"/>
    </row>
    <row r="10139" spans="5:5" x14ac:dyDescent="0.25">
      <c r="E10139"/>
    </row>
    <row r="10140" spans="5:5" x14ac:dyDescent="0.25">
      <c r="E10140"/>
    </row>
    <row r="10141" spans="5:5" x14ac:dyDescent="0.25">
      <c r="E10141"/>
    </row>
    <row r="10142" spans="5:5" x14ac:dyDescent="0.25">
      <c r="E10142"/>
    </row>
    <row r="10143" spans="5:5" x14ac:dyDescent="0.25">
      <c r="E10143"/>
    </row>
    <row r="10144" spans="5:5" x14ac:dyDescent="0.25">
      <c r="E10144"/>
    </row>
    <row r="10145" spans="5:5" x14ac:dyDescent="0.25">
      <c r="E10145"/>
    </row>
    <row r="10146" spans="5:5" x14ac:dyDescent="0.25">
      <c r="E10146"/>
    </row>
    <row r="10147" spans="5:5" x14ac:dyDescent="0.25">
      <c r="E10147"/>
    </row>
    <row r="10148" spans="5:5" x14ac:dyDescent="0.25">
      <c r="E10148"/>
    </row>
    <row r="10149" spans="5:5" x14ac:dyDescent="0.25">
      <c r="E10149"/>
    </row>
    <row r="10150" spans="5:5" x14ac:dyDescent="0.25">
      <c r="E10150"/>
    </row>
    <row r="10151" spans="5:5" x14ac:dyDescent="0.25">
      <c r="E10151"/>
    </row>
    <row r="10152" spans="5:5" x14ac:dyDescent="0.25">
      <c r="E10152"/>
    </row>
    <row r="10153" spans="5:5" x14ac:dyDescent="0.25">
      <c r="E10153"/>
    </row>
    <row r="10154" spans="5:5" x14ac:dyDescent="0.25">
      <c r="E10154"/>
    </row>
    <row r="10155" spans="5:5" x14ac:dyDescent="0.25">
      <c r="E10155"/>
    </row>
    <row r="10156" spans="5:5" x14ac:dyDescent="0.25">
      <c r="E10156"/>
    </row>
    <row r="10157" spans="5:5" x14ac:dyDescent="0.25">
      <c r="E10157"/>
    </row>
    <row r="10158" spans="5:5" x14ac:dyDescent="0.25">
      <c r="E10158"/>
    </row>
    <row r="10159" spans="5:5" x14ac:dyDescent="0.25">
      <c r="E10159"/>
    </row>
    <row r="10160" spans="5:5" x14ac:dyDescent="0.25">
      <c r="E10160"/>
    </row>
    <row r="10161" spans="5:5" x14ac:dyDescent="0.25">
      <c r="E10161"/>
    </row>
    <row r="10162" spans="5:5" x14ac:dyDescent="0.25">
      <c r="E10162"/>
    </row>
    <row r="10163" spans="5:5" x14ac:dyDescent="0.25">
      <c r="E10163"/>
    </row>
    <row r="10164" spans="5:5" x14ac:dyDescent="0.25">
      <c r="E10164"/>
    </row>
    <row r="10165" spans="5:5" x14ac:dyDescent="0.25">
      <c r="E10165"/>
    </row>
    <row r="10166" spans="5:5" x14ac:dyDescent="0.25">
      <c r="E10166"/>
    </row>
    <row r="10167" spans="5:5" x14ac:dyDescent="0.25">
      <c r="E10167"/>
    </row>
    <row r="10168" spans="5:5" x14ac:dyDescent="0.25">
      <c r="E10168"/>
    </row>
    <row r="10169" spans="5:5" x14ac:dyDescent="0.25">
      <c r="E10169"/>
    </row>
    <row r="10170" spans="5:5" x14ac:dyDescent="0.25">
      <c r="E10170"/>
    </row>
    <row r="10171" spans="5:5" x14ac:dyDescent="0.25">
      <c r="E10171"/>
    </row>
    <row r="10172" spans="5:5" x14ac:dyDescent="0.25">
      <c r="E10172"/>
    </row>
    <row r="10173" spans="5:5" x14ac:dyDescent="0.25">
      <c r="E10173"/>
    </row>
    <row r="10174" spans="5:5" x14ac:dyDescent="0.25">
      <c r="E10174"/>
    </row>
    <row r="10175" spans="5:5" x14ac:dyDescent="0.25">
      <c r="E10175"/>
    </row>
    <row r="10176" spans="5:5" x14ac:dyDescent="0.25">
      <c r="E10176"/>
    </row>
    <row r="10177" spans="5:5" x14ac:dyDescent="0.25">
      <c r="E10177"/>
    </row>
    <row r="10178" spans="5:5" x14ac:dyDescent="0.25">
      <c r="E10178"/>
    </row>
    <row r="10179" spans="5:5" x14ac:dyDescent="0.25">
      <c r="E10179"/>
    </row>
    <row r="10180" spans="5:5" x14ac:dyDescent="0.25">
      <c r="E10180"/>
    </row>
    <row r="10181" spans="5:5" x14ac:dyDescent="0.25">
      <c r="E10181"/>
    </row>
    <row r="10182" spans="5:5" x14ac:dyDescent="0.25">
      <c r="E10182"/>
    </row>
    <row r="10183" spans="5:5" x14ac:dyDescent="0.25">
      <c r="E10183"/>
    </row>
    <row r="10184" spans="5:5" x14ac:dyDescent="0.25">
      <c r="E10184"/>
    </row>
    <row r="10185" spans="5:5" x14ac:dyDescent="0.25">
      <c r="E10185"/>
    </row>
    <row r="10186" spans="5:5" x14ac:dyDescent="0.25">
      <c r="E10186"/>
    </row>
    <row r="10187" spans="5:5" x14ac:dyDescent="0.25">
      <c r="E10187"/>
    </row>
    <row r="10188" spans="5:5" x14ac:dyDescent="0.25">
      <c r="E10188"/>
    </row>
    <row r="10189" spans="5:5" x14ac:dyDescent="0.25">
      <c r="E10189"/>
    </row>
    <row r="10190" spans="5:5" x14ac:dyDescent="0.25">
      <c r="E10190"/>
    </row>
    <row r="10191" spans="5:5" x14ac:dyDescent="0.25">
      <c r="E10191"/>
    </row>
    <row r="10192" spans="5:5" x14ac:dyDescent="0.25">
      <c r="E10192"/>
    </row>
    <row r="10193" spans="5:5" x14ac:dyDescent="0.25">
      <c r="E10193"/>
    </row>
    <row r="10194" spans="5:5" x14ac:dyDescent="0.25">
      <c r="E10194"/>
    </row>
    <row r="10195" spans="5:5" x14ac:dyDescent="0.25">
      <c r="E10195"/>
    </row>
    <row r="10196" spans="5:5" x14ac:dyDescent="0.25">
      <c r="E10196"/>
    </row>
    <row r="10197" spans="5:5" x14ac:dyDescent="0.25">
      <c r="E10197"/>
    </row>
    <row r="10198" spans="5:5" x14ac:dyDescent="0.25">
      <c r="E10198"/>
    </row>
    <row r="10199" spans="5:5" x14ac:dyDescent="0.25">
      <c r="E10199"/>
    </row>
    <row r="10200" spans="5:5" x14ac:dyDescent="0.25">
      <c r="E10200"/>
    </row>
    <row r="10201" spans="5:5" x14ac:dyDescent="0.25">
      <c r="E10201"/>
    </row>
    <row r="10202" spans="5:5" x14ac:dyDescent="0.25">
      <c r="E10202"/>
    </row>
    <row r="10203" spans="5:5" x14ac:dyDescent="0.25">
      <c r="E10203"/>
    </row>
    <row r="10204" spans="5:5" x14ac:dyDescent="0.25">
      <c r="E10204"/>
    </row>
    <row r="10205" spans="5:5" x14ac:dyDescent="0.25">
      <c r="E10205"/>
    </row>
    <row r="10206" spans="5:5" x14ac:dyDescent="0.25">
      <c r="E10206"/>
    </row>
    <row r="10207" spans="5:5" x14ac:dyDescent="0.25">
      <c r="E10207"/>
    </row>
    <row r="10208" spans="5:5" x14ac:dyDescent="0.25">
      <c r="E10208"/>
    </row>
    <row r="10209" spans="5:5" x14ac:dyDescent="0.25">
      <c r="E10209"/>
    </row>
    <row r="10210" spans="5:5" x14ac:dyDescent="0.25">
      <c r="E10210"/>
    </row>
    <row r="10211" spans="5:5" x14ac:dyDescent="0.25">
      <c r="E10211"/>
    </row>
    <row r="10212" spans="5:5" x14ac:dyDescent="0.25">
      <c r="E10212"/>
    </row>
    <row r="10213" spans="5:5" x14ac:dyDescent="0.25">
      <c r="E10213"/>
    </row>
    <row r="10214" spans="5:5" x14ac:dyDescent="0.25">
      <c r="E10214"/>
    </row>
    <row r="10215" spans="5:5" x14ac:dyDescent="0.25">
      <c r="E10215"/>
    </row>
    <row r="10216" spans="5:5" x14ac:dyDescent="0.25">
      <c r="E10216"/>
    </row>
    <row r="10217" spans="5:5" x14ac:dyDescent="0.25">
      <c r="E10217"/>
    </row>
    <row r="10218" spans="5:5" x14ac:dyDescent="0.25">
      <c r="E10218"/>
    </row>
    <row r="10219" spans="5:5" x14ac:dyDescent="0.25">
      <c r="E10219"/>
    </row>
    <row r="10220" spans="5:5" x14ac:dyDescent="0.25">
      <c r="E10220"/>
    </row>
    <row r="10221" spans="5:5" x14ac:dyDescent="0.25">
      <c r="E10221"/>
    </row>
    <row r="10222" spans="5:5" x14ac:dyDescent="0.25">
      <c r="E10222"/>
    </row>
    <row r="10223" spans="5:5" x14ac:dyDescent="0.25">
      <c r="E10223"/>
    </row>
    <row r="10224" spans="5:5" x14ac:dyDescent="0.25">
      <c r="E10224"/>
    </row>
    <row r="10225" spans="5:5" x14ac:dyDescent="0.25">
      <c r="E10225"/>
    </row>
    <row r="10226" spans="5:5" x14ac:dyDescent="0.25">
      <c r="E10226"/>
    </row>
    <row r="10227" spans="5:5" x14ac:dyDescent="0.25">
      <c r="E10227"/>
    </row>
    <row r="10228" spans="5:5" x14ac:dyDescent="0.25">
      <c r="E10228"/>
    </row>
    <row r="10229" spans="5:5" x14ac:dyDescent="0.25">
      <c r="E10229"/>
    </row>
    <row r="10230" spans="5:5" x14ac:dyDescent="0.25">
      <c r="E10230"/>
    </row>
    <row r="10231" spans="5:5" x14ac:dyDescent="0.25">
      <c r="E10231"/>
    </row>
    <row r="10232" spans="5:5" x14ac:dyDescent="0.25">
      <c r="E10232"/>
    </row>
    <row r="10233" spans="5:5" x14ac:dyDescent="0.25">
      <c r="E10233"/>
    </row>
    <row r="10234" spans="5:5" x14ac:dyDescent="0.25">
      <c r="E10234"/>
    </row>
    <row r="10235" spans="5:5" x14ac:dyDescent="0.25">
      <c r="E10235"/>
    </row>
    <row r="10236" spans="5:5" x14ac:dyDescent="0.25">
      <c r="E10236"/>
    </row>
    <row r="10237" spans="5:5" x14ac:dyDescent="0.25">
      <c r="E10237"/>
    </row>
    <row r="10238" spans="5:5" x14ac:dyDescent="0.25">
      <c r="E10238"/>
    </row>
    <row r="10239" spans="5:5" x14ac:dyDescent="0.25">
      <c r="E10239"/>
    </row>
    <row r="10240" spans="5:5" x14ac:dyDescent="0.25">
      <c r="E10240"/>
    </row>
    <row r="10241" spans="5:5" x14ac:dyDescent="0.25">
      <c r="E10241"/>
    </row>
    <row r="10242" spans="5:5" x14ac:dyDescent="0.25">
      <c r="E10242"/>
    </row>
    <row r="10243" spans="5:5" x14ac:dyDescent="0.25">
      <c r="E10243"/>
    </row>
    <row r="10244" spans="5:5" x14ac:dyDescent="0.25">
      <c r="E10244"/>
    </row>
    <row r="10245" spans="5:5" x14ac:dyDescent="0.25">
      <c r="E10245"/>
    </row>
    <row r="10246" spans="5:5" x14ac:dyDescent="0.25">
      <c r="E10246"/>
    </row>
    <row r="10247" spans="5:5" x14ac:dyDescent="0.25">
      <c r="E10247"/>
    </row>
    <row r="10248" spans="5:5" x14ac:dyDescent="0.25">
      <c r="E10248"/>
    </row>
    <row r="10249" spans="5:5" x14ac:dyDescent="0.25">
      <c r="E10249"/>
    </row>
    <row r="10250" spans="5:5" x14ac:dyDescent="0.25">
      <c r="E10250"/>
    </row>
    <row r="10251" spans="5:5" x14ac:dyDescent="0.25">
      <c r="E10251"/>
    </row>
    <row r="10252" spans="5:5" x14ac:dyDescent="0.25">
      <c r="E10252"/>
    </row>
    <row r="10253" spans="5:5" x14ac:dyDescent="0.25">
      <c r="E10253"/>
    </row>
    <row r="10254" spans="5:5" x14ac:dyDescent="0.25">
      <c r="E10254"/>
    </row>
    <row r="10255" spans="5:5" x14ac:dyDescent="0.25">
      <c r="E10255"/>
    </row>
    <row r="10256" spans="5:5" x14ac:dyDescent="0.25">
      <c r="E10256"/>
    </row>
    <row r="10257" spans="5:5" x14ac:dyDescent="0.25">
      <c r="E10257"/>
    </row>
    <row r="10258" spans="5:5" x14ac:dyDescent="0.25">
      <c r="E10258"/>
    </row>
    <row r="10259" spans="5:5" x14ac:dyDescent="0.25">
      <c r="E10259"/>
    </row>
    <row r="10260" spans="5:5" x14ac:dyDescent="0.25">
      <c r="E10260"/>
    </row>
    <row r="10261" spans="5:5" x14ac:dyDescent="0.25">
      <c r="E10261"/>
    </row>
    <row r="10262" spans="5:5" x14ac:dyDescent="0.25">
      <c r="E10262"/>
    </row>
    <row r="10263" spans="5:5" x14ac:dyDescent="0.25">
      <c r="E10263"/>
    </row>
    <row r="10264" spans="5:5" x14ac:dyDescent="0.25">
      <c r="E10264"/>
    </row>
    <row r="10265" spans="5:5" x14ac:dyDescent="0.25">
      <c r="E10265"/>
    </row>
    <row r="10266" spans="5:5" x14ac:dyDescent="0.25">
      <c r="E10266"/>
    </row>
    <row r="10267" spans="5:5" x14ac:dyDescent="0.25">
      <c r="E10267"/>
    </row>
    <row r="10268" spans="5:5" x14ac:dyDescent="0.25">
      <c r="E10268"/>
    </row>
    <row r="10269" spans="5:5" x14ac:dyDescent="0.25">
      <c r="E10269"/>
    </row>
    <row r="10270" spans="5:5" x14ac:dyDescent="0.25">
      <c r="E10270"/>
    </row>
    <row r="10271" spans="5:5" x14ac:dyDescent="0.25">
      <c r="E10271"/>
    </row>
    <row r="10272" spans="5:5" x14ac:dyDescent="0.25">
      <c r="E10272"/>
    </row>
    <row r="10273" spans="5:5" x14ac:dyDescent="0.25">
      <c r="E10273"/>
    </row>
    <row r="10274" spans="5:5" x14ac:dyDescent="0.25">
      <c r="E10274"/>
    </row>
    <row r="10275" spans="5:5" x14ac:dyDescent="0.25">
      <c r="E10275"/>
    </row>
    <row r="10276" spans="5:5" x14ac:dyDescent="0.25">
      <c r="E10276"/>
    </row>
    <row r="10277" spans="5:5" x14ac:dyDescent="0.25">
      <c r="E10277"/>
    </row>
    <row r="10278" spans="5:5" x14ac:dyDescent="0.25">
      <c r="E10278"/>
    </row>
    <row r="10279" spans="5:5" x14ac:dyDescent="0.25">
      <c r="E10279"/>
    </row>
    <row r="10280" spans="5:5" x14ac:dyDescent="0.25">
      <c r="E10280"/>
    </row>
    <row r="10281" spans="5:5" x14ac:dyDescent="0.25">
      <c r="E10281"/>
    </row>
    <row r="10282" spans="5:5" x14ac:dyDescent="0.25">
      <c r="E10282"/>
    </row>
    <row r="10283" spans="5:5" x14ac:dyDescent="0.25">
      <c r="E10283"/>
    </row>
    <row r="10284" spans="5:5" x14ac:dyDescent="0.25">
      <c r="E10284"/>
    </row>
    <row r="10285" spans="5:5" x14ac:dyDescent="0.25">
      <c r="E10285"/>
    </row>
    <row r="10286" spans="5:5" x14ac:dyDescent="0.25">
      <c r="E10286"/>
    </row>
    <row r="10287" spans="5:5" x14ac:dyDescent="0.25">
      <c r="E10287"/>
    </row>
    <row r="10288" spans="5:5" x14ac:dyDescent="0.25">
      <c r="E10288"/>
    </row>
    <row r="10289" spans="5:5" x14ac:dyDescent="0.25">
      <c r="E10289"/>
    </row>
    <row r="10290" spans="5:5" x14ac:dyDescent="0.25">
      <c r="E10290"/>
    </row>
    <row r="10291" spans="5:5" x14ac:dyDescent="0.25">
      <c r="E10291"/>
    </row>
    <row r="10292" spans="5:5" x14ac:dyDescent="0.25">
      <c r="E10292"/>
    </row>
    <row r="10293" spans="5:5" x14ac:dyDescent="0.25">
      <c r="E10293"/>
    </row>
    <row r="10294" spans="5:5" x14ac:dyDescent="0.25">
      <c r="E10294"/>
    </row>
    <row r="10295" spans="5:5" x14ac:dyDescent="0.25">
      <c r="E10295"/>
    </row>
    <row r="10296" spans="5:5" x14ac:dyDescent="0.25">
      <c r="E10296"/>
    </row>
    <row r="10297" spans="5:5" x14ac:dyDescent="0.25">
      <c r="E10297"/>
    </row>
    <row r="10298" spans="5:5" x14ac:dyDescent="0.25">
      <c r="E10298"/>
    </row>
    <row r="10299" spans="5:5" x14ac:dyDescent="0.25">
      <c r="E10299"/>
    </row>
    <row r="10300" spans="5:5" x14ac:dyDescent="0.25">
      <c r="E10300"/>
    </row>
    <row r="10301" spans="5:5" x14ac:dyDescent="0.25">
      <c r="E10301"/>
    </row>
    <row r="10302" spans="5:5" x14ac:dyDescent="0.25">
      <c r="E10302"/>
    </row>
    <row r="10303" spans="5:5" x14ac:dyDescent="0.25">
      <c r="E10303"/>
    </row>
    <row r="10304" spans="5:5" x14ac:dyDescent="0.25">
      <c r="E10304"/>
    </row>
    <row r="10305" spans="5:5" x14ac:dyDescent="0.25">
      <c r="E10305"/>
    </row>
    <row r="10306" spans="5:5" x14ac:dyDescent="0.25">
      <c r="E10306"/>
    </row>
    <row r="10307" spans="5:5" x14ac:dyDescent="0.25">
      <c r="E10307"/>
    </row>
    <row r="10308" spans="5:5" x14ac:dyDescent="0.25">
      <c r="E10308"/>
    </row>
    <row r="10309" spans="5:5" x14ac:dyDescent="0.25">
      <c r="E10309"/>
    </row>
    <row r="10310" spans="5:5" x14ac:dyDescent="0.25">
      <c r="E10310"/>
    </row>
    <row r="10311" spans="5:5" x14ac:dyDescent="0.25">
      <c r="E10311"/>
    </row>
    <row r="10312" spans="5:5" x14ac:dyDescent="0.25">
      <c r="E10312"/>
    </row>
    <row r="10313" spans="5:5" x14ac:dyDescent="0.25">
      <c r="E10313"/>
    </row>
    <row r="10314" spans="5:5" x14ac:dyDescent="0.25">
      <c r="E10314"/>
    </row>
    <row r="10315" spans="5:5" x14ac:dyDescent="0.25">
      <c r="E10315"/>
    </row>
    <row r="10316" spans="5:5" x14ac:dyDescent="0.25">
      <c r="E10316"/>
    </row>
    <row r="10317" spans="5:5" x14ac:dyDescent="0.25">
      <c r="E10317"/>
    </row>
    <row r="10318" spans="5:5" x14ac:dyDescent="0.25">
      <c r="E10318"/>
    </row>
    <row r="10319" spans="5:5" x14ac:dyDescent="0.25">
      <c r="E10319"/>
    </row>
    <row r="10320" spans="5:5" x14ac:dyDescent="0.25">
      <c r="E10320"/>
    </row>
    <row r="10321" spans="5:5" x14ac:dyDescent="0.25">
      <c r="E10321"/>
    </row>
    <row r="10322" spans="5:5" x14ac:dyDescent="0.25">
      <c r="E10322"/>
    </row>
    <row r="10323" spans="5:5" x14ac:dyDescent="0.25">
      <c r="E10323"/>
    </row>
    <row r="10324" spans="5:5" x14ac:dyDescent="0.25">
      <c r="E10324"/>
    </row>
    <row r="10325" spans="5:5" x14ac:dyDescent="0.25">
      <c r="E10325"/>
    </row>
    <row r="10326" spans="5:5" x14ac:dyDescent="0.25">
      <c r="E10326"/>
    </row>
    <row r="10327" spans="5:5" x14ac:dyDescent="0.25">
      <c r="E10327"/>
    </row>
    <row r="10328" spans="5:5" x14ac:dyDescent="0.25">
      <c r="E10328"/>
    </row>
    <row r="10329" spans="5:5" x14ac:dyDescent="0.25">
      <c r="E10329"/>
    </row>
    <row r="10330" spans="5:5" x14ac:dyDescent="0.25">
      <c r="E10330"/>
    </row>
    <row r="10331" spans="5:5" x14ac:dyDescent="0.25">
      <c r="E10331"/>
    </row>
    <row r="10332" spans="5:5" x14ac:dyDescent="0.25">
      <c r="E10332"/>
    </row>
    <row r="10333" spans="5:5" x14ac:dyDescent="0.25">
      <c r="E10333"/>
    </row>
    <row r="10334" spans="5:5" x14ac:dyDescent="0.25">
      <c r="E10334"/>
    </row>
    <row r="10335" spans="5:5" x14ac:dyDescent="0.25">
      <c r="E10335"/>
    </row>
    <row r="10336" spans="5:5" x14ac:dyDescent="0.25">
      <c r="E10336"/>
    </row>
    <row r="10337" spans="5:5" x14ac:dyDescent="0.25">
      <c r="E10337"/>
    </row>
    <row r="10338" spans="5:5" x14ac:dyDescent="0.25">
      <c r="E10338"/>
    </row>
    <row r="10339" spans="5:5" x14ac:dyDescent="0.25">
      <c r="E10339"/>
    </row>
    <row r="10340" spans="5:5" x14ac:dyDescent="0.25">
      <c r="E10340"/>
    </row>
    <row r="10341" spans="5:5" x14ac:dyDescent="0.25">
      <c r="E10341"/>
    </row>
    <row r="10342" spans="5:5" x14ac:dyDescent="0.25">
      <c r="E10342"/>
    </row>
    <row r="10343" spans="5:5" x14ac:dyDescent="0.25">
      <c r="E10343"/>
    </row>
    <row r="10344" spans="5:5" x14ac:dyDescent="0.25">
      <c r="E10344"/>
    </row>
    <row r="10345" spans="5:5" x14ac:dyDescent="0.25">
      <c r="E10345"/>
    </row>
    <row r="10346" spans="5:5" x14ac:dyDescent="0.25">
      <c r="E10346"/>
    </row>
    <row r="10347" spans="5:5" x14ac:dyDescent="0.25">
      <c r="E10347"/>
    </row>
    <row r="10348" spans="5:5" x14ac:dyDescent="0.25">
      <c r="E10348"/>
    </row>
    <row r="10349" spans="5:5" x14ac:dyDescent="0.25">
      <c r="E10349"/>
    </row>
    <row r="10350" spans="5:5" x14ac:dyDescent="0.25">
      <c r="E10350"/>
    </row>
    <row r="10351" spans="5:5" x14ac:dyDescent="0.25">
      <c r="E10351"/>
    </row>
    <row r="10352" spans="5:5" x14ac:dyDescent="0.25">
      <c r="E10352"/>
    </row>
    <row r="10353" spans="5:5" x14ac:dyDescent="0.25">
      <c r="E10353"/>
    </row>
    <row r="10354" spans="5:5" x14ac:dyDescent="0.25">
      <c r="E10354"/>
    </row>
    <row r="10355" spans="5:5" x14ac:dyDescent="0.25">
      <c r="E10355"/>
    </row>
    <row r="10356" spans="5:5" x14ac:dyDescent="0.25">
      <c r="E10356"/>
    </row>
    <row r="10357" spans="5:5" x14ac:dyDescent="0.25">
      <c r="E10357"/>
    </row>
    <row r="10358" spans="5:5" x14ac:dyDescent="0.25">
      <c r="E10358"/>
    </row>
    <row r="10359" spans="5:5" x14ac:dyDescent="0.25">
      <c r="E10359"/>
    </row>
    <row r="10360" spans="5:5" x14ac:dyDescent="0.25">
      <c r="E10360"/>
    </row>
    <row r="10361" spans="5:5" x14ac:dyDescent="0.25">
      <c r="E10361"/>
    </row>
    <row r="10362" spans="5:5" x14ac:dyDescent="0.25">
      <c r="E10362"/>
    </row>
    <row r="10363" spans="5:5" x14ac:dyDescent="0.25">
      <c r="E10363"/>
    </row>
    <row r="10364" spans="5:5" x14ac:dyDescent="0.25">
      <c r="E10364"/>
    </row>
    <row r="10365" spans="5:5" x14ac:dyDescent="0.25">
      <c r="E10365"/>
    </row>
    <row r="10366" spans="5:5" x14ac:dyDescent="0.25">
      <c r="E10366"/>
    </row>
    <row r="10367" spans="5:5" x14ac:dyDescent="0.25">
      <c r="E10367"/>
    </row>
    <row r="10368" spans="5:5" x14ac:dyDescent="0.25">
      <c r="E10368"/>
    </row>
    <row r="10369" spans="5:5" x14ac:dyDescent="0.25">
      <c r="E10369"/>
    </row>
    <row r="10370" spans="5:5" x14ac:dyDescent="0.25">
      <c r="E10370"/>
    </row>
    <row r="10371" spans="5:5" x14ac:dyDescent="0.25">
      <c r="E10371"/>
    </row>
    <row r="10372" spans="5:5" x14ac:dyDescent="0.25">
      <c r="E10372"/>
    </row>
    <row r="10373" spans="5:5" x14ac:dyDescent="0.25">
      <c r="E10373"/>
    </row>
    <row r="10374" spans="5:5" x14ac:dyDescent="0.25">
      <c r="E10374"/>
    </row>
    <row r="10375" spans="5:5" x14ac:dyDescent="0.25">
      <c r="E10375"/>
    </row>
    <row r="10376" spans="5:5" x14ac:dyDescent="0.25">
      <c r="E10376"/>
    </row>
    <row r="10377" spans="5:5" x14ac:dyDescent="0.25">
      <c r="E10377"/>
    </row>
    <row r="10378" spans="5:5" x14ac:dyDescent="0.25">
      <c r="E10378"/>
    </row>
    <row r="10379" spans="5:5" x14ac:dyDescent="0.25">
      <c r="E10379"/>
    </row>
    <row r="10380" spans="5:5" x14ac:dyDescent="0.25">
      <c r="E10380"/>
    </row>
    <row r="10381" spans="5:5" x14ac:dyDescent="0.25">
      <c r="E10381"/>
    </row>
    <row r="10382" spans="5:5" x14ac:dyDescent="0.25">
      <c r="E10382"/>
    </row>
    <row r="10383" spans="5:5" x14ac:dyDescent="0.25">
      <c r="E10383"/>
    </row>
    <row r="10384" spans="5:5" x14ac:dyDescent="0.25">
      <c r="E10384"/>
    </row>
    <row r="10385" spans="5:5" x14ac:dyDescent="0.25">
      <c r="E10385"/>
    </row>
    <row r="10386" spans="5:5" x14ac:dyDescent="0.25">
      <c r="E10386"/>
    </row>
    <row r="10387" spans="5:5" x14ac:dyDescent="0.25">
      <c r="E10387"/>
    </row>
    <row r="10388" spans="5:5" x14ac:dyDescent="0.25">
      <c r="E10388"/>
    </row>
    <row r="10389" spans="5:5" x14ac:dyDescent="0.25">
      <c r="E10389"/>
    </row>
    <row r="10390" spans="5:5" x14ac:dyDescent="0.25">
      <c r="E10390"/>
    </row>
    <row r="10391" spans="5:5" x14ac:dyDescent="0.25">
      <c r="E10391"/>
    </row>
    <row r="10392" spans="5:5" x14ac:dyDescent="0.25">
      <c r="E10392"/>
    </row>
    <row r="10393" spans="5:5" x14ac:dyDescent="0.25">
      <c r="E10393"/>
    </row>
    <row r="10394" spans="5:5" x14ac:dyDescent="0.25">
      <c r="E10394"/>
    </row>
    <row r="10395" spans="5:5" x14ac:dyDescent="0.25">
      <c r="E10395"/>
    </row>
    <row r="10396" spans="5:5" x14ac:dyDescent="0.25">
      <c r="E10396"/>
    </row>
    <row r="10397" spans="5:5" x14ac:dyDescent="0.25">
      <c r="E10397"/>
    </row>
    <row r="10398" spans="5:5" x14ac:dyDescent="0.25">
      <c r="E10398"/>
    </row>
    <row r="10399" spans="5:5" x14ac:dyDescent="0.25">
      <c r="E10399"/>
    </row>
    <row r="10400" spans="5:5" x14ac:dyDescent="0.25">
      <c r="E10400"/>
    </row>
    <row r="10401" spans="5:5" x14ac:dyDescent="0.25">
      <c r="E10401"/>
    </row>
    <row r="10402" spans="5:5" x14ac:dyDescent="0.25">
      <c r="E10402"/>
    </row>
    <row r="10403" spans="5:5" x14ac:dyDescent="0.25">
      <c r="E10403"/>
    </row>
    <row r="10404" spans="5:5" x14ac:dyDescent="0.25">
      <c r="E10404"/>
    </row>
    <row r="10405" spans="5:5" x14ac:dyDescent="0.25">
      <c r="E10405"/>
    </row>
    <row r="10406" spans="5:5" x14ac:dyDescent="0.25">
      <c r="E10406"/>
    </row>
    <row r="10407" spans="5:5" x14ac:dyDescent="0.25">
      <c r="E10407"/>
    </row>
    <row r="10408" spans="5:5" x14ac:dyDescent="0.25">
      <c r="E10408"/>
    </row>
    <row r="10409" spans="5:5" x14ac:dyDescent="0.25">
      <c r="E10409"/>
    </row>
    <row r="10410" spans="5:5" x14ac:dyDescent="0.25">
      <c r="E10410"/>
    </row>
    <row r="10411" spans="5:5" x14ac:dyDescent="0.25">
      <c r="E10411"/>
    </row>
    <row r="10412" spans="5:5" x14ac:dyDescent="0.25">
      <c r="E10412"/>
    </row>
    <row r="10413" spans="5:5" x14ac:dyDescent="0.25">
      <c r="E10413"/>
    </row>
    <row r="10414" spans="5:5" x14ac:dyDescent="0.25">
      <c r="E10414"/>
    </row>
    <row r="10415" spans="5:5" x14ac:dyDescent="0.25">
      <c r="E10415"/>
    </row>
    <row r="10416" spans="5:5" x14ac:dyDescent="0.25">
      <c r="E10416"/>
    </row>
    <row r="10417" spans="5:5" x14ac:dyDescent="0.25">
      <c r="E10417"/>
    </row>
    <row r="10418" spans="5:5" x14ac:dyDescent="0.25">
      <c r="E10418"/>
    </row>
    <row r="10419" spans="5:5" x14ac:dyDescent="0.25">
      <c r="E10419"/>
    </row>
    <row r="10420" spans="5:5" x14ac:dyDescent="0.25">
      <c r="E10420"/>
    </row>
    <row r="10421" spans="5:5" x14ac:dyDescent="0.25">
      <c r="E10421"/>
    </row>
    <row r="10422" spans="5:5" x14ac:dyDescent="0.25">
      <c r="E10422"/>
    </row>
    <row r="10423" spans="5:5" x14ac:dyDescent="0.25">
      <c r="E10423"/>
    </row>
    <row r="10424" spans="5:5" x14ac:dyDescent="0.25">
      <c r="E10424"/>
    </row>
    <row r="10425" spans="5:5" x14ac:dyDescent="0.25">
      <c r="E10425"/>
    </row>
    <row r="10426" spans="5:5" x14ac:dyDescent="0.25">
      <c r="E10426"/>
    </row>
    <row r="10427" spans="5:5" x14ac:dyDescent="0.25">
      <c r="E10427"/>
    </row>
    <row r="10428" spans="5:5" x14ac:dyDescent="0.25">
      <c r="E10428"/>
    </row>
    <row r="10429" spans="5:5" x14ac:dyDescent="0.25">
      <c r="E10429"/>
    </row>
    <row r="10430" spans="5:5" x14ac:dyDescent="0.25">
      <c r="E10430"/>
    </row>
    <row r="10431" spans="5:5" x14ac:dyDescent="0.25">
      <c r="E10431"/>
    </row>
    <row r="10432" spans="5:5" x14ac:dyDescent="0.25">
      <c r="E10432"/>
    </row>
    <row r="10433" spans="5:5" x14ac:dyDescent="0.25">
      <c r="E10433"/>
    </row>
    <row r="10434" spans="5:5" x14ac:dyDescent="0.25">
      <c r="E10434"/>
    </row>
    <row r="10435" spans="5:5" x14ac:dyDescent="0.25">
      <c r="E10435"/>
    </row>
    <row r="10436" spans="5:5" x14ac:dyDescent="0.25">
      <c r="E10436"/>
    </row>
    <row r="10437" spans="5:5" x14ac:dyDescent="0.25">
      <c r="E10437"/>
    </row>
    <row r="10438" spans="5:5" x14ac:dyDescent="0.25">
      <c r="E10438"/>
    </row>
    <row r="10439" spans="5:5" x14ac:dyDescent="0.25">
      <c r="E10439"/>
    </row>
    <row r="10440" spans="5:5" x14ac:dyDescent="0.25">
      <c r="E10440"/>
    </row>
    <row r="10441" spans="5:5" x14ac:dyDescent="0.25">
      <c r="E10441"/>
    </row>
    <row r="10442" spans="5:5" x14ac:dyDescent="0.25">
      <c r="E10442"/>
    </row>
    <row r="10443" spans="5:5" x14ac:dyDescent="0.25">
      <c r="E10443"/>
    </row>
    <row r="10444" spans="5:5" x14ac:dyDescent="0.25">
      <c r="E10444"/>
    </row>
    <row r="10445" spans="5:5" x14ac:dyDescent="0.25">
      <c r="E10445"/>
    </row>
    <row r="10446" spans="5:5" x14ac:dyDescent="0.25">
      <c r="E10446"/>
    </row>
    <row r="10447" spans="5:5" x14ac:dyDescent="0.25">
      <c r="E10447"/>
    </row>
    <row r="10448" spans="5:5" x14ac:dyDescent="0.25">
      <c r="E10448"/>
    </row>
    <row r="10449" spans="5:5" x14ac:dyDescent="0.25">
      <c r="E10449"/>
    </row>
    <row r="10450" spans="5:5" x14ac:dyDescent="0.25">
      <c r="E10450"/>
    </row>
    <row r="10451" spans="5:5" x14ac:dyDescent="0.25">
      <c r="E10451"/>
    </row>
    <row r="10452" spans="5:5" x14ac:dyDescent="0.25">
      <c r="E10452"/>
    </row>
    <row r="10453" spans="5:5" x14ac:dyDescent="0.25">
      <c r="E10453"/>
    </row>
    <row r="10454" spans="5:5" x14ac:dyDescent="0.25">
      <c r="E10454"/>
    </row>
    <row r="10455" spans="5:5" x14ac:dyDescent="0.25">
      <c r="E10455"/>
    </row>
    <row r="10456" spans="5:5" x14ac:dyDescent="0.25">
      <c r="E10456"/>
    </row>
    <row r="10457" spans="5:5" x14ac:dyDescent="0.25">
      <c r="E10457"/>
    </row>
    <row r="10458" spans="5:5" x14ac:dyDescent="0.25">
      <c r="E10458"/>
    </row>
    <row r="10459" spans="5:5" x14ac:dyDescent="0.25">
      <c r="E10459"/>
    </row>
    <row r="10460" spans="5:5" x14ac:dyDescent="0.25">
      <c r="E10460"/>
    </row>
    <row r="10461" spans="5:5" x14ac:dyDescent="0.25">
      <c r="E10461"/>
    </row>
    <row r="10462" spans="5:5" x14ac:dyDescent="0.25">
      <c r="E10462"/>
    </row>
    <row r="10463" spans="5:5" x14ac:dyDescent="0.25">
      <c r="E10463"/>
    </row>
    <row r="10464" spans="5:5" x14ac:dyDescent="0.25">
      <c r="E10464"/>
    </row>
    <row r="10465" spans="5:5" x14ac:dyDescent="0.25">
      <c r="E10465"/>
    </row>
    <row r="10466" spans="5:5" x14ac:dyDescent="0.25">
      <c r="E10466"/>
    </row>
    <row r="10467" spans="5:5" x14ac:dyDescent="0.25">
      <c r="E10467"/>
    </row>
    <row r="10468" spans="5:5" x14ac:dyDescent="0.25">
      <c r="E10468"/>
    </row>
    <row r="10469" spans="5:5" x14ac:dyDescent="0.25">
      <c r="E10469"/>
    </row>
    <row r="10470" spans="5:5" x14ac:dyDescent="0.25">
      <c r="E10470"/>
    </row>
    <row r="10471" spans="5:5" x14ac:dyDescent="0.25">
      <c r="E10471"/>
    </row>
    <row r="10472" spans="5:5" x14ac:dyDescent="0.25">
      <c r="E10472"/>
    </row>
    <row r="10473" spans="5:5" x14ac:dyDescent="0.25">
      <c r="E10473"/>
    </row>
    <row r="10474" spans="5:5" x14ac:dyDescent="0.25">
      <c r="E10474"/>
    </row>
    <row r="10475" spans="5:5" x14ac:dyDescent="0.25">
      <c r="E10475"/>
    </row>
    <row r="10476" spans="5:5" x14ac:dyDescent="0.25">
      <c r="E10476"/>
    </row>
    <row r="10477" spans="5:5" x14ac:dyDescent="0.25">
      <c r="E10477"/>
    </row>
    <row r="10478" spans="5:5" x14ac:dyDescent="0.25">
      <c r="E10478"/>
    </row>
    <row r="10479" spans="5:5" x14ac:dyDescent="0.25">
      <c r="E10479"/>
    </row>
    <row r="10480" spans="5:5" x14ac:dyDescent="0.25">
      <c r="E10480"/>
    </row>
    <row r="10481" spans="5:5" x14ac:dyDescent="0.25">
      <c r="E10481"/>
    </row>
    <row r="10482" spans="5:5" x14ac:dyDescent="0.25">
      <c r="E10482"/>
    </row>
    <row r="10483" spans="5:5" x14ac:dyDescent="0.25">
      <c r="E10483"/>
    </row>
    <row r="10484" spans="5:5" x14ac:dyDescent="0.25">
      <c r="E10484"/>
    </row>
    <row r="10485" spans="5:5" x14ac:dyDescent="0.25">
      <c r="E10485"/>
    </row>
    <row r="10486" spans="5:5" x14ac:dyDescent="0.25">
      <c r="E10486"/>
    </row>
    <row r="10487" spans="5:5" x14ac:dyDescent="0.25">
      <c r="E10487"/>
    </row>
    <row r="10488" spans="5:5" x14ac:dyDescent="0.25">
      <c r="E10488"/>
    </row>
    <row r="10489" spans="5:5" x14ac:dyDescent="0.25">
      <c r="E10489"/>
    </row>
    <row r="10490" spans="5:5" x14ac:dyDescent="0.25">
      <c r="E10490"/>
    </row>
    <row r="10491" spans="5:5" x14ac:dyDescent="0.25">
      <c r="E10491"/>
    </row>
    <row r="10492" spans="5:5" x14ac:dyDescent="0.25">
      <c r="E10492"/>
    </row>
    <row r="10493" spans="5:5" x14ac:dyDescent="0.25">
      <c r="E10493"/>
    </row>
    <row r="10494" spans="5:5" x14ac:dyDescent="0.25">
      <c r="E10494"/>
    </row>
    <row r="10495" spans="5:5" x14ac:dyDescent="0.25">
      <c r="E10495"/>
    </row>
    <row r="10496" spans="5:5" x14ac:dyDescent="0.25">
      <c r="E10496"/>
    </row>
    <row r="10497" spans="5:5" x14ac:dyDescent="0.25">
      <c r="E10497"/>
    </row>
    <row r="10498" spans="5:5" x14ac:dyDescent="0.25">
      <c r="E10498"/>
    </row>
    <row r="10499" spans="5:5" x14ac:dyDescent="0.25">
      <c r="E10499"/>
    </row>
    <row r="10500" spans="5:5" x14ac:dyDescent="0.25">
      <c r="E10500"/>
    </row>
    <row r="10501" spans="5:5" x14ac:dyDescent="0.25">
      <c r="E10501"/>
    </row>
    <row r="10502" spans="5:5" x14ac:dyDescent="0.25">
      <c r="E10502"/>
    </row>
    <row r="10503" spans="5:5" x14ac:dyDescent="0.25">
      <c r="E10503"/>
    </row>
    <row r="10504" spans="5:5" x14ac:dyDescent="0.25">
      <c r="E10504"/>
    </row>
    <row r="10505" spans="5:5" x14ac:dyDescent="0.25">
      <c r="E10505"/>
    </row>
    <row r="10506" spans="5:5" x14ac:dyDescent="0.25">
      <c r="E10506"/>
    </row>
    <row r="10507" spans="5:5" x14ac:dyDescent="0.25">
      <c r="E10507"/>
    </row>
    <row r="10508" spans="5:5" x14ac:dyDescent="0.25">
      <c r="E10508"/>
    </row>
    <row r="10509" spans="5:5" x14ac:dyDescent="0.25">
      <c r="E10509"/>
    </row>
    <row r="10510" spans="5:5" x14ac:dyDescent="0.25">
      <c r="E10510"/>
    </row>
    <row r="10511" spans="5:5" x14ac:dyDescent="0.25">
      <c r="E10511"/>
    </row>
    <row r="10512" spans="5:5" x14ac:dyDescent="0.25">
      <c r="E10512"/>
    </row>
    <row r="10513" spans="5:5" x14ac:dyDescent="0.25">
      <c r="E10513"/>
    </row>
    <row r="10514" spans="5:5" x14ac:dyDescent="0.25">
      <c r="E10514"/>
    </row>
    <row r="10515" spans="5:5" x14ac:dyDescent="0.25">
      <c r="E10515"/>
    </row>
    <row r="10516" spans="5:5" x14ac:dyDescent="0.25">
      <c r="E10516"/>
    </row>
    <row r="10517" spans="5:5" x14ac:dyDescent="0.25">
      <c r="E10517"/>
    </row>
    <row r="10518" spans="5:5" x14ac:dyDescent="0.25">
      <c r="E10518"/>
    </row>
    <row r="10519" spans="5:5" x14ac:dyDescent="0.25">
      <c r="E10519"/>
    </row>
    <row r="10520" spans="5:5" x14ac:dyDescent="0.25">
      <c r="E10520"/>
    </row>
    <row r="10521" spans="5:5" x14ac:dyDescent="0.25">
      <c r="E10521"/>
    </row>
    <row r="10522" spans="5:5" x14ac:dyDescent="0.25">
      <c r="E10522"/>
    </row>
    <row r="10523" spans="5:5" x14ac:dyDescent="0.25">
      <c r="E10523"/>
    </row>
    <row r="10524" spans="5:5" x14ac:dyDescent="0.25">
      <c r="E10524"/>
    </row>
    <row r="10525" spans="5:5" x14ac:dyDescent="0.25">
      <c r="E10525"/>
    </row>
    <row r="10526" spans="5:5" x14ac:dyDescent="0.25">
      <c r="E10526"/>
    </row>
    <row r="10527" spans="5:5" x14ac:dyDescent="0.25">
      <c r="E10527"/>
    </row>
    <row r="10528" spans="5:5" x14ac:dyDescent="0.25">
      <c r="E10528"/>
    </row>
    <row r="10529" spans="5:5" x14ac:dyDescent="0.25">
      <c r="E10529"/>
    </row>
    <row r="10530" spans="5:5" x14ac:dyDescent="0.25">
      <c r="E10530"/>
    </row>
    <row r="10531" spans="5:5" x14ac:dyDescent="0.25">
      <c r="E10531"/>
    </row>
    <row r="10532" spans="5:5" x14ac:dyDescent="0.25">
      <c r="E10532"/>
    </row>
    <row r="10533" spans="5:5" x14ac:dyDescent="0.25">
      <c r="E10533"/>
    </row>
    <row r="10534" spans="5:5" x14ac:dyDescent="0.25">
      <c r="E10534"/>
    </row>
    <row r="10535" spans="5:5" x14ac:dyDescent="0.25">
      <c r="E10535"/>
    </row>
    <row r="10536" spans="5:5" x14ac:dyDescent="0.25">
      <c r="E10536"/>
    </row>
    <row r="10537" spans="5:5" x14ac:dyDescent="0.25">
      <c r="E10537"/>
    </row>
    <row r="10538" spans="5:5" x14ac:dyDescent="0.25">
      <c r="E10538"/>
    </row>
    <row r="10539" spans="5:5" x14ac:dyDescent="0.25">
      <c r="E10539"/>
    </row>
    <row r="10540" spans="5:5" x14ac:dyDescent="0.25">
      <c r="E10540"/>
    </row>
    <row r="10541" spans="5:5" x14ac:dyDescent="0.25">
      <c r="E10541"/>
    </row>
    <row r="10542" spans="5:5" x14ac:dyDescent="0.25">
      <c r="E10542"/>
    </row>
    <row r="10543" spans="5:5" x14ac:dyDescent="0.25">
      <c r="E10543"/>
    </row>
    <row r="10544" spans="5:5" x14ac:dyDescent="0.25">
      <c r="E10544"/>
    </row>
    <row r="10545" spans="5:5" x14ac:dyDescent="0.25">
      <c r="E10545"/>
    </row>
    <row r="10546" spans="5:5" x14ac:dyDescent="0.25">
      <c r="E10546"/>
    </row>
    <row r="10547" spans="5:5" x14ac:dyDescent="0.25">
      <c r="E10547"/>
    </row>
    <row r="10548" spans="5:5" x14ac:dyDescent="0.25">
      <c r="E10548"/>
    </row>
    <row r="10549" spans="5:5" x14ac:dyDescent="0.25">
      <c r="E10549"/>
    </row>
    <row r="10550" spans="5:5" x14ac:dyDescent="0.25">
      <c r="E10550"/>
    </row>
    <row r="10551" spans="5:5" x14ac:dyDescent="0.25">
      <c r="E10551"/>
    </row>
    <row r="10552" spans="5:5" x14ac:dyDescent="0.25">
      <c r="E10552"/>
    </row>
    <row r="10553" spans="5:5" x14ac:dyDescent="0.25">
      <c r="E10553"/>
    </row>
    <row r="10554" spans="5:5" x14ac:dyDescent="0.25">
      <c r="E10554"/>
    </row>
    <row r="10555" spans="5:5" x14ac:dyDescent="0.25">
      <c r="E10555"/>
    </row>
    <row r="10556" spans="5:5" x14ac:dyDescent="0.25">
      <c r="E10556"/>
    </row>
    <row r="10557" spans="5:5" x14ac:dyDescent="0.25">
      <c r="E10557"/>
    </row>
    <row r="10558" spans="5:5" x14ac:dyDescent="0.25">
      <c r="E10558"/>
    </row>
    <row r="10559" spans="5:5" x14ac:dyDescent="0.25">
      <c r="E10559"/>
    </row>
    <row r="10560" spans="5:5" x14ac:dyDescent="0.25">
      <c r="E10560"/>
    </row>
    <row r="10561" spans="5:5" x14ac:dyDescent="0.25">
      <c r="E10561"/>
    </row>
    <row r="10562" spans="5:5" x14ac:dyDescent="0.25">
      <c r="E10562"/>
    </row>
    <row r="10563" spans="5:5" x14ac:dyDescent="0.25">
      <c r="E10563"/>
    </row>
    <row r="10564" spans="5:5" x14ac:dyDescent="0.25">
      <c r="E10564"/>
    </row>
    <row r="10565" spans="5:5" x14ac:dyDescent="0.25">
      <c r="E10565"/>
    </row>
    <row r="10566" spans="5:5" x14ac:dyDescent="0.25">
      <c r="E10566"/>
    </row>
    <row r="10567" spans="5:5" x14ac:dyDescent="0.25">
      <c r="E10567"/>
    </row>
    <row r="10568" spans="5:5" x14ac:dyDescent="0.25">
      <c r="E10568"/>
    </row>
    <row r="10569" spans="5:5" x14ac:dyDescent="0.25">
      <c r="E10569"/>
    </row>
    <row r="10570" spans="5:5" x14ac:dyDescent="0.25">
      <c r="E10570"/>
    </row>
    <row r="10571" spans="5:5" x14ac:dyDescent="0.25">
      <c r="E10571"/>
    </row>
    <row r="10572" spans="5:5" x14ac:dyDescent="0.25">
      <c r="E10572"/>
    </row>
    <row r="10573" spans="5:5" x14ac:dyDescent="0.25">
      <c r="E10573"/>
    </row>
    <row r="10574" spans="5:5" x14ac:dyDescent="0.25">
      <c r="E10574"/>
    </row>
    <row r="10575" spans="5:5" x14ac:dyDescent="0.25">
      <c r="E10575"/>
    </row>
    <row r="10576" spans="5:5" x14ac:dyDescent="0.25">
      <c r="E10576"/>
    </row>
    <row r="10577" spans="5:5" x14ac:dyDescent="0.25">
      <c r="E10577"/>
    </row>
    <row r="10578" spans="5:5" x14ac:dyDescent="0.25">
      <c r="E10578"/>
    </row>
    <row r="10579" spans="5:5" x14ac:dyDescent="0.25">
      <c r="E10579"/>
    </row>
    <row r="10580" spans="5:5" x14ac:dyDescent="0.25">
      <c r="E10580"/>
    </row>
    <row r="10581" spans="5:5" x14ac:dyDescent="0.25">
      <c r="E10581"/>
    </row>
    <row r="10582" spans="5:5" x14ac:dyDescent="0.25">
      <c r="E10582"/>
    </row>
    <row r="10583" spans="5:5" x14ac:dyDescent="0.25">
      <c r="E10583"/>
    </row>
    <row r="10584" spans="5:5" x14ac:dyDescent="0.25">
      <c r="E10584"/>
    </row>
    <row r="10585" spans="5:5" x14ac:dyDescent="0.25">
      <c r="E10585"/>
    </row>
    <row r="10586" spans="5:5" x14ac:dyDescent="0.25">
      <c r="E10586"/>
    </row>
    <row r="10587" spans="5:5" x14ac:dyDescent="0.25">
      <c r="E10587"/>
    </row>
    <row r="10588" spans="5:5" x14ac:dyDescent="0.25">
      <c r="E10588"/>
    </row>
    <row r="10589" spans="5:5" x14ac:dyDescent="0.25">
      <c r="E10589"/>
    </row>
    <row r="10590" spans="5:5" x14ac:dyDescent="0.25">
      <c r="E10590"/>
    </row>
    <row r="10591" spans="5:5" x14ac:dyDescent="0.25">
      <c r="E10591"/>
    </row>
    <row r="10592" spans="5:5" x14ac:dyDescent="0.25">
      <c r="E10592"/>
    </row>
    <row r="10593" spans="5:5" x14ac:dyDescent="0.25">
      <c r="E10593"/>
    </row>
    <row r="10594" spans="5:5" x14ac:dyDescent="0.25">
      <c r="E10594"/>
    </row>
    <row r="10595" spans="5:5" x14ac:dyDescent="0.25">
      <c r="E10595"/>
    </row>
    <row r="10596" spans="5:5" x14ac:dyDescent="0.25">
      <c r="E10596"/>
    </row>
    <row r="10597" spans="5:5" x14ac:dyDescent="0.25">
      <c r="E10597"/>
    </row>
    <row r="10598" spans="5:5" x14ac:dyDescent="0.25">
      <c r="E10598"/>
    </row>
    <row r="10599" spans="5:5" x14ac:dyDescent="0.25">
      <c r="E10599"/>
    </row>
    <row r="10600" spans="5:5" x14ac:dyDescent="0.25">
      <c r="E10600"/>
    </row>
    <row r="10601" spans="5:5" x14ac:dyDescent="0.25">
      <c r="E10601"/>
    </row>
    <row r="10602" spans="5:5" x14ac:dyDescent="0.25">
      <c r="E10602"/>
    </row>
    <row r="10603" spans="5:5" x14ac:dyDescent="0.25">
      <c r="E10603"/>
    </row>
    <row r="10604" spans="5:5" x14ac:dyDescent="0.25">
      <c r="E10604"/>
    </row>
    <row r="10605" spans="5:5" x14ac:dyDescent="0.25">
      <c r="E10605"/>
    </row>
    <row r="10606" spans="5:5" x14ac:dyDescent="0.25">
      <c r="E10606"/>
    </row>
    <row r="10607" spans="5:5" x14ac:dyDescent="0.25">
      <c r="E10607"/>
    </row>
    <row r="10608" spans="5:5" x14ac:dyDescent="0.25">
      <c r="E10608"/>
    </row>
    <row r="10609" spans="5:5" x14ac:dyDescent="0.25">
      <c r="E10609"/>
    </row>
    <row r="10610" spans="5:5" x14ac:dyDescent="0.25">
      <c r="E10610"/>
    </row>
    <row r="10611" spans="5:5" x14ac:dyDescent="0.25">
      <c r="E10611"/>
    </row>
    <row r="10612" spans="5:5" x14ac:dyDescent="0.25">
      <c r="E10612"/>
    </row>
    <row r="10613" spans="5:5" x14ac:dyDescent="0.25">
      <c r="E10613"/>
    </row>
    <row r="10614" spans="5:5" x14ac:dyDescent="0.25">
      <c r="E10614"/>
    </row>
    <row r="10615" spans="5:5" x14ac:dyDescent="0.25">
      <c r="E10615"/>
    </row>
    <row r="10616" spans="5:5" x14ac:dyDescent="0.25">
      <c r="E10616"/>
    </row>
    <row r="10617" spans="5:5" x14ac:dyDescent="0.25">
      <c r="E10617"/>
    </row>
    <row r="10618" spans="5:5" x14ac:dyDescent="0.25">
      <c r="E10618"/>
    </row>
    <row r="10619" spans="5:5" x14ac:dyDescent="0.25">
      <c r="E10619"/>
    </row>
    <row r="10620" spans="5:5" x14ac:dyDescent="0.25">
      <c r="E10620"/>
    </row>
    <row r="10621" spans="5:5" x14ac:dyDescent="0.25">
      <c r="E10621"/>
    </row>
    <row r="10622" spans="5:5" x14ac:dyDescent="0.25">
      <c r="E10622"/>
    </row>
    <row r="10623" spans="5:5" x14ac:dyDescent="0.25">
      <c r="E10623"/>
    </row>
    <row r="10624" spans="5:5" x14ac:dyDescent="0.25">
      <c r="E10624"/>
    </row>
    <row r="10625" spans="5:5" x14ac:dyDescent="0.25">
      <c r="E10625"/>
    </row>
    <row r="10626" spans="5:5" x14ac:dyDescent="0.25">
      <c r="E10626"/>
    </row>
    <row r="10627" spans="5:5" x14ac:dyDescent="0.25">
      <c r="E10627"/>
    </row>
    <row r="10628" spans="5:5" x14ac:dyDescent="0.25">
      <c r="E10628"/>
    </row>
    <row r="10629" spans="5:5" x14ac:dyDescent="0.25">
      <c r="E10629"/>
    </row>
    <row r="10630" spans="5:5" x14ac:dyDescent="0.25">
      <c r="E10630"/>
    </row>
    <row r="10631" spans="5:5" x14ac:dyDescent="0.25">
      <c r="E10631"/>
    </row>
    <row r="10632" spans="5:5" x14ac:dyDescent="0.25">
      <c r="E10632"/>
    </row>
    <row r="10633" spans="5:5" x14ac:dyDescent="0.25">
      <c r="E10633"/>
    </row>
    <row r="10634" spans="5:5" x14ac:dyDescent="0.25">
      <c r="E10634"/>
    </row>
    <row r="10635" spans="5:5" x14ac:dyDescent="0.25">
      <c r="E10635"/>
    </row>
    <row r="10636" spans="5:5" x14ac:dyDescent="0.25">
      <c r="E10636"/>
    </row>
    <row r="10637" spans="5:5" x14ac:dyDescent="0.25">
      <c r="E10637"/>
    </row>
    <row r="10638" spans="5:5" x14ac:dyDescent="0.25">
      <c r="E10638"/>
    </row>
    <row r="10639" spans="5:5" x14ac:dyDescent="0.25">
      <c r="E10639"/>
    </row>
    <row r="10640" spans="5:5" x14ac:dyDescent="0.25">
      <c r="E10640"/>
    </row>
    <row r="10641" spans="5:5" x14ac:dyDescent="0.25">
      <c r="E10641"/>
    </row>
    <row r="10642" spans="5:5" x14ac:dyDescent="0.25">
      <c r="E10642"/>
    </row>
    <row r="10643" spans="5:5" x14ac:dyDescent="0.25">
      <c r="E10643"/>
    </row>
    <row r="10644" spans="5:5" x14ac:dyDescent="0.25">
      <c r="E10644"/>
    </row>
    <row r="10645" spans="5:5" x14ac:dyDescent="0.25">
      <c r="E10645"/>
    </row>
    <row r="10646" spans="5:5" x14ac:dyDescent="0.25">
      <c r="E10646"/>
    </row>
    <row r="10647" spans="5:5" x14ac:dyDescent="0.25">
      <c r="E10647"/>
    </row>
    <row r="10648" spans="5:5" x14ac:dyDescent="0.25">
      <c r="E10648"/>
    </row>
    <row r="10649" spans="5:5" x14ac:dyDescent="0.25">
      <c r="E10649"/>
    </row>
    <row r="10650" spans="5:5" x14ac:dyDescent="0.25">
      <c r="E10650"/>
    </row>
    <row r="10651" spans="5:5" x14ac:dyDescent="0.25">
      <c r="E10651"/>
    </row>
    <row r="10652" spans="5:5" x14ac:dyDescent="0.25">
      <c r="E10652"/>
    </row>
    <row r="10653" spans="5:5" x14ac:dyDescent="0.25">
      <c r="E10653"/>
    </row>
    <row r="10654" spans="5:5" x14ac:dyDescent="0.25">
      <c r="E10654"/>
    </row>
    <row r="10655" spans="5:5" x14ac:dyDescent="0.25">
      <c r="E10655"/>
    </row>
    <row r="10656" spans="5:5" x14ac:dyDescent="0.25">
      <c r="E10656"/>
    </row>
    <row r="10657" spans="5:5" x14ac:dyDescent="0.25">
      <c r="E10657"/>
    </row>
    <row r="10658" spans="5:5" x14ac:dyDescent="0.25">
      <c r="E10658"/>
    </row>
    <row r="10659" spans="5:5" x14ac:dyDescent="0.25">
      <c r="E10659"/>
    </row>
    <row r="10660" spans="5:5" x14ac:dyDescent="0.25">
      <c r="E10660"/>
    </row>
    <row r="10661" spans="5:5" x14ac:dyDescent="0.25">
      <c r="E10661"/>
    </row>
    <row r="10662" spans="5:5" x14ac:dyDescent="0.25">
      <c r="E10662"/>
    </row>
    <row r="10663" spans="5:5" x14ac:dyDescent="0.25">
      <c r="E10663"/>
    </row>
    <row r="10664" spans="5:5" x14ac:dyDescent="0.25">
      <c r="E10664"/>
    </row>
    <row r="10665" spans="5:5" x14ac:dyDescent="0.25">
      <c r="E10665"/>
    </row>
    <row r="10666" spans="5:5" x14ac:dyDescent="0.25">
      <c r="E10666"/>
    </row>
    <row r="10667" spans="5:5" x14ac:dyDescent="0.25">
      <c r="E10667"/>
    </row>
    <row r="10668" spans="5:5" x14ac:dyDescent="0.25">
      <c r="E10668"/>
    </row>
    <row r="10669" spans="5:5" x14ac:dyDescent="0.25">
      <c r="E10669"/>
    </row>
    <row r="10670" spans="5:5" x14ac:dyDescent="0.25">
      <c r="E10670"/>
    </row>
    <row r="10671" spans="5:5" x14ac:dyDescent="0.25">
      <c r="E10671"/>
    </row>
    <row r="10672" spans="5:5" x14ac:dyDescent="0.25">
      <c r="E10672"/>
    </row>
    <row r="10673" spans="5:5" x14ac:dyDescent="0.25">
      <c r="E10673"/>
    </row>
    <row r="10674" spans="5:5" x14ac:dyDescent="0.25">
      <c r="E10674"/>
    </row>
    <row r="10675" spans="5:5" x14ac:dyDescent="0.25">
      <c r="E10675"/>
    </row>
    <row r="10676" spans="5:5" x14ac:dyDescent="0.25">
      <c r="E10676"/>
    </row>
    <row r="10677" spans="5:5" x14ac:dyDescent="0.25">
      <c r="E10677"/>
    </row>
    <row r="10678" spans="5:5" x14ac:dyDescent="0.25">
      <c r="E10678"/>
    </row>
    <row r="10679" spans="5:5" x14ac:dyDescent="0.25">
      <c r="E10679"/>
    </row>
    <row r="10680" spans="5:5" x14ac:dyDescent="0.25">
      <c r="E10680"/>
    </row>
    <row r="10681" spans="5:5" x14ac:dyDescent="0.25">
      <c r="E10681"/>
    </row>
    <row r="10682" spans="5:5" x14ac:dyDescent="0.25">
      <c r="E10682"/>
    </row>
    <row r="10683" spans="5:5" x14ac:dyDescent="0.25">
      <c r="E10683"/>
    </row>
    <row r="10684" spans="5:5" x14ac:dyDescent="0.25">
      <c r="E10684"/>
    </row>
    <row r="10685" spans="5:5" x14ac:dyDescent="0.25">
      <c r="E10685"/>
    </row>
    <row r="10686" spans="5:5" x14ac:dyDescent="0.25">
      <c r="E10686"/>
    </row>
    <row r="10687" spans="5:5" x14ac:dyDescent="0.25">
      <c r="E10687"/>
    </row>
    <row r="10688" spans="5:5" x14ac:dyDescent="0.25">
      <c r="E10688"/>
    </row>
    <row r="10689" spans="5:5" x14ac:dyDescent="0.25">
      <c r="E10689"/>
    </row>
    <row r="10690" spans="5:5" x14ac:dyDescent="0.25">
      <c r="E10690"/>
    </row>
    <row r="10691" spans="5:5" x14ac:dyDescent="0.25">
      <c r="E10691"/>
    </row>
    <row r="10692" spans="5:5" x14ac:dyDescent="0.25">
      <c r="E10692"/>
    </row>
    <row r="10693" spans="5:5" x14ac:dyDescent="0.25">
      <c r="E10693"/>
    </row>
    <row r="10694" spans="5:5" x14ac:dyDescent="0.25">
      <c r="E10694"/>
    </row>
    <row r="10695" spans="5:5" x14ac:dyDescent="0.25">
      <c r="E10695"/>
    </row>
    <row r="10696" spans="5:5" x14ac:dyDescent="0.25">
      <c r="E10696"/>
    </row>
    <row r="10697" spans="5:5" x14ac:dyDescent="0.25">
      <c r="E10697"/>
    </row>
    <row r="10698" spans="5:5" x14ac:dyDescent="0.25">
      <c r="E10698"/>
    </row>
    <row r="10699" spans="5:5" x14ac:dyDescent="0.25">
      <c r="E10699"/>
    </row>
    <row r="10700" spans="5:5" x14ac:dyDescent="0.25">
      <c r="E10700"/>
    </row>
    <row r="10701" spans="5:5" x14ac:dyDescent="0.25">
      <c r="E10701"/>
    </row>
    <row r="10702" spans="5:5" x14ac:dyDescent="0.25">
      <c r="E10702"/>
    </row>
    <row r="10703" spans="5:5" x14ac:dyDescent="0.25">
      <c r="E10703"/>
    </row>
    <row r="10704" spans="5:5" x14ac:dyDescent="0.25">
      <c r="E10704"/>
    </row>
    <row r="10705" spans="5:5" x14ac:dyDescent="0.25">
      <c r="E10705"/>
    </row>
    <row r="10706" spans="5:5" x14ac:dyDescent="0.25">
      <c r="E10706"/>
    </row>
    <row r="10707" spans="5:5" x14ac:dyDescent="0.25">
      <c r="E10707"/>
    </row>
    <row r="10708" spans="5:5" x14ac:dyDescent="0.25">
      <c r="E10708"/>
    </row>
    <row r="10709" spans="5:5" x14ac:dyDescent="0.25">
      <c r="E10709"/>
    </row>
    <row r="10710" spans="5:5" x14ac:dyDescent="0.25">
      <c r="E10710"/>
    </row>
    <row r="10711" spans="5:5" x14ac:dyDescent="0.25">
      <c r="E10711"/>
    </row>
    <row r="10712" spans="5:5" x14ac:dyDescent="0.25">
      <c r="E10712"/>
    </row>
    <row r="10713" spans="5:5" x14ac:dyDescent="0.25">
      <c r="E10713"/>
    </row>
    <row r="10714" spans="5:5" x14ac:dyDescent="0.25">
      <c r="E10714"/>
    </row>
    <row r="10715" spans="5:5" x14ac:dyDescent="0.25">
      <c r="E10715"/>
    </row>
    <row r="10716" spans="5:5" x14ac:dyDescent="0.25">
      <c r="E10716"/>
    </row>
    <row r="10717" spans="5:5" x14ac:dyDescent="0.25">
      <c r="E10717"/>
    </row>
    <row r="10718" spans="5:5" x14ac:dyDescent="0.25">
      <c r="E10718"/>
    </row>
    <row r="10719" spans="5:5" x14ac:dyDescent="0.25">
      <c r="E10719"/>
    </row>
    <row r="10720" spans="5:5" x14ac:dyDescent="0.25">
      <c r="E10720"/>
    </row>
    <row r="10721" spans="5:5" x14ac:dyDescent="0.25">
      <c r="E10721"/>
    </row>
    <row r="10722" spans="5:5" x14ac:dyDescent="0.25">
      <c r="E10722"/>
    </row>
    <row r="10723" spans="5:5" x14ac:dyDescent="0.25">
      <c r="E10723"/>
    </row>
    <row r="10724" spans="5:5" x14ac:dyDescent="0.25">
      <c r="E10724"/>
    </row>
    <row r="10725" spans="5:5" x14ac:dyDescent="0.25">
      <c r="E10725"/>
    </row>
    <row r="10726" spans="5:5" x14ac:dyDescent="0.25">
      <c r="E10726"/>
    </row>
    <row r="10727" spans="5:5" x14ac:dyDescent="0.25">
      <c r="E10727"/>
    </row>
    <row r="10728" spans="5:5" x14ac:dyDescent="0.25">
      <c r="E10728"/>
    </row>
    <row r="10729" spans="5:5" x14ac:dyDescent="0.25">
      <c r="E10729"/>
    </row>
    <row r="10730" spans="5:5" x14ac:dyDescent="0.25">
      <c r="E10730"/>
    </row>
    <row r="10731" spans="5:5" x14ac:dyDescent="0.25">
      <c r="E10731"/>
    </row>
    <row r="10732" spans="5:5" x14ac:dyDescent="0.25">
      <c r="E10732"/>
    </row>
    <row r="10733" spans="5:5" x14ac:dyDescent="0.25">
      <c r="E10733"/>
    </row>
    <row r="10734" spans="5:5" x14ac:dyDescent="0.25">
      <c r="E10734"/>
    </row>
    <row r="10735" spans="5:5" x14ac:dyDescent="0.25">
      <c r="E10735"/>
    </row>
    <row r="10736" spans="5:5" x14ac:dyDescent="0.25">
      <c r="E10736"/>
    </row>
    <row r="10737" spans="5:5" x14ac:dyDescent="0.25">
      <c r="E10737"/>
    </row>
    <row r="10738" spans="5:5" x14ac:dyDescent="0.25">
      <c r="E10738"/>
    </row>
    <row r="10739" spans="5:5" x14ac:dyDescent="0.25">
      <c r="E10739"/>
    </row>
    <row r="10740" spans="5:5" x14ac:dyDescent="0.25">
      <c r="E10740"/>
    </row>
    <row r="10741" spans="5:5" x14ac:dyDescent="0.25">
      <c r="E10741"/>
    </row>
    <row r="10742" spans="5:5" x14ac:dyDescent="0.25">
      <c r="E10742"/>
    </row>
    <row r="10743" spans="5:5" x14ac:dyDescent="0.25">
      <c r="E10743"/>
    </row>
    <row r="10744" spans="5:5" x14ac:dyDescent="0.25">
      <c r="E10744"/>
    </row>
    <row r="10745" spans="5:5" x14ac:dyDescent="0.25">
      <c r="E10745"/>
    </row>
    <row r="10746" spans="5:5" x14ac:dyDescent="0.25">
      <c r="E10746"/>
    </row>
    <row r="10747" spans="5:5" x14ac:dyDescent="0.25">
      <c r="E10747"/>
    </row>
    <row r="10748" spans="5:5" x14ac:dyDescent="0.25">
      <c r="E10748"/>
    </row>
    <row r="10749" spans="5:5" x14ac:dyDescent="0.25">
      <c r="E10749"/>
    </row>
    <row r="10750" spans="5:5" x14ac:dyDescent="0.25">
      <c r="E10750"/>
    </row>
    <row r="10751" spans="5:5" x14ac:dyDescent="0.25">
      <c r="E10751"/>
    </row>
    <row r="10752" spans="5:5" x14ac:dyDescent="0.25">
      <c r="E10752"/>
    </row>
    <row r="10753" spans="5:5" x14ac:dyDescent="0.25">
      <c r="E10753"/>
    </row>
    <row r="10754" spans="5:5" x14ac:dyDescent="0.25">
      <c r="E10754"/>
    </row>
    <row r="10755" spans="5:5" x14ac:dyDescent="0.25">
      <c r="E10755"/>
    </row>
    <row r="10756" spans="5:5" x14ac:dyDescent="0.25">
      <c r="E10756"/>
    </row>
    <row r="10757" spans="5:5" x14ac:dyDescent="0.25">
      <c r="E10757"/>
    </row>
    <row r="10758" spans="5:5" x14ac:dyDescent="0.25">
      <c r="E10758"/>
    </row>
    <row r="10759" spans="5:5" x14ac:dyDescent="0.25">
      <c r="E10759"/>
    </row>
    <row r="10760" spans="5:5" x14ac:dyDescent="0.25">
      <c r="E10760"/>
    </row>
    <row r="10761" spans="5:5" x14ac:dyDescent="0.25">
      <c r="E10761"/>
    </row>
    <row r="10762" spans="5:5" x14ac:dyDescent="0.25">
      <c r="E10762"/>
    </row>
    <row r="10763" spans="5:5" x14ac:dyDescent="0.25">
      <c r="E10763"/>
    </row>
    <row r="10764" spans="5:5" x14ac:dyDescent="0.25">
      <c r="E10764"/>
    </row>
    <row r="10765" spans="5:5" x14ac:dyDescent="0.25">
      <c r="E10765"/>
    </row>
    <row r="10766" spans="5:5" x14ac:dyDescent="0.25">
      <c r="E10766"/>
    </row>
    <row r="10767" spans="5:5" x14ac:dyDescent="0.25">
      <c r="E10767"/>
    </row>
    <row r="10768" spans="5:5" x14ac:dyDescent="0.25">
      <c r="E10768"/>
    </row>
    <row r="10769" spans="5:5" x14ac:dyDescent="0.25">
      <c r="E10769"/>
    </row>
    <row r="10770" spans="5:5" x14ac:dyDescent="0.25">
      <c r="E10770"/>
    </row>
    <row r="10771" spans="5:5" x14ac:dyDescent="0.25">
      <c r="E10771"/>
    </row>
    <row r="10772" spans="5:5" x14ac:dyDescent="0.25">
      <c r="E10772"/>
    </row>
    <row r="10773" spans="5:5" x14ac:dyDescent="0.25">
      <c r="E10773"/>
    </row>
    <row r="10774" spans="5:5" x14ac:dyDescent="0.25">
      <c r="E10774"/>
    </row>
    <row r="10775" spans="5:5" x14ac:dyDescent="0.25">
      <c r="E10775"/>
    </row>
    <row r="10776" spans="5:5" x14ac:dyDescent="0.25">
      <c r="E10776"/>
    </row>
    <row r="10777" spans="5:5" x14ac:dyDescent="0.25">
      <c r="E10777"/>
    </row>
    <row r="10778" spans="5:5" x14ac:dyDescent="0.25">
      <c r="E10778"/>
    </row>
    <row r="10779" spans="5:5" x14ac:dyDescent="0.25">
      <c r="E10779"/>
    </row>
    <row r="10780" spans="5:5" x14ac:dyDescent="0.25">
      <c r="E10780"/>
    </row>
    <row r="10781" spans="5:5" x14ac:dyDescent="0.25">
      <c r="E10781"/>
    </row>
    <row r="10782" spans="5:5" x14ac:dyDescent="0.25">
      <c r="E10782"/>
    </row>
    <row r="10783" spans="5:5" x14ac:dyDescent="0.25">
      <c r="E10783"/>
    </row>
    <row r="10784" spans="5:5" x14ac:dyDescent="0.25">
      <c r="E10784"/>
    </row>
    <row r="10785" spans="5:5" x14ac:dyDescent="0.25">
      <c r="E10785"/>
    </row>
    <row r="10786" spans="5:5" x14ac:dyDescent="0.25">
      <c r="E10786"/>
    </row>
    <row r="10787" spans="5:5" x14ac:dyDescent="0.25">
      <c r="E10787"/>
    </row>
    <row r="10788" spans="5:5" x14ac:dyDescent="0.25">
      <c r="E10788"/>
    </row>
    <row r="10789" spans="5:5" x14ac:dyDescent="0.25">
      <c r="E10789"/>
    </row>
    <row r="10790" spans="5:5" x14ac:dyDescent="0.25">
      <c r="E10790"/>
    </row>
    <row r="10791" spans="5:5" x14ac:dyDescent="0.25">
      <c r="E10791"/>
    </row>
    <row r="10792" spans="5:5" x14ac:dyDescent="0.25">
      <c r="E10792"/>
    </row>
    <row r="10793" spans="5:5" x14ac:dyDescent="0.25">
      <c r="E10793"/>
    </row>
    <row r="10794" spans="5:5" x14ac:dyDescent="0.25">
      <c r="E10794"/>
    </row>
    <row r="10795" spans="5:5" x14ac:dyDescent="0.25">
      <c r="E10795"/>
    </row>
    <row r="10796" spans="5:5" x14ac:dyDescent="0.25">
      <c r="E10796"/>
    </row>
    <row r="10797" spans="5:5" x14ac:dyDescent="0.25">
      <c r="E10797"/>
    </row>
    <row r="10798" spans="5:5" x14ac:dyDescent="0.25">
      <c r="E10798"/>
    </row>
    <row r="10799" spans="5:5" x14ac:dyDescent="0.25">
      <c r="E10799"/>
    </row>
    <row r="10800" spans="5:5" x14ac:dyDescent="0.25">
      <c r="E10800"/>
    </row>
    <row r="10801" spans="5:5" x14ac:dyDescent="0.25">
      <c r="E10801"/>
    </row>
    <row r="10802" spans="5:5" x14ac:dyDescent="0.25">
      <c r="E10802"/>
    </row>
    <row r="10803" spans="5:5" x14ac:dyDescent="0.25">
      <c r="E10803"/>
    </row>
    <row r="10804" spans="5:5" x14ac:dyDescent="0.25">
      <c r="E10804"/>
    </row>
    <row r="10805" spans="5:5" x14ac:dyDescent="0.25">
      <c r="E10805"/>
    </row>
    <row r="10806" spans="5:5" x14ac:dyDescent="0.25">
      <c r="E10806"/>
    </row>
    <row r="10807" spans="5:5" x14ac:dyDescent="0.25">
      <c r="E10807"/>
    </row>
    <row r="10808" spans="5:5" x14ac:dyDescent="0.25">
      <c r="E10808"/>
    </row>
    <row r="10809" spans="5:5" x14ac:dyDescent="0.25">
      <c r="E10809"/>
    </row>
    <row r="10810" spans="5:5" x14ac:dyDescent="0.25">
      <c r="E10810"/>
    </row>
    <row r="10811" spans="5:5" x14ac:dyDescent="0.25">
      <c r="E10811"/>
    </row>
    <row r="10812" spans="5:5" x14ac:dyDescent="0.25">
      <c r="E10812"/>
    </row>
    <row r="10813" spans="5:5" x14ac:dyDescent="0.25">
      <c r="E10813"/>
    </row>
    <row r="10814" spans="5:5" x14ac:dyDescent="0.25">
      <c r="E10814"/>
    </row>
    <row r="10815" spans="5:5" x14ac:dyDescent="0.25">
      <c r="E10815"/>
    </row>
    <row r="10816" spans="5:5" x14ac:dyDescent="0.25">
      <c r="E10816"/>
    </row>
    <row r="10817" spans="5:5" x14ac:dyDescent="0.25">
      <c r="E10817"/>
    </row>
    <row r="10818" spans="5:5" x14ac:dyDescent="0.25">
      <c r="E10818"/>
    </row>
    <row r="10819" spans="5:5" x14ac:dyDescent="0.25">
      <c r="E10819"/>
    </row>
    <row r="10820" spans="5:5" x14ac:dyDescent="0.25">
      <c r="E10820"/>
    </row>
    <row r="10821" spans="5:5" x14ac:dyDescent="0.25">
      <c r="E10821"/>
    </row>
    <row r="10822" spans="5:5" x14ac:dyDescent="0.25">
      <c r="E10822"/>
    </row>
    <row r="10823" spans="5:5" x14ac:dyDescent="0.25">
      <c r="E10823"/>
    </row>
    <row r="10824" spans="5:5" x14ac:dyDescent="0.25">
      <c r="E10824"/>
    </row>
    <row r="10825" spans="5:5" x14ac:dyDescent="0.25">
      <c r="E10825"/>
    </row>
    <row r="10826" spans="5:5" x14ac:dyDescent="0.25">
      <c r="E10826"/>
    </row>
    <row r="10827" spans="5:5" x14ac:dyDescent="0.25">
      <c r="E10827"/>
    </row>
    <row r="10828" spans="5:5" x14ac:dyDescent="0.25">
      <c r="E10828"/>
    </row>
    <row r="10829" spans="5:5" x14ac:dyDescent="0.25">
      <c r="E10829"/>
    </row>
    <row r="10830" spans="5:5" x14ac:dyDescent="0.25">
      <c r="E10830"/>
    </row>
    <row r="10831" spans="5:5" x14ac:dyDescent="0.25">
      <c r="E10831"/>
    </row>
    <row r="10832" spans="5:5" x14ac:dyDescent="0.25">
      <c r="E10832"/>
    </row>
    <row r="10833" spans="5:5" x14ac:dyDescent="0.25">
      <c r="E10833"/>
    </row>
    <row r="10834" spans="5:5" x14ac:dyDescent="0.25">
      <c r="E10834"/>
    </row>
    <row r="10835" spans="5:5" x14ac:dyDescent="0.25">
      <c r="E10835"/>
    </row>
    <row r="10836" spans="5:5" x14ac:dyDescent="0.25">
      <c r="E10836"/>
    </row>
    <row r="10837" spans="5:5" x14ac:dyDescent="0.25">
      <c r="E10837"/>
    </row>
    <row r="10838" spans="5:5" x14ac:dyDescent="0.25">
      <c r="E10838"/>
    </row>
    <row r="10839" spans="5:5" x14ac:dyDescent="0.25">
      <c r="E10839"/>
    </row>
    <row r="10840" spans="5:5" x14ac:dyDescent="0.25">
      <c r="E10840"/>
    </row>
    <row r="10841" spans="5:5" x14ac:dyDescent="0.25">
      <c r="E10841"/>
    </row>
    <row r="10842" spans="5:5" x14ac:dyDescent="0.25">
      <c r="E10842"/>
    </row>
    <row r="10843" spans="5:5" x14ac:dyDescent="0.25">
      <c r="E10843"/>
    </row>
    <row r="10844" spans="5:5" x14ac:dyDescent="0.25">
      <c r="E10844"/>
    </row>
    <row r="10845" spans="5:5" x14ac:dyDescent="0.25">
      <c r="E10845"/>
    </row>
    <row r="10846" spans="5:5" x14ac:dyDescent="0.25">
      <c r="E10846"/>
    </row>
    <row r="10847" spans="5:5" x14ac:dyDescent="0.25">
      <c r="E10847"/>
    </row>
    <row r="10848" spans="5:5" x14ac:dyDescent="0.25">
      <c r="E10848"/>
    </row>
    <row r="10849" spans="5:5" x14ac:dyDescent="0.25">
      <c r="E10849"/>
    </row>
    <row r="10850" spans="5:5" x14ac:dyDescent="0.25">
      <c r="E10850"/>
    </row>
    <row r="10851" spans="5:5" x14ac:dyDescent="0.25">
      <c r="E10851"/>
    </row>
    <row r="10852" spans="5:5" x14ac:dyDescent="0.25">
      <c r="E10852"/>
    </row>
    <row r="10853" spans="5:5" x14ac:dyDescent="0.25">
      <c r="E10853"/>
    </row>
    <row r="10854" spans="5:5" x14ac:dyDescent="0.25">
      <c r="E10854"/>
    </row>
    <row r="10855" spans="5:5" x14ac:dyDescent="0.25">
      <c r="E10855"/>
    </row>
    <row r="10856" spans="5:5" x14ac:dyDescent="0.25">
      <c r="E10856"/>
    </row>
    <row r="10857" spans="5:5" x14ac:dyDescent="0.25">
      <c r="E10857"/>
    </row>
    <row r="10858" spans="5:5" x14ac:dyDescent="0.25">
      <c r="E10858"/>
    </row>
    <row r="10859" spans="5:5" x14ac:dyDescent="0.25">
      <c r="E10859"/>
    </row>
    <row r="10860" spans="5:5" x14ac:dyDescent="0.25">
      <c r="E10860"/>
    </row>
    <row r="10861" spans="5:5" x14ac:dyDescent="0.25">
      <c r="E10861"/>
    </row>
    <row r="10862" spans="5:5" x14ac:dyDescent="0.25">
      <c r="E10862"/>
    </row>
    <row r="10863" spans="5:5" x14ac:dyDescent="0.25">
      <c r="E10863"/>
    </row>
    <row r="10864" spans="5:5" x14ac:dyDescent="0.25">
      <c r="E10864"/>
    </row>
    <row r="10865" spans="5:5" x14ac:dyDescent="0.25">
      <c r="E10865"/>
    </row>
    <row r="10866" spans="5:5" x14ac:dyDescent="0.25">
      <c r="E10866"/>
    </row>
    <row r="10867" spans="5:5" x14ac:dyDescent="0.25">
      <c r="E10867"/>
    </row>
    <row r="10868" spans="5:5" x14ac:dyDescent="0.25">
      <c r="E10868"/>
    </row>
    <row r="10869" spans="5:5" x14ac:dyDescent="0.25">
      <c r="E10869"/>
    </row>
    <row r="10870" spans="5:5" x14ac:dyDescent="0.25">
      <c r="E10870"/>
    </row>
    <row r="10871" spans="5:5" x14ac:dyDescent="0.25">
      <c r="E10871"/>
    </row>
    <row r="10872" spans="5:5" x14ac:dyDescent="0.25">
      <c r="E10872"/>
    </row>
    <row r="10873" spans="5:5" x14ac:dyDescent="0.25">
      <c r="E10873"/>
    </row>
    <row r="10874" spans="5:5" x14ac:dyDescent="0.25">
      <c r="E10874"/>
    </row>
    <row r="10875" spans="5:5" x14ac:dyDescent="0.25">
      <c r="E10875"/>
    </row>
    <row r="10876" spans="5:5" x14ac:dyDescent="0.25">
      <c r="E10876"/>
    </row>
    <row r="10877" spans="5:5" x14ac:dyDescent="0.25">
      <c r="E10877"/>
    </row>
    <row r="10878" spans="5:5" x14ac:dyDescent="0.25">
      <c r="E10878"/>
    </row>
    <row r="10879" spans="5:5" x14ac:dyDescent="0.25">
      <c r="E10879"/>
    </row>
    <row r="10880" spans="5:5" x14ac:dyDescent="0.25">
      <c r="E10880"/>
    </row>
    <row r="10881" spans="5:5" x14ac:dyDescent="0.25">
      <c r="E10881"/>
    </row>
    <row r="10882" spans="5:5" x14ac:dyDescent="0.25">
      <c r="E10882"/>
    </row>
    <row r="10883" spans="5:5" x14ac:dyDescent="0.25">
      <c r="E10883"/>
    </row>
    <row r="10884" spans="5:5" x14ac:dyDescent="0.25">
      <c r="E10884"/>
    </row>
    <row r="10885" spans="5:5" x14ac:dyDescent="0.25">
      <c r="E10885"/>
    </row>
    <row r="10886" spans="5:5" x14ac:dyDescent="0.25">
      <c r="E10886"/>
    </row>
    <row r="10887" spans="5:5" x14ac:dyDescent="0.25">
      <c r="E10887"/>
    </row>
    <row r="10888" spans="5:5" x14ac:dyDescent="0.25">
      <c r="E10888"/>
    </row>
    <row r="10889" spans="5:5" x14ac:dyDescent="0.25">
      <c r="E10889"/>
    </row>
    <row r="10890" spans="5:5" x14ac:dyDescent="0.25">
      <c r="E10890"/>
    </row>
    <row r="10891" spans="5:5" x14ac:dyDescent="0.25">
      <c r="E10891"/>
    </row>
    <row r="10892" spans="5:5" x14ac:dyDescent="0.25">
      <c r="E10892"/>
    </row>
    <row r="10893" spans="5:5" x14ac:dyDescent="0.25">
      <c r="E10893"/>
    </row>
    <row r="10894" spans="5:5" x14ac:dyDescent="0.25">
      <c r="E10894"/>
    </row>
    <row r="10895" spans="5:5" x14ac:dyDescent="0.25">
      <c r="E10895"/>
    </row>
    <row r="10896" spans="5:5" x14ac:dyDescent="0.25">
      <c r="E10896"/>
    </row>
    <row r="10897" spans="5:5" x14ac:dyDescent="0.25">
      <c r="E10897"/>
    </row>
    <row r="10898" spans="5:5" x14ac:dyDescent="0.25">
      <c r="E10898"/>
    </row>
    <row r="10899" spans="5:5" x14ac:dyDescent="0.25">
      <c r="E10899"/>
    </row>
    <row r="10900" spans="5:5" x14ac:dyDescent="0.25">
      <c r="E10900"/>
    </row>
    <row r="10901" spans="5:5" x14ac:dyDescent="0.25">
      <c r="E10901"/>
    </row>
    <row r="10902" spans="5:5" x14ac:dyDescent="0.25">
      <c r="E10902"/>
    </row>
    <row r="10903" spans="5:5" x14ac:dyDescent="0.25">
      <c r="E10903"/>
    </row>
    <row r="10904" spans="5:5" x14ac:dyDescent="0.25">
      <c r="E10904"/>
    </row>
    <row r="10905" spans="5:5" x14ac:dyDescent="0.25">
      <c r="E10905"/>
    </row>
    <row r="10906" spans="5:5" x14ac:dyDescent="0.25">
      <c r="E10906"/>
    </row>
    <row r="10907" spans="5:5" x14ac:dyDescent="0.25">
      <c r="E10907"/>
    </row>
    <row r="10908" spans="5:5" x14ac:dyDescent="0.25">
      <c r="E10908"/>
    </row>
    <row r="10909" spans="5:5" x14ac:dyDescent="0.25">
      <c r="E10909"/>
    </row>
    <row r="10910" spans="5:5" x14ac:dyDescent="0.25">
      <c r="E10910"/>
    </row>
    <row r="10911" spans="5:5" x14ac:dyDescent="0.25">
      <c r="E10911"/>
    </row>
    <row r="10912" spans="5:5" x14ac:dyDescent="0.25">
      <c r="E10912"/>
    </row>
    <row r="10913" spans="5:5" x14ac:dyDescent="0.25">
      <c r="E10913"/>
    </row>
    <row r="10914" spans="5:5" x14ac:dyDescent="0.25">
      <c r="E10914"/>
    </row>
    <row r="10915" spans="5:5" x14ac:dyDescent="0.25">
      <c r="E10915"/>
    </row>
    <row r="10916" spans="5:5" x14ac:dyDescent="0.25">
      <c r="E10916"/>
    </row>
    <row r="10917" spans="5:5" x14ac:dyDescent="0.25">
      <c r="E10917"/>
    </row>
    <row r="10918" spans="5:5" x14ac:dyDescent="0.25">
      <c r="E10918"/>
    </row>
    <row r="10919" spans="5:5" x14ac:dyDescent="0.25">
      <c r="E10919"/>
    </row>
    <row r="10920" spans="5:5" x14ac:dyDescent="0.25">
      <c r="E10920"/>
    </row>
    <row r="10921" spans="5:5" x14ac:dyDescent="0.25">
      <c r="E10921"/>
    </row>
    <row r="10922" spans="5:5" x14ac:dyDescent="0.25">
      <c r="E10922"/>
    </row>
    <row r="10923" spans="5:5" x14ac:dyDescent="0.25">
      <c r="E10923"/>
    </row>
    <row r="10924" spans="5:5" x14ac:dyDescent="0.25">
      <c r="E10924"/>
    </row>
    <row r="10925" spans="5:5" x14ac:dyDescent="0.25">
      <c r="E10925"/>
    </row>
    <row r="10926" spans="5:5" x14ac:dyDescent="0.25">
      <c r="E10926"/>
    </row>
    <row r="10927" spans="5:5" x14ac:dyDescent="0.25">
      <c r="E10927"/>
    </row>
    <row r="10928" spans="5:5" x14ac:dyDescent="0.25">
      <c r="E10928"/>
    </row>
    <row r="10929" spans="5:5" x14ac:dyDescent="0.25">
      <c r="E10929"/>
    </row>
    <row r="10930" spans="5:5" x14ac:dyDescent="0.25">
      <c r="E10930"/>
    </row>
    <row r="10931" spans="5:5" x14ac:dyDescent="0.25">
      <c r="E10931"/>
    </row>
    <row r="10932" spans="5:5" x14ac:dyDescent="0.25">
      <c r="E10932"/>
    </row>
    <row r="10933" spans="5:5" x14ac:dyDescent="0.25">
      <c r="E10933"/>
    </row>
    <row r="10934" spans="5:5" x14ac:dyDescent="0.25">
      <c r="E10934"/>
    </row>
    <row r="10935" spans="5:5" x14ac:dyDescent="0.25">
      <c r="E10935"/>
    </row>
    <row r="10936" spans="5:5" x14ac:dyDescent="0.25">
      <c r="E10936"/>
    </row>
    <row r="10937" spans="5:5" x14ac:dyDescent="0.25">
      <c r="E10937"/>
    </row>
    <row r="10938" spans="5:5" x14ac:dyDescent="0.25">
      <c r="E10938"/>
    </row>
    <row r="10939" spans="5:5" x14ac:dyDescent="0.25">
      <c r="E10939"/>
    </row>
    <row r="10940" spans="5:5" x14ac:dyDescent="0.25">
      <c r="E10940"/>
    </row>
    <row r="10941" spans="5:5" x14ac:dyDescent="0.25">
      <c r="E10941"/>
    </row>
    <row r="10942" spans="5:5" x14ac:dyDescent="0.25">
      <c r="E10942"/>
    </row>
    <row r="10943" spans="5:5" x14ac:dyDescent="0.25">
      <c r="E10943"/>
    </row>
    <row r="10944" spans="5:5" x14ac:dyDescent="0.25">
      <c r="E10944"/>
    </row>
    <row r="10945" spans="5:5" x14ac:dyDescent="0.25">
      <c r="E10945"/>
    </row>
    <row r="10946" spans="5:5" x14ac:dyDescent="0.25">
      <c r="E10946"/>
    </row>
    <row r="10947" spans="5:5" x14ac:dyDescent="0.25">
      <c r="E10947"/>
    </row>
    <row r="10948" spans="5:5" x14ac:dyDescent="0.25">
      <c r="E10948"/>
    </row>
    <row r="10949" spans="5:5" x14ac:dyDescent="0.25">
      <c r="E10949"/>
    </row>
    <row r="10950" spans="5:5" x14ac:dyDescent="0.25">
      <c r="E10950"/>
    </row>
    <row r="10951" spans="5:5" x14ac:dyDescent="0.25">
      <c r="E10951"/>
    </row>
    <row r="10952" spans="5:5" x14ac:dyDescent="0.25">
      <c r="E10952"/>
    </row>
    <row r="10953" spans="5:5" x14ac:dyDescent="0.25">
      <c r="E10953"/>
    </row>
    <row r="10954" spans="5:5" x14ac:dyDescent="0.25">
      <c r="E10954"/>
    </row>
    <row r="10955" spans="5:5" x14ac:dyDescent="0.25">
      <c r="E10955"/>
    </row>
    <row r="10956" spans="5:5" x14ac:dyDescent="0.25">
      <c r="E10956"/>
    </row>
    <row r="10957" spans="5:5" x14ac:dyDescent="0.25">
      <c r="E10957"/>
    </row>
    <row r="10958" spans="5:5" x14ac:dyDescent="0.25">
      <c r="E10958"/>
    </row>
    <row r="10959" spans="5:5" x14ac:dyDescent="0.25">
      <c r="E10959"/>
    </row>
    <row r="10960" spans="5:5" x14ac:dyDescent="0.25">
      <c r="E10960"/>
    </row>
    <row r="10961" spans="5:5" x14ac:dyDescent="0.25">
      <c r="E10961"/>
    </row>
    <row r="10962" spans="5:5" x14ac:dyDescent="0.25">
      <c r="E10962"/>
    </row>
    <row r="10963" spans="5:5" x14ac:dyDescent="0.25">
      <c r="E10963"/>
    </row>
    <row r="10964" spans="5:5" x14ac:dyDescent="0.25">
      <c r="E10964"/>
    </row>
    <row r="10965" spans="5:5" x14ac:dyDescent="0.25">
      <c r="E10965"/>
    </row>
    <row r="10966" spans="5:5" x14ac:dyDescent="0.25">
      <c r="E10966"/>
    </row>
    <row r="10967" spans="5:5" x14ac:dyDescent="0.25">
      <c r="E10967"/>
    </row>
    <row r="10968" spans="5:5" x14ac:dyDescent="0.25">
      <c r="E10968"/>
    </row>
    <row r="10969" spans="5:5" x14ac:dyDescent="0.25">
      <c r="E10969"/>
    </row>
    <row r="10970" spans="5:5" x14ac:dyDescent="0.25">
      <c r="E10970"/>
    </row>
    <row r="10971" spans="5:5" x14ac:dyDescent="0.25">
      <c r="E10971"/>
    </row>
    <row r="10972" spans="5:5" x14ac:dyDescent="0.25">
      <c r="E10972"/>
    </row>
    <row r="10973" spans="5:5" x14ac:dyDescent="0.25">
      <c r="E10973"/>
    </row>
    <row r="10974" spans="5:5" x14ac:dyDescent="0.25">
      <c r="E10974"/>
    </row>
    <row r="10975" spans="5:5" x14ac:dyDescent="0.25">
      <c r="E10975"/>
    </row>
    <row r="10976" spans="5:5" x14ac:dyDescent="0.25">
      <c r="E10976"/>
    </row>
    <row r="10977" spans="5:5" x14ac:dyDescent="0.25">
      <c r="E10977"/>
    </row>
    <row r="10978" spans="5:5" x14ac:dyDescent="0.25">
      <c r="E10978"/>
    </row>
    <row r="10979" spans="5:5" x14ac:dyDescent="0.25">
      <c r="E10979"/>
    </row>
    <row r="10980" spans="5:5" x14ac:dyDescent="0.25">
      <c r="E10980"/>
    </row>
    <row r="10981" spans="5:5" x14ac:dyDescent="0.25">
      <c r="E10981"/>
    </row>
    <row r="10982" spans="5:5" x14ac:dyDescent="0.25">
      <c r="E10982"/>
    </row>
    <row r="10983" spans="5:5" x14ac:dyDescent="0.25">
      <c r="E10983"/>
    </row>
    <row r="10984" spans="5:5" x14ac:dyDescent="0.25">
      <c r="E10984"/>
    </row>
    <row r="10985" spans="5:5" x14ac:dyDescent="0.25">
      <c r="E10985"/>
    </row>
    <row r="10986" spans="5:5" x14ac:dyDescent="0.25">
      <c r="E10986"/>
    </row>
    <row r="10987" spans="5:5" x14ac:dyDescent="0.25">
      <c r="E10987"/>
    </row>
    <row r="10988" spans="5:5" x14ac:dyDescent="0.25">
      <c r="E10988"/>
    </row>
    <row r="10989" spans="5:5" x14ac:dyDescent="0.25">
      <c r="E10989"/>
    </row>
    <row r="10990" spans="5:5" x14ac:dyDescent="0.25">
      <c r="E10990"/>
    </row>
    <row r="10991" spans="5:5" x14ac:dyDescent="0.25">
      <c r="E10991"/>
    </row>
    <row r="10992" spans="5:5" x14ac:dyDescent="0.25">
      <c r="E10992"/>
    </row>
    <row r="10993" spans="5:5" x14ac:dyDescent="0.25">
      <c r="E10993"/>
    </row>
    <row r="10994" spans="5:5" x14ac:dyDescent="0.25">
      <c r="E10994"/>
    </row>
    <row r="10995" spans="5:5" x14ac:dyDescent="0.25">
      <c r="E10995"/>
    </row>
    <row r="10996" spans="5:5" x14ac:dyDescent="0.25">
      <c r="E10996"/>
    </row>
    <row r="10997" spans="5:5" x14ac:dyDescent="0.25">
      <c r="E10997"/>
    </row>
    <row r="10998" spans="5:5" x14ac:dyDescent="0.25">
      <c r="E10998"/>
    </row>
    <row r="10999" spans="5:5" x14ac:dyDescent="0.25">
      <c r="E10999"/>
    </row>
    <row r="11000" spans="5:5" x14ac:dyDescent="0.25">
      <c r="E11000"/>
    </row>
    <row r="11001" spans="5:5" x14ac:dyDescent="0.25">
      <c r="E11001"/>
    </row>
    <row r="11002" spans="5:5" x14ac:dyDescent="0.25">
      <c r="E11002"/>
    </row>
    <row r="11003" spans="5:5" x14ac:dyDescent="0.25">
      <c r="E11003"/>
    </row>
    <row r="11004" spans="5:5" x14ac:dyDescent="0.25">
      <c r="E11004"/>
    </row>
    <row r="11005" spans="5:5" x14ac:dyDescent="0.25">
      <c r="E11005"/>
    </row>
    <row r="11006" spans="5:5" x14ac:dyDescent="0.25">
      <c r="E11006"/>
    </row>
    <row r="11007" spans="5:5" x14ac:dyDescent="0.25">
      <c r="E11007"/>
    </row>
    <row r="11008" spans="5:5" x14ac:dyDescent="0.25">
      <c r="E11008"/>
    </row>
    <row r="11009" spans="5:5" x14ac:dyDescent="0.25">
      <c r="E11009"/>
    </row>
    <row r="11010" spans="5:5" x14ac:dyDescent="0.25">
      <c r="E11010"/>
    </row>
    <row r="11011" spans="5:5" x14ac:dyDescent="0.25">
      <c r="E11011"/>
    </row>
    <row r="11012" spans="5:5" x14ac:dyDescent="0.25">
      <c r="E11012"/>
    </row>
    <row r="11013" spans="5:5" x14ac:dyDescent="0.25">
      <c r="E11013"/>
    </row>
    <row r="11014" spans="5:5" x14ac:dyDescent="0.25">
      <c r="E11014"/>
    </row>
    <row r="11015" spans="5:5" x14ac:dyDescent="0.25">
      <c r="E11015"/>
    </row>
    <row r="11016" spans="5:5" x14ac:dyDescent="0.25">
      <c r="E11016"/>
    </row>
    <row r="11017" spans="5:5" x14ac:dyDescent="0.25">
      <c r="E11017"/>
    </row>
    <row r="11018" spans="5:5" x14ac:dyDescent="0.25">
      <c r="E11018"/>
    </row>
    <row r="11019" spans="5:5" x14ac:dyDescent="0.25">
      <c r="E11019"/>
    </row>
    <row r="11020" spans="5:5" x14ac:dyDescent="0.25">
      <c r="E11020"/>
    </row>
    <row r="11021" spans="5:5" x14ac:dyDescent="0.25">
      <c r="E11021"/>
    </row>
    <row r="11022" spans="5:5" x14ac:dyDescent="0.25">
      <c r="E11022"/>
    </row>
    <row r="11023" spans="5:5" x14ac:dyDescent="0.25">
      <c r="E11023"/>
    </row>
    <row r="11024" spans="5:5" x14ac:dyDescent="0.25">
      <c r="E11024"/>
    </row>
    <row r="11025" spans="5:5" x14ac:dyDescent="0.25">
      <c r="E11025"/>
    </row>
    <row r="11026" spans="5:5" x14ac:dyDescent="0.25">
      <c r="E11026"/>
    </row>
    <row r="11027" spans="5:5" x14ac:dyDescent="0.25">
      <c r="E11027"/>
    </row>
    <row r="11028" spans="5:5" x14ac:dyDescent="0.25">
      <c r="E11028"/>
    </row>
    <row r="11029" spans="5:5" x14ac:dyDescent="0.25">
      <c r="E11029"/>
    </row>
    <row r="11030" spans="5:5" x14ac:dyDescent="0.25">
      <c r="E11030"/>
    </row>
    <row r="11031" spans="5:5" x14ac:dyDescent="0.25">
      <c r="E11031"/>
    </row>
    <row r="11032" spans="5:5" x14ac:dyDescent="0.25">
      <c r="E11032"/>
    </row>
    <row r="11033" spans="5:5" x14ac:dyDescent="0.25">
      <c r="E11033"/>
    </row>
    <row r="11034" spans="5:5" x14ac:dyDescent="0.25">
      <c r="E11034"/>
    </row>
    <row r="11035" spans="5:5" x14ac:dyDescent="0.25">
      <c r="E11035"/>
    </row>
    <row r="11036" spans="5:5" x14ac:dyDescent="0.25">
      <c r="E11036"/>
    </row>
    <row r="11037" spans="5:5" x14ac:dyDescent="0.25">
      <c r="E11037"/>
    </row>
    <row r="11038" spans="5:5" x14ac:dyDescent="0.25">
      <c r="E11038"/>
    </row>
    <row r="11039" spans="5:5" x14ac:dyDescent="0.25">
      <c r="E11039"/>
    </row>
    <row r="11040" spans="5:5" x14ac:dyDescent="0.25">
      <c r="E11040"/>
    </row>
    <row r="11041" spans="5:5" x14ac:dyDescent="0.25">
      <c r="E11041"/>
    </row>
    <row r="11042" spans="5:5" x14ac:dyDescent="0.25">
      <c r="E11042"/>
    </row>
    <row r="11043" spans="5:5" x14ac:dyDescent="0.25">
      <c r="E11043"/>
    </row>
    <row r="11044" spans="5:5" x14ac:dyDescent="0.25">
      <c r="E11044"/>
    </row>
    <row r="11045" spans="5:5" x14ac:dyDescent="0.25">
      <c r="E11045"/>
    </row>
    <row r="11046" spans="5:5" x14ac:dyDescent="0.25">
      <c r="E11046"/>
    </row>
    <row r="11047" spans="5:5" x14ac:dyDescent="0.25">
      <c r="E11047"/>
    </row>
    <row r="11048" spans="5:5" x14ac:dyDescent="0.25">
      <c r="E11048"/>
    </row>
    <row r="11049" spans="5:5" x14ac:dyDescent="0.25">
      <c r="E11049"/>
    </row>
    <row r="11050" spans="5:5" x14ac:dyDescent="0.25">
      <c r="E11050"/>
    </row>
    <row r="11051" spans="5:5" x14ac:dyDescent="0.25">
      <c r="E11051"/>
    </row>
    <row r="11052" spans="5:5" x14ac:dyDescent="0.25">
      <c r="E11052"/>
    </row>
    <row r="11053" spans="5:5" x14ac:dyDescent="0.25">
      <c r="E11053"/>
    </row>
    <row r="11054" spans="5:5" x14ac:dyDescent="0.25">
      <c r="E11054"/>
    </row>
    <row r="11055" spans="5:5" x14ac:dyDescent="0.25">
      <c r="E11055"/>
    </row>
    <row r="11056" spans="5:5" x14ac:dyDescent="0.25">
      <c r="E11056"/>
    </row>
    <row r="11057" spans="5:5" x14ac:dyDescent="0.25">
      <c r="E11057"/>
    </row>
    <row r="11058" spans="5:5" x14ac:dyDescent="0.25">
      <c r="E11058"/>
    </row>
    <row r="11059" spans="5:5" x14ac:dyDescent="0.25">
      <c r="E11059"/>
    </row>
    <row r="11060" spans="5:5" x14ac:dyDescent="0.25">
      <c r="E11060"/>
    </row>
    <row r="11061" spans="5:5" x14ac:dyDescent="0.25">
      <c r="E11061"/>
    </row>
    <row r="11062" spans="5:5" x14ac:dyDescent="0.25">
      <c r="E11062"/>
    </row>
    <row r="11063" spans="5:5" x14ac:dyDescent="0.25">
      <c r="E11063"/>
    </row>
    <row r="11064" spans="5:5" x14ac:dyDescent="0.25">
      <c r="E11064"/>
    </row>
    <row r="11065" spans="5:5" x14ac:dyDescent="0.25">
      <c r="E11065"/>
    </row>
    <row r="11066" spans="5:5" x14ac:dyDescent="0.25">
      <c r="E11066"/>
    </row>
    <row r="11067" spans="5:5" x14ac:dyDescent="0.25">
      <c r="E11067"/>
    </row>
    <row r="11068" spans="5:5" x14ac:dyDescent="0.25">
      <c r="E11068"/>
    </row>
    <row r="11069" spans="5:5" x14ac:dyDescent="0.25">
      <c r="E11069"/>
    </row>
    <row r="11070" spans="5:5" x14ac:dyDescent="0.25">
      <c r="E11070"/>
    </row>
    <row r="11071" spans="5:5" x14ac:dyDescent="0.25">
      <c r="E11071"/>
    </row>
    <row r="11072" spans="5:5" x14ac:dyDescent="0.25">
      <c r="E11072"/>
    </row>
    <row r="11073" spans="5:5" x14ac:dyDescent="0.25">
      <c r="E11073"/>
    </row>
    <row r="11074" spans="5:5" x14ac:dyDescent="0.25">
      <c r="E11074"/>
    </row>
    <row r="11075" spans="5:5" x14ac:dyDescent="0.25">
      <c r="E11075"/>
    </row>
    <row r="11076" spans="5:5" x14ac:dyDescent="0.25">
      <c r="E11076"/>
    </row>
    <row r="11077" spans="5:5" x14ac:dyDescent="0.25">
      <c r="E11077"/>
    </row>
    <row r="11078" spans="5:5" x14ac:dyDescent="0.25">
      <c r="E11078"/>
    </row>
    <row r="11079" spans="5:5" x14ac:dyDescent="0.25">
      <c r="E11079"/>
    </row>
    <row r="11080" spans="5:5" x14ac:dyDescent="0.25">
      <c r="E11080"/>
    </row>
    <row r="11081" spans="5:5" x14ac:dyDescent="0.25">
      <c r="E11081"/>
    </row>
    <row r="11082" spans="5:5" x14ac:dyDescent="0.25">
      <c r="E11082"/>
    </row>
    <row r="11083" spans="5:5" x14ac:dyDescent="0.25">
      <c r="E11083"/>
    </row>
    <row r="11084" spans="5:5" x14ac:dyDescent="0.25">
      <c r="E11084"/>
    </row>
    <row r="11085" spans="5:5" x14ac:dyDescent="0.25">
      <c r="E11085"/>
    </row>
    <row r="11086" spans="5:5" x14ac:dyDescent="0.25">
      <c r="E11086"/>
    </row>
    <row r="11087" spans="5:5" x14ac:dyDescent="0.25">
      <c r="E11087"/>
    </row>
    <row r="11088" spans="5:5" x14ac:dyDescent="0.25">
      <c r="E11088"/>
    </row>
    <row r="11089" spans="5:5" x14ac:dyDescent="0.25">
      <c r="E11089"/>
    </row>
    <row r="11090" spans="5:5" x14ac:dyDescent="0.25">
      <c r="E11090"/>
    </row>
    <row r="11091" spans="5:5" x14ac:dyDescent="0.25">
      <c r="E11091"/>
    </row>
    <row r="11092" spans="5:5" x14ac:dyDescent="0.25">
      <c r="E11092"/>
    </row>
    <row r="11093" spans="5:5" x14ac:dyDescent="0.25">
      <c r="E11093"/>
    </row>
    <row r="11094" spans="5:5" x14ac:dyDescent="0.25">
      <c r="E11094"/>
    </row>
    <row r="11095" spans="5:5" x14ac:dyDescent="0.25">
      <c r="E11095"/>
    </row>
    <row r="11096" spans="5:5" x14ac:dyDescent="0.25">
      <c r="E11096"/>
    </row>
    <row r="11097" spans="5:5" x14ac:dyDescent="0.25">
      <c r="E11097"/>
    </row>
    <row r="11098" spans="5:5" x14ac:dyDescent="0.25">
      <c r="E11098"/>
    </row>
    <row r="11099" spans="5:5" x14ac:dyDescent="0.25">
      <c r="E11099"/>
    </row>
    <row r="11100" spans="5:5" x14ac:dyDescent="0.25">
      <c r="E11100"/>
    </row>
    <row r="11101" spans="5:5" x14ac:dyDescent="0.25">
      <c r="E11101"/>
    </row>
    <row r="11102" spans="5:5" x14ac:dyDescent="0.25">
      <c r="E11102"/>
    </row>
    <row r="11103" spans="5:5" x14ac:dyDescent="0.25">
      <c r="E11103"/>
    </row>
    <row r="11104" spans="5:5" x14ac:dyDescent="0.25">
      <c r="E11104"/>
    </row>
    <row r="11105" spans="5:5" x14ac:dyDescent="0.25">
      <c r="E11105"/>
    </row>
    <row r="11106" spans="5:5" x14ac:dyDescent="0.25">
      <c r="E11106"/>
    </row>
    <row r="11107" spans="5:5" x14ac:dyDescent="0.25">
      <c r="E11107"/>
    </row>
    <row r="11108" spans="5:5" x14ac:dyDescent="0.25">
      <c r="E11108"/>
    </row>
    <row r="11109" spans="5:5" x14ac:dyDescent="0.25">
      <c r="E11109"/>
    </row>
    <row r="11110" spans="5:5" x14ac:dyDescent="0.25">
      <c r="E11110"/>
    </row>
    <row r="11111" spans="5:5" x14ac:dyDescent="0.25">
      <c r="E11111"/>
    </row>
    <row r="11112" spans="5:5" x14ac:dyDescent="0.25">
      <c r="E11112"/>
    </row>
    <row r="11113" spans="5:5" x14ac:dyDescent="0.25">
      <c r="E11113"/>
    </row>
    <row r="11114" spans="5:5" x14ac:dyDescent="0.25">
      <c r="E11114"/>
    </row>
    <row r="11115" spans="5:5" x14ac:dyDescent="0.25">
      <c r="E11115"/>
    </row>
    <row r="11116" spans="5:5" x14ac:dyDescent="0.25">
      <c r="E11116"/>
    </row>
    <row r="11117" spans="5:5" x14ac:dyDescent="0.25">
      <c r="E11117"/>
    </row>
    <row r="11118" spans="5:5" x14ac:dyDescent="0.25">
      <c r="E11118"/>
    </row>
    <row r="11119" spans="5:5" x14ac:dyDescent="0.25">
      <c r="E11119"/>
    </row>
    <row r="11120" spans="5:5" x14ac:dyDescent="0.25">
      <c r="E11120"/>
    </row>
    <row r="11121" spans="5:5" x14ac:dyDescent="0.25">
      <c r="E11121"/>
    </row>
    <row r="11122" spans="5:5" x14ac:dyDescent="0.25">
      <c r="E11122"/>
    </row>
    <row r="11123" spans="5:5" x14ac:dyDescent="0.25">
      <c r="E11123"/>
    </row>
    <row r="11124" spans="5:5" x14ac:dyDescent="0.25">
      <c r="E11124"/>
    </row>
    <row r="11125" spans="5:5" x14ac:dyDescent="0.25">
      <c r="E11125"/>
    </row>
    <row r="11126" spans="5:5" x14ac:dyDescent="0.25">
      <c r="E11126"/>
    </row>
    <row r="11127" spans="5:5" x14ac:dyDescent="0.25">
      <c r="E11127"/>
    </row>
    <row r="11128" spans="5:5" x14ac:dyDescent="0.25">
      <c r="E11128"/>
    </row>
    <row r="11129" spans="5:5" x14ac:dyDescent="0.25">
      <c r="E11129"/>
    </row>
    <row r="11130" spans="5:5" x14ac:dyDescent="0.25">
      <c r="E11130"/>
    </row>
    <row r="11131" spans="5:5" x14ac:dyDescent="0.25">
      <c r="E11131"/>
    </row>
    <row r="11132" spans="5:5" x14ac:dyDescent="0.25">
      <c r="E11132"/>
    </row>
    <row r="11133" spans="5:5" x14ac:dyDescent="0.25">
      <c r="E11133"/>
    </row>
    <row r="11134" spans="5:5" x14ac:dyDescent="0.25">
      <c r="E11134"/>
    </row>
    <row r="11135" spans="5:5" x14ac:dyDescent="0.25">
      <c r="E11135"/>
    </row>
    <row r="11136" spans="5:5" x14ac:dyDescent="0.25">
      <c r="E11136"/>
    </row>
    <row r="11137" spans="5:5" x14ac:dyDescent="0.25">
      <c r="E11137"/>
    </row>
    <row r="11138" spans="5:5" x14ac:dyDescent="0.25">
      <c r="E11138"/>
    </row>
    <row r="11139" spans="5:5" x14ac:dyDescent="0.25">
      <c r="E11139"/>
    </row>
    <row r="11140" spans="5:5" x14ac:dyDescent="0.25">
      <c r="E11140"/>
    </row>
    <row r="11141" spans="5:5" x14ac:dyDescent="0.25">
      <c r="E11141"/>
    </row>
    <row r="11142" spans="5:5" x14ac:dyDescent="0.25">
      <c r="E11142"/>
    </row>
    <row r="11143" spans="5:5" x14ac:dyDescent="0.25">
      <c r="E11143"/>
    </row>
    <row r="11144" spans="5:5" x14ac:dyDescent="0.25">
      <c r="E11144"/>
    </row>
    <row r="11145" spans="5:5" x14ac:dyDescent="0.25">
      <c r="E11145"/>
    </row>
    <row r="11146" spans="5:5" x14ac:dyDescent="0.25">
      <c r="E11146"/>
    </row>
    <row r="11147" spans="5:5" x14ac:dyDescent="0.25">
      <c r="E11147"/>
    </row>
    <row r="11148" spans="5:5" x14ac:dyDescent="0.25">
      <c r="E11148"/>
    </row>
    <row r="11149" spans="5:5" x14ac:dyDescent="0.25">
      <c r="E11149"/>
    </row>
    <row r="11150" spans="5:5" x14ac:dyDescent="0.25">
      <c r="E11150"/>
    </row>
    <row r="11151" spans="5:5" x14ac:dyDescent="0.25">
      <c r="E11151"/>
    </row>
    <row r="11152" spans="5:5" x14ac:dyDescent="0.25">
      <c r="E11152"/>
    </row>
    <row r="11153" spans="5:5" x14ac:dyDescent="0.25">
      <c r="E11153"/>
    </row>
    <row r="11154" spans="5:5" x14ac:dyDescent="0.25">
      <c r="E11154"/>
    </row>
    <row r="11155" spans="5:5" x14ac:dyDescent="0.25">
      <c r="E11155"/>
    </row>
    <row r="11156" spans="5:5" x14ac:dyDescent="0.25">
      <c r="E11156"/>
    </row>
    <row r="11157" spans="5:5" x14ac:dyDescent="0.25">
      <c r="E11157"/>
    </row>
    <row r="11158" spans="5:5" x14ac:dyDescent="0.25">
      <c r="E11158"/>
    </row>
    <row r="11159" spans="5:5" x14ac:dyDescent="0.25">
      <c r="E11159"/>
    </row>
    <row r="11160" spans="5:5" x14ac:dyDescent="0.25">
      <c r="E11160"/>
    </row>
    <row r="11161" spans="5:5" x14ac:dyDescent="0.25">
      <c r="E11161"/>
    </row>
    <row r="11162" spans="5:5" x14ac:dyDescent="0.25">
      <c r="E11162"/>
    </row>
    <row r="11163" spans="5:5" x14ac:dyDescent="0.25">
      <c r="E11163"/>
    </row>
    <row r="11164" spans="5:5" x14ac:dyDescent="0.25">
      <c r="E11164"/>
    </row>
    <row r="11165" spans="5:5" x14ac:dyDescent="0.25">
      <c r="E11165"/>
    </row>
    <row r="11166" spans="5:5" x14ac:dyDescent="0.25">
      <c r="E11166"/>
    </row>
    <row r="11167" spans="5:5" x14ac:dyDescent="0.25">
      <c r="E11167"/>
    </row>
    <row r="11168" spans="5:5" x14ac:dyDescent="0.25">
      <c r="E11168"/>
    </row>
    <row r="11169" spans="5:5" x14ac:dyDescent="0.25">
      <c r="E11169"/>
    </row>
    <row r="11170" spans="5:5" x14ac:dyDescent="0.25">
      <c r="E11170"/>
    </row>
    <row r="11171" spans="5:5" x14ac:dyDescent="0.25">
      <c r="E11171"/>
    </row>
    <row r="11172" spans="5:5" x14ac:dyDescent="0.25">
      <c r="E11172"/>
    </row>
    <row r="11173" spans="5:5" x14ac:dyDescent="0.25">
      <c r="E11173"/>
    </row>
    <row r="11174" spans="5:5" x14ac:dyDescent="0.25">
      <c r="E11174"/>
    </row>
    <row r="11175" spans="5:5" x14ac:dyDescent="0.25">
      <c r="E11175"/>
    </row>
    <row r="11176" spans="5:5" x14ac:dyDescent="0.25">
      <c r="E11176"/>
    </row>
    <row r="11177" spans="5:5" x14ac:dyDescent="0.25">
      <c r="E11177"/>
    </row>
    <row r="11178" spans="5:5" x14ac:dyDescent="0.25">
      <c r="E11178"/>
    </row>
    <row r="11179" spans="5:5" x14ac:dyDescent="0.25">
      <c r="E11179"/>
    </row>
    <row r="11180" spans="5:5" x14ac:dyDescent="0.25">
      <c r="E11180"/>
    </row>
    <row r="11181" spans="5:5" x14ac:dyDescent="0.25">
      <c r="E11181"/>
    </row>
    <row r="11182" spans="5:5" x14ac:dyDescent="0.25">
      <c r="E11182"/>
    </row>
    <row r="11183" spans="5:5" x14ac:dyDescent="0.25">
      <c r="E11183"/>
    </row>
    <row r="11184" spans="5:5" x14ac:dyDescent="0.25">
      <c r="E11184"/>
    </row>
    <row r="11185" spans="5:5" x14ac:dyDescent="0.25">
      <c r="E11185"/>
    </row>
    <row r="11186" spans="5:5" x14ac:dyDescent="0.25">
      <c r="E11186"/>
    </row>
    <row r="11187" spans="5:5" x14ac:dyDescent="0.25">
      <c r="E11187"/>
    </row>
    <row r="11188" spans="5:5" x14ac:dyDescent="0.25">
      <c r="E11188"/>
    </row>
    <row r="11189" spans="5:5" x14ac:dyDescent="0.25">
      <c r="E11189"/>
    </row>
    <row r="11190" spans="5:5" x14ac:dyDescent="0.25">
      <c r="E11190"/>
    </row>
    <row r="11191" spans="5:5" x14ac:dyDescent="0.25">
      <c r="E11191"/>
    </row>
    <row r="11192" spans="5:5" x14ac:dyDescent="0.25">
      <c r="E11192"/>
    </row>
    <row r="11193" spans="5:5" x14ac:dyDescent="0.25">
      <c r="E11193"/>
    </row>
    <row r="11194" spans="5:5" x14ac:dyDescent="0.25">
      <c r="E11194"/>
    </row>
    <row r="11195" spans="5:5" x14ac:dyDescent="0.25">
      <c r="E11195"/>
    </row>
    <row r="11196" spans="5:5" x14ac:dyDescent="0.25">
      <c r="E11196"/>
    </row>
    <row r="11197" spans="5:5" x14ac:dyDescent="0.25">
      <c r="E11197"/>
    </row>
    <row r="11198" spans="5:5" x14ac:dyDescent="0.25">
      <c r="E11198"/>
    </row>
    <row r="11199" spans="5:5" x14ac:dyDescent="0.25">
      <c r="E11199"/>
    </row>
    <row r="11200" spans="5:5" x14ac:dyDescent="0.25">
      <c r="E11200"/>
    </row>
    <row r="11201" spans="5:5" x14ac:dyDescent="0.25">
      <c r="E11201"/>
    </row>
    <row r="11202" spans="5:5" x14ac:dyDescent="0.25">
      <c r="E11202"/>
    </row>
    <row r="11203" spans="5:5" x14ac:dyDescent="0.25">
      <c r="E11203"/>
    </row>
    <row r="11204" spans="5:5" x14ac:dyDescent="0.25">
      <c r="E11204"/>
    </row>
    <row r="11205" spans="5:5" x14ac:dyDescent="0.25">
      <c r="E11205"/>
    </row>
    <row r="11206" spans="5:5" x14ac:dyDescent="0.25">
      <c r="E11206"/>
    </row>
    <row r="11207" spans="5:5" x14ac:dyDescent="0.25">
      <c r="E11207"/>
    </row>
    <row r="11208" spans="5:5" x14ac:dyDescent="0.25">
      <c r="E11208"/>
    </row>
    <row r="11209" spans="5:5" x14ac:dyDescent="0.25">
      <c r="E11209"/>
    </row>
    <row r="11210" spans="5:5" x14ac:dyDescent="0.25">
      <c r="E11210"/>
    </row>
    <row r="11211" spans="5:5" x14ac:dyDescent="0.25">
      <c r="E11211"/>
    </row>
    <row r="11212" spans="5:5" x14ac:dyDescent="0.25">
      <c r="E11212"/>
    </row>
    <row r="11213" spans="5:5" x14ac:dyDescent="0.25">
      <c r="E11213"/>
    </row>
    <row r="11214" spans="5:5" x14ac:dyDescent="0.25">
      <c r="E11214"/>
    </row>
    <row r="11215" spans="5:5" x14ac:dyDescent="0.25">
      <c r="E11215"/>
    </row>
    <row r="11216" spans="5:5" x14ac:dyDescent="0.25">
      <c r="E11216"/>
    </row>
    <row r="11217" spans="5:5" x14ac:dyDescent="0.25">
      <c r="E11217"/>
    </row>
    <row r="11218" spans="5:5" x14ac:dyDescent="0.25">
      <c r="E11218"/>
    </row>
    <row r="11219" spans="5:5" x14ac:dyDescent="0.25">
      <c r="E11219"/>
    </row>
    <row r="11220" spans="5:5" x14ac:dyDescent="0.25">
      <c r="E11220"/>
    </row>
    <row r="11221" spans="5:5" x14ac:dyDescent="0.25">
      <c r="E11221"/>
    </row>
    <row r="11222" spans="5:5" x14ac:dyDescent="0.25">
      <c r="E11222"/>
    </row>
    <row r="11223" spans="5:5" x14ac:dyDescent="0.25">
      <c r="E11223"/>
    </row>
    <row r="11224" spans="5:5" x14ac:dyDescent="0.25">
      <c r="E11224"/>
    </row>
    <row r="11225" spans="5:5" x14ac:dyDescent="0.25">
      <c r="E11225"/>
    </row>
    <row r="11226" spans="5:5" x14ac:dyDescent="0.25">
      <c r="E11226"/>
    </row>
    <row r="11227" spans="5:5" x14ac:dyDescent="0.25">
      <c r="E11227"/>
    </row>
    <row r="11228" spans="5:5" x14ac:dyDescent="0.25">
      <c r="E11228"/>
    </row>
    <row r="11229" spans="5:5" x14ac:dyDescent="0.25">
      <c r="E11229"/>
    </row>
    <row r="11230" spans="5:5" x14ac:dyDescent="0.25">
      <c r="E11230"/>
    </row>
    <row r="11231" spans="5:5" x14ac:dyDescent="0.25">
      <c r="E11231"/>
    </row>
    <row r="11232" spans="5:5" x14ac:dyDescent="0.25">
      <c r="E11232"/>
    </row>
    <row r="11233" spans="5:5" x14ac:dyDescent="0.25">
      <c r="E11233"/>
    </row>
    <row r="11234" spans="5:5" x14ac:dyDescent="0.25">
      <c r="E11234"/>
    </row>
    <row r="11235" spans="5:5" x14ac:dyDescent="0.25">
      <c r="E11235"/>
    </row>
    <row r="11236" spans="5:5" x14ac:dyDescent="0.25">
      <c r="E11236"/>
    </row>
    <row r="11237" spans="5:5" x14ac:dyDescent="0.25">
      <c r="E11237"/>
    </row>
    <row r="11238" spans="5:5" x14ac:dyDescent="0.25">
      <c r="E11238"/>
    </row>
    <row r="11239" spans="5:5" x14ac:dyDescent="0.25">
      <c r="E11239"/>
    </row>
    <row r="11240" spans="5:5" x14ac:dyDescent="0.25">
      <c r="E11240"/>
    </row>
    <row r="11241" spans="5:5" x14ac:dyDescent="0.25">
      <c r="E11241"/>
    </row>
    <row r="11242" spans="5:5" x14ac:dyDescent="0.25">
      <c r="E11242"/>
    </row>
    <row r="11243" spans="5:5" x14ac:dyDescent="0.25">
      <c r="E11243"/>
    </row>
    <row r="11244" spans="5:5" x14ac:dyDescent="0.25">
      <c r="E11244"/>
    </row>
    <row r="11245" spans="5:5" x14ac:dyDescent="0.25">
      <c r="E11245"/>
    </row>
    <row r="11246" spans="5:5" x14ac:dyDescent="0.25">
      <c r="E11246"/>
    </row>
    <row r="11247" spans="5:5" x14ac:dyDescent="0.25">
      <c r="E11247"/>
    </row>
    <row r="11248" spans="5:5" x14ac:dyDescent="0.25">
      <c r="E11248"/>
    </row>
    <row r="11249" spans="5:5" x14ac:dyDescent="0.25">
      <c r="E11249"/>
    </row>
    <row r="11250" spans="5:5" x14ac:dyDescent="0.25">
      <c r="E11250"/>
    </row>
    <row r="11251" spans="5:5" x14ac:dyDescent="0.25">
      <c r="E11251"/>
    </row>
    <row r="11252" spans="5:5" x14ac:dyDescent="0.25">
      <c r="E11252"/>
    </row>
    <row r="11253" spans="5:5" x14ac:dyDescent="0.25">
      <c r="E11253"/>
    </row>
    <row r="11254" spans="5:5" x14ac:dyDescent="0.25">
      <c r="E11254"/>
    </row>
    <row r="11255" spans="5:5" x14ac:dyDescent="0.25">
      <c r="E11255"/>
    </row>
    <row r="11256" spans="5:5" x14ac:dyDescent="0.25">
      <c r="E11256"/>
    </row>
    <row r="11257" spans="5:5" x14ac:dyDescent="0.25">
      <c r="E11257"/>
    </row>
    <row r="11258" spans="5:5" x14ac:dyDescent="0.25">
      <c r="E11258"/>
    </row>
    <row r="11259" spans="5:5" x14ac:dyDescent="0.25">
      <c r="E11259"/>
    </row>
    <row r="11260" spans="5:5" x14ac:dyDescent="0.25">
      <c r="E11260"/>
    </row>
    <row r="11261" spans="5:5" x14ac:dyDescent="0.25">
      <c r="E11261"/>
    </row>
    <row r="11262" spans="5:5" x14ac:dyDescent="0.25">
      <c r="E11262"/>
    </row>
    <row r="11263" spans="5:5" x14ac:dyDescent="0.25">
      <c r="E11263"/>
    </row>
    <row r="11264" spans="5:5" x14ac:dyDescent="0.25">
      <c r="E11264"/>
    </row>
    <row r="11265" spans="5:5" x14ac:dyDescent="0.25">
      <c r="E11265"/>
    </row>
    <row r="11266" spans="5:5" x14ac:dyDescent="0.25">
      <c r="E11266"/>
    </row>
    <row r="11267" spans="5:5" x14ac:dyDescent="0.25">
      <c r="E11267"/>
    </row>
    <row r="11268" spans="5:5" x14ac:dyDescent="0.25">
      <c r="E11268"/>
    </row>
    <row r="11269" spans="5:5" x14ac:dyDescent="0.25">
      <c r="E11269"/>
    </row>
    <row r="11270" spans="5:5" x14ac:dyDescent="0.25">
      <c r="E11270"/>
    </row>
    <row r="11271" spans="5:5" x14ac:dyDescent="0.25">
      <c r="E11271"/>
    </row>
    <row r="11272" spans="5:5" x14ac:dyDescent="0.25">
      <c r="E11272"/>
    </row>
    <row r="11273" spans="5:5" x14ac:dyDescent="0.25">
      <c r="E11273"/>
    </row>
    <row r="11274" spans="5:5" x14ac:dyDescent="0.25">
      <c r="E11274"/>
    </row>
    <row r="11275" spans="5:5" x14ac:dyDescent="0.25">
      <c r="E11275"/>
    </row>
    <row r="11276" spans="5:5" x14ac:dyDescent="0.25">
      <c r="E11276"/>
    </row>
    <row r="11277" spans="5:5" x14ac:dyDescent="0.25">
      <c r="E11277"/>
    </row>
    <row r="11278" spans="5:5" x14ac:dyDescent="0.25">
      <c r="E11278"/>
    </row>
    <row r="11279" spans="5:5" x14ac:dyDescent="0.25">
      <c r="E11279"/>
    </row>
    <row r="11280" spans="5:5" x14ac:dyDescent="0.25">
      <c r="E11280"/>
    </row>
    <row r="11281" spans="5:5" x14ac:dyDescent="0.25">
      <c r="E11281"/>
    </row>
    <row r="11282" spans="5:5" x14ac:dyDescent="0.25">
      <c r="E11282"/>
    </row>
    <row r="11283" spans="5:5" x14ac:dyDescent="0.25">
      <c r="E11283"/>
    </row>
    <row r="11284" spans="5:5" x14ac:dyDescent="0.25">
      <c r="E11284"/>
    </row>
    <row r="11285" spans="5:5" x14ac:dyDescent="0.25">
      <c r="E11285"/>
    </row>
    <row r="11286" spans="5:5" x14ac:dyDescent="0.25">
      <c r="E11286"/>
    </row>
    <row r="11287" spans="5:5" x14ac:dyDescent="0.25">
      <c r="E11287"/>
    </row>
    <row r="11288" spans="5:5" x14ac:dyDescent="0.25">
      <c r="E11288"/>
    </row>
    <row r="11289" spans="5:5" x14ac:dyDescent="0.25">
      <c r="E11289"/>
    </row>
    <row r="11290" spans="5:5" x14ac:dyDescent="0.25">
      <c r="E11290"/>
    </row>
    <row r="11291" spans="5:5" x14ac:dyDescent="0.25">
      <c r="E11291"/>
    </row>
    <row r="11292" spans="5:5" x14ac:dyDescent="0.25">
      <c r="E11292"/>
    </row>
    <row r="11293" spans="5:5" x14ac:dyDescent="0.25">
      <c r="E11293"/>
    </row>
    <row r="11294" spans="5:5" x14ac:dyDescent="0.25">
      <c r="E11294"/>
    </row>
    <row r="11295" spans="5:5" x14ac:dyDescent="0.25">
      <c r="E11295"/>
    </row>
    <row r="11296" spans="5:5" x14ac:dyDescent="0.25">
      <c r="E11296"/>
    </row>
    <row r="11297" spans="5:5" x14ac:dyDescent="0.25">
      <c r="E11297"/>
    </row>
    <row r="11298" spans="5:5" x14ac:dyDescent="0.25">
      <c r="E11298"/>
    </row>
    <row r="11299" spans="5:5" x14ac:dyDescent="0.25">
      <c r="E11299"/>
    </row>
    <row r="11300" spans="5:5" x14ac:dyDescent="0.25">
      <c r="E11300"/>
    </row>
    <row r="11301" spans="5:5" x14ac:dyDescent="0.25">
      <c r="E11301"/>
    </row>
    <row r="11302" spans="5:5" x14ac:dyDescent="0.25">
      <c r="E11302"/>
    </row>
    <row r="11303" spans="5:5" x14ac:dyDescent="0.25">
      <c r="E11303"/>
    </row>
    <row r="11304" spans="5:5" x14ac:dyDescent="0.25">
      <c r="E11304"/>
    </row>
    <row r="11305" spans="5:5" x14ac:dyDescent="0.25">
      <c r="E11305"/>
    </row>
    <row r="11306" spans="5:5" x14ac:dyDescent="0.25">
      <c r="E11306"/>
    </row>
    <row r="11307" spans="5:5" x14ac:dyDescent="0.25">
      <c r="E11307"/>
    </row>
    <row r="11308" spans="5:5" x14ac:dyDescent="0.25">
      <c r="E11308"/>
    </row>
    <row r="11309" spans="5:5" x14ac:dyDescent="0.25">
      <c r="E11309"/>
    </row>
    <row r="11310" spans="5:5" x14ac:dyDescent="0.25">
      <c r="E11310"/>
    </row>
    <row r="11311" spans="5:5" x14ac:dyDescent="0.25">
      <c r="E11311"/>
    </row>
    <row r="11312" spans="5:5" x14ac:dyDescent="0.25">
      <c r="E11312"/>
    </row>
    <row r="11313" spans="5:5" x14ac:dyDescent="0.25">
      <c r="E11313"/>
    </row>
    <row r="11314" spans="5:5" x14ac:dyDescent="0.25">
      <c r="E11314"/>
    </row>
    <row r="11315" spans="5:5" x14ac:dyDescent="0.25">
      <c r="E11315"/>
    </row>
    <row r="11316" spans="5:5" x14ac:dyDescent="0.25">
      <c r="E11316"/>
    </row>
    <row r="11317" spans="5:5" x14ac:dyDescent="0.25">
      <c r="E11317"/>
    </row>
    <row r="11318" spans="5:5" x14ac:dyDescent="0.25">
      <c r="E11318"/>
    </row>
    <row r="11319" spans="5:5" x14ac:dyDescent="0.25">
      <c r="E11319"/>
    </row>
    <row r="11320" spans="5:5" x14ac:dyDescent="0.25">
      <c r="E11320"/>
    </row>
    <row r="11321" spans="5:5" x14ac:dyDescent="0.25">
      <c r="E11321"/>
    </row>
    <row r="11322" spans="5:5" x14ac:dyDescent="0.25">
      <c r="E11322"/>
    </row>
    <row r="11323" spans="5:5" x14ac:dyDescent="0.25">
      <c r="E11323"/>
    </row>
    <row r="11324" spans="5:5" x14ac:dyDescent="0.25">
      <c r="E11324"/>
    </row>
    <row r="11325" spans="5:5" x14ac:dyDescent="0.25">
      <c r="E11325"/>
    </row>
    <row r="11326" spans="5:5" x14ac:dyDescent="0.25">
      <c r="E11326"/>
    </row>
    <row r="11327" spans="5:5" x14ac:dyDescent="0.25">
      <c r="E11327"/>
    </row>
    <row r="11328" spans="5:5" x14ac:dyDescent="0.25">
      <c r="E11328"/>
    </row>
    <row r="11329" spans="5:5" x14ac:dyDescent="0.25">
      <c r="E11329"/>
    </row>
    <row r="11330" spans="5:5" x14ac:dyDescent="0.25">
      <c r="E11330"/>
    </row>
    <row r="11331" spans="5:5" x14ac:dyDescent="0.25">
      <c r="E11331"/>
    </row>
    <row r="11332" spans="5:5" x14ac:dyDescent="0.25">
      <c r="E11332"/>
    </row>
    <row r="11333" spans="5:5" x14ac:dyDescent="0.25">
      <c r="E11333"/>
    </row>
    <row r="11334" spans="5:5" x14ac:dyDescent="0.25">
      <c r="E11334"/>
    </row>
    <row r="11335" spans="5:5" x14ac:dyDescent="0.25">
      <c r="E11335"/>
    </row>
    <row r="11336" spans="5:5" x14ac:dyDescent="0.25">
      <c r="E11336"/>
    </row>
    <row r="11337" spans="5:5" x14ac:dyDescent="0.25">
      <c r="E11337"/>
    </row>
    <row r="11338" spans="5:5" x14ac:dyDescent="0.25">
      <c r="E11338"/>
    </row>
    <row r="11339" spans="5:5" x14ac:dyDescent="0.25">
      <c r="E11339"/>
    </row>
    <row r="11340" spans="5:5" x14ac:dyDescent="0.25">
      <c r="E11340"/>
    </row>
    <row r="11341" spans="5:5" x14ac:dyDescent="0.25">
      <c r="E11341"/>
    </row>
    <row r="11342" spans="5:5" x14ac:dyDescent="0.25">
      <c r="E11342"/>
    </row>
    <row r="11343" spans="5:5" x14ac:dyDescent="0.25">
      <c r="E11343"/>
    </row>
    <row r="11344" spans="5:5" x14ac:dyDescent="0.25">
      <c r="E11344"/>
    </row>
    <row r="11345" spans="5:5" x14ac:dyDescent="0.25">
      <c r="E11345"/>
    </row>
    <row r="11346" spans="5:5" x14ac:dyDescent="0.25">
      <c r="E11346"/>
    </row>
    <row r="11347" spans="5:5" x14ac:dyDescent="0.25">
      <c r="E11347"/>
    </row>
    <row r="11348" spans="5:5" x14ac:dyDescent="0.25">
      <c r="E11348"/>
    </row>
    <row r="11349" spans="5:5" x14ac:dyDescent="0.25">
      <c r="E11349"/>
    </row>
    <row r="11350" spans="5:5" x14ac:dyDescent="0.25">
      <c r="E11350"/>
    </row>
    <row r="11351" spans="5:5" x14ac:dyDescent="0.25">
      <c r="E11351"/>
    </row>
    <row r="11352" spans="5:5" x14ac:dyDescent="0.25">
      <c r="E11352"/>
    </row>
    <row r="11353" spans="5:5" x14ac:dyDescent="0.25">
      <c r="E11353"/>
    </row>
    <row r="11354" spans="5:5" x14ac:dyDescent="0.25">
      <c r="E11354"/>
    </row>
    <row r="11355" spans="5:5" x14ac:dyDescent="0.25">
      <c r="E11355"/>
    </row>
    <row r="11356" spans="5:5" x14ac:dyDescent="0.25">
      <c r="E11356"/>
    </row>
    <row r="11357" spans="5:5" x14ac:dyDescent="0.25">
      <c r="E11357"/>
    </row>
    <row r="11358" spans="5:5" x14ac:dyDescent="0.25">
      <c r="E11358"/>
    </row>
    <row r="11359" spans="5:5" x14ac:dyDescent="0.25">
      <c r="E11359"/>
    </row>
    <row r="11360" spans="5:5" x14ac:dyDescent="0.25">
      <c r="E11360"/>
    </row>
    <row r="11361" spans="5:5" x14ac:dyDescent="0.25">
      <c r="E11361"/>
    </row>
    <row r="11362" spans="5:5" x14ac:dyDescent="0.25">
      <c r="E11362"/>
    </row>
    <row r="11363" spans="5:5" x14ac:dyDescent="0.25">
      <c r="E11363"/>
    </row>
    <row r="11364" spans="5:5" x14ac:dyDescent="0.25">
      <c r="E11364"/>
    </row>
    <row r="11365" spans="5:5" x14ac:dyDescent="0.25">
      <c r="E11365"/>
    </row>
    <row r="11366" spans="5:5" x14ac:dyDescent="0.25">
      <c r="E11366"/>
    </row>
    <row r="11367" spans="5:5" x14ac:dyDescent="0.25">
      <c r="E11367"/>
    </row>
    <row r="11368" spans="5:5" x14ac:dyDescent="0.25">
      <c r="E11368"/>
    </row>
    <row r="11369" spans="5:5" x14ac:dyDescent="0.25">
      <c r="E11369"/>
    </row>
    <row r="11370" spans="5:5" x14ac:dyDescent="0.25">
      <c r="E11370"/>
    </row>
    <row r="11371" spans="5:5" x14ac:dyDescent="0.25">
      <c r="E11371"/>
    </row>
    <row r="11372" spans="5:5" x14ac:dyDescent="0.25">
      <c r="E11372"/>
    </row>
    <row r="11373" spans="5:5" x14ac:dyDescent="0.25">
      <c r="E11373"/>
    </row>
    <row r="11374" spans="5:5" x14ac:dyDescent="0.25">
      <c r="E11374"/>
    </row>
    <row r="11375" spans="5:5" x14ac:dyDescent="0.25">
      <c r="E11375"/>
    </row>
    <row r="11376" spans="5:5" x14ac:dyDescent="0.25">
      <c r="E11376"/>
    </row>
    <row r="11377" spans="5:5" x14ac:dyDescent="0.25">
      <c r="E11377"/>
    </row>
    <row r="11378" spans="5:5" x14ac:dyDescent="0.25">
      <c r="E11378"/>
    </row>
    <row r="11379" spans="5:5" x14ac:dyDescent="0.25">
      <c r="E11379"/>
    </row>
    <row r="11380" spans="5:5" x14ac:dyDescent="0.25">
      <c r="E11380"/>
    </row>
    <row r="11381" spans="5:5" x14ac:dyDescent="0.25">
      <c r="E11381"/>
    </row>
    <row r="11382" spans="5:5" x14ac:dyDescent="0.25">
      <c r="E11382"/>
    </row>
    <row r="11383" spans="5:5" x14ac:dyDescent="0.25">
      <c r="E11383"/>
    </row>
    <row r="11384" spans="5:5" x14ac:dyDescent="0.25">
      <c r="E11384"/>
    </row>
    <row r="11385" spans="5:5" x14ac:dyDescent="0.25">
      <c r="E11385"/>
    </row>
    <row r="11386" spans="5:5" x14ac:dyDescent="0.25">
      <c r="E11386"/>
    </row>
    <row r="11387" spans="5:5" x14ac:dyDescent="0.25">
      <c r="E11387"/>
    </row>
    <row r="11388" spans="5:5" x14ac:dyDescent="0.25">
      <c r="E11388"/>
    </row>
    <row r="11389" spans="5:5" x14ac:dyDescent="0.25">
      <c r="E11389"/>
    </row>
    <row r="11390" spans="5:5" x14ac:dyDescent="0.25">
      <c r="E11390"/>
    </row>
    <row r="11391" spans="5:5" x14ac:dyDescent="0.25">
      <c r="E11391"/>
    </row>
    <row r="11392" spans="5:5" x14ac:dyDescent="0.25">
      <c r="E11392"/>
    </row>
    <row r="11393" spans="5:5" x14ac:dyDescent="0.25">
      <c r="E11393"/>
    </row>
    <row r="11394" spans="5:5" x14ac:dyDescent="0.25">
      <c r="E11394"/>
    </row>
    <row r="11395" spans="5:5" x14ac:dyDescent="0.25">
      <c r="E11395"/>
    </row>
    <row r="11396" spans="5:5" x14ac:dyDescent="0.25">
      <c r="E11396"/>
    </row>
    <row r="11397" spans="5:5" x14ac:dyDescent="0.25">
      <c r="E11397"/>
    </row>
    <row r="11398" spans="5:5" x14ac:dyDescent="0.25">
      <c r="E11398"/>
    </row>
    <row r="11399" spans="5:5" x14ac:dyDescent="0.25">
      <c r="E11399"/>
    </row>
    <row r="11400" spans="5:5" x14ac:dyDescent="0.25">
      <c r="E11400"/>
    </row>
    <row r="11401" spans="5:5" x14ac:dyDescent="0.25">
      <c r="E11401"/>
    </row>
    <row r="11402" spans="5:5" x14ac:dyDescent="0.25">
      <c r="E11402"/>
    </row>
    <row r="11403" spans="5:5" x14ac:dyDescent="0.25">
      <c r="E11403"/>
    </row>
    <row r="11404" spans="5:5" x14ac:dyDescent="0.25">
      <c r="E11404"/>
    </row>
    <row r="11405" spans="5:5" x14ac:dyDescent="0.25">
      <c r="E11405"/>
    </row>
    <row r="11406" spans="5:5" x14ac:dyDescent="0.25">
      <c r="E11406"/>
    </row>
    <row r="11407" spans="5:5" x14ac:dyDescent="0.25">
      <c r="E11407"/>
    </row>
    <row r="11408" spans="5:5" x14ac:dyDescent="0.25">
      <c r="E11408"/>
    </row>
    <row r="11409" spans="5:5" x14ac:dyDescent="0.25">
      <c r="E11409"/>
    </row>
    <row r="11410" spans="5:5" x14ac:dyDescent="0.25">
      <c r="E11410"/>
    </row>
    <row r="11411" spans="5:5" x14ac:dyDescent="0.25">
      <c r="E11411"/>
    </row>
    <row r="11412" spans="5:5" x14ac:dyDescent="0.25">
      <c r="E11412"/>
    </row>
    <row r="11413" spans="5:5" x14ac:dyDescent="0.25">
      <c r="E11413"/>
    </row>
    <row r="11414" spans="5:5" x14ac:dyDescent="0.25">
      <c r="E11414"/>
    </row>
    <row r="11415" spans="5:5" x14ac:dyDescent="0.25">
      <c r="E11415"/>
    </row>
    <row r="11416" spans="5:5" x14ac:dyDescent="0.25">
      <c r="E11416"/>
    </row>
    <row r="11417" spans="5:5" x14ac:dyDescent="0.25">
      <c r="E11417"/>
    </row>
    <row r="11418" spans="5:5" x14ac:dyDescent="0.25">
      <c r="E11418"/>
    </row>
    <row r="11419" spans="5:5" x14ac:dyDescent="0.25">
      <c r="E11419"/>
    </row>
    <row r="11420" spans="5:5" x14ac:dyDescent="0.25">
      <c r="E11420"/>
    </row>
    <row r="11421" spans="5:5" x14ac:dyDescent="0.25">
      <c r="E11421"/>
    </row>
    <row r="11422" spans="5:5" x14ac:dyDescent="0.25">
      <c r="E11422"/>
    </row>
    <row r="11423" spans="5:5" x14ac:dyDescent="0.25">
      <c r="E11423"/>
    </row>
    <row r="11424" spans="5:5" x14ac:dyDescent="0.25">
      <c r="E11424"/>
    </row>
    <row r="11425" spans="5:5" x14ac:dyDescent="0.25">
      <c r="E11425"/>
    </row>
    <row r="11426" spans="5:5" x14ac:dyDescent="0.25">
      <c r="E11426"/>
    </row>
    <row r="11427" spans="5:5" x14ac:dyDescent="0.25">
      <c r="E11427"/>
    </row>
    <row r="11428" spans="5:5" x14ac:dyDescent="0.25">
      <c r="E11428"/>
    </row>
    <row r="11429" spans="5:5" x14ac:dyDescent="0.25">
      <c r="E11429"/>
    </row>
    <row r="11430" spans="5:5" x14ac:dyDescent="0.25">
      <c r="E11430"/>
    </row>
    <row r="11431" spans="5:5" x14ac:dyDescent="0.25">
      <c r="E11431"/>
    </row>
    <row r="11432" spans="5:5" x14ac:dyDescent="0.25">
      <c r="E11432"/>
    </row>
    <row r="11433" spans="5:5" x14ac:dyDescent="0.25">
      <c r="E11433"/>
    </row>
    <row r="11434" spans="5:5" x14ac:dyDescent="0.25">
      <c r="E11434"/>
    </row>
    <row r="11435" spans="5:5" x14ac:dyDescent="0.25">
      <c r="E11435"/>
    </row>
    <row r="11436" spans="5:5" x14ac:dyDescent="0.25">
      <c r="E11436"/>
    </row>
    <row r="11437" spans="5:5" x14ac:dyDescent="0.25">
      <c r="E11437"/>
    </row>
    <row r="11438" spans="5:5" x14ac:dyDescent="0.25">
      <c r="E11438"/>
    </row>
    <row r="11439" spans="5:5" x14ac:dyDescent="0.25">
      <c r="E11439"/>
    </row>
    <row r="11440" spans="5:5" x14ac:dyDescent="0.25">
      <c r="E11440"/>
    </row>
    <row r="11441" spans="5:5" x14ac:dyDescent="0.25">
      <c r="E11441"/>
    </row>
    <row r="11442" spans="5:5" x14ac:dyDescent="0.25">
      <c r="E11442"/>
    </row>
    <row r="11443" spans="5:5" x14ac:dyDescent="0.25">
      <c r="E11443"/>
    </row>
    <row r="11444" spans="5:5" x14ac:dyDescent="0.25">
      <c r="E11444"/>
    </row>
    <row r="11445" spans="5:5" x14ac:dyDescent="0.25">
      <c r="E11445"/>
    </row>
    <row r="11446" spans="5:5" x14ac:dyDescent="0.25">
      <c r="E11446"/>
    </row>
    <row r="11447" spans="5:5" x14ac:dyDescent="0.25">
      <c r="E11447"/>
    </row>
    <row r="11448" spans="5:5" x14ac:dyDescent="0.25">
      <c r="E11448"/>
    </row>
    <row r="11449" spans="5:5" x14ac:dyDescent="0.25">
      <c r="E11449"/>
    </row>
    <row r="11450" spans="5:5" x14ac:dyDescent="0.25">
      <c r="E11450"/>
    </row>
    <row r="11451" spans="5:5" x14ac:dyDescent="0.25">
      <c r="E11451"/>
    </row>
    <row r="11452" spans="5:5" x14ac:dyDescent="0.25">
      <c r="E11452"/>
    </row>
    <row r="11453" spans="5:5" x14ac:dyDescent="0.25">
      <c r="E11453"/>
    </row>
    <row r="11454" spans="5:5" x14ac:dyDescent="0.25">
      <c r="E11454"/>
    </row>
    <row r="11455" spans="5:5" x14ac:dyDescent="0.25">
      <c r="E11455"/>
    </row>
    <row r="11456" spans="5:5" x14ac:dyDescent="0.25">
      <c r="E11456"/>
    </row>
    <row r="11457" spans="5:5" x14ac:dyDescent="0.25">
      <c r="E11457"/>
    </row>
    <row r="11458" spans="5:5" x14ac:dyDescent="0.25">
      <c r="E11458"/>
    </row>
    <row r="11459" spans="5:5" x14ac:dyDescent="0.25">
      <c r="E11459"/>
    </row>
    <row r="11460" spans="5:5" x14ac:dyDescent="0.25">
      <c r="E11460"/>
    </row>
    <row r="11461" spans="5:5" x14ac:dyDescent="0.25">
      <c r="E11461"/>
    </row>
    <row r="11462" spans="5:5" x14ac:dyDescent="0.25">
      <c r="E11462"/>
    </row>
    <row r="11463" spans="5:5" x14ac:dyDescent="0.25">
      <c r="E11463"/>
    </row>
    <row r="11464" spans="5:5" x14ac:dyDescent="0.25">
      <c r="E11464"/>
    </row>
    <row r="11465" spans="5:5" x14ac:dyDescent="0.25">
      <c r="E11465"/>
    </row>
    <row r="11466" spans="5:5" x14ac:dyDescent="0.25">
      <c r="E11466"/>
    </row>
    <row r="11467" spans="5:5" x14ac:dyDescent="0.25">
      <c r="E11467"/>
    </row>
    <row r="11468" spans="5:5" x14ac:dyDescent="0.25">
      <c r="E11468"/>
    </row>
    <row r="11469" spans="5:5" x14ac:dyDescent="0.25">
      <c r="E11469"/>
    </row>
    <row r="11470" spans="5:5" x14ac:dyDescent="0.25">
      <c r="E11470"/>
    </row>
    <row r="11471" spans="5:5" x14ac:dyDescent="0.25">
      <c r="E11471"/>
    </row>
    <row r="11472" spans="5:5" x14ac:dyDescent="0.25">
      <c r="E11472"/>
    </row>
    <row r="11473" spans="5:5" x14ac:dyDescent="0.25">
      <c r="E11473"/>
    </row>
    <row r="11474" spans="5:5" x14ac:dyDescent="0.25">
      <c r="E11474"/>
    </row>
    <row r="11475" spans="5:5" x14ac:dyDescent="0.25">
      <c r="E11475"/>
    </row>
    <row r="11476" spans="5:5" x14ac:dyDescent="0.25">
      <c r="E11476"/>
    </row>
    <row r="11477" spans="5:5" x14ac:dyDescent="0.25">
      <c r="E11477"/>
    </row>
    <row r="11478" spans="5:5" x14ac:dyDescent="0.25">
      <c r="E11478"/>
    </row>
    <row r="11479" spans="5:5" x14ac:dyDescent="0.25">
      <c r="E11479"/>
    </row>
    <row r="11480" spans="5:5" x14ac:dyDescent="0.25">
      <c r="E11480"/>
    </row>
    <row r="11481" spans="5:5" x14ac:dyDescent="0.25">
      <c r="E11481"/>
    </row>
    <row r="11482" spans="5:5" x14ac:dyDescent="0.25">
      <c r="E11482"/>
    </row>
    <row r="11483" spans="5:5" x14ac:dyDescent="0.25">
      <c r="E11483"/>
    </row>
    <row r="11484" spans="5:5" x14ac:dyDescent="0.25">
      <c r="E11484"/>
    </row>
    <row r="11485" spans="5:5" x14ac:dyDescent="0.25">
      <c r="E11485"/>
    </row>
    <row r="11486" spans="5:5" x14ac:dyDescent="0.25">
      <c r="E11486"/>
    </row>
    <row r="11487" spans="5:5" x14ac:dyDescent="0.25">
      <c r="E11487"/>
    </row>
    <row r="11488" spans="5:5" x14ac:dyDescent="0.25">
      <c r="E11488"/>
    </row>
    <row r="11489" spans="5:5" x14ac:dyDescent="0.25">
      <c r="E11489"/>
    </row>
    <row r="11490" spans="5:5" x14ac:dyDescent="0.25">
      <c r="E11490"/>
    </row>
    <row r="11491" spans="5:5" x14ac:dyDescent="0.25">
      <c r="E11491"/>
    </row>
    <row r="11492" spans="5:5" x14ac:dyDescent="0.25">
      <c r="E11492"/>
    </row>
    <row r="11493" spans="5:5" x14ac:dyDescent="0.25">
      <c r="E11493"/>
    </row>
    <row r="11494" spans="5:5" x14ac:dyDescent="0.25">
      <c r="E11494"/>
    </row>
    <row r="11495" spans="5:5" x14ac:dyDescent="0.25">
      <c r="E11495"/>
    </row>
    <row r="11496" spans="5:5" x14ac:dyDescent="0.25">
      <c r="E11496"/>
    </row>
    <row r="11497" spans="5:5" x14ac:dyDescent="0.25">
      <c r="E11497"/>
    </row>
    <row r="11498" spans="5:5" x14ac:dyDescent="0.25">
      <c r="E11498"/>
    </row>
    <row r="11499" spans="5:5" x14ac:dyDescent="0.25">
      <c r="E11499"/>
    </row>
    <row r="11500" spans="5:5" x14ac:dyDescent="0.25">
      <c r="E11500"/>
    </row>
    <row r="11501" spans="5:5" x14ac:dyDescent="0.25">
      <c r="E11501"/>
    </row>
    <row r="11502" spans="5:5" x14ac:dyDescent="0.25">
      <c r="E11502"/>
    </row>
    <row r="11503" spans="5:5" x14ac:dyDescent="0.25">
      <c r="E11503"/>
    </row>
    <row r="11504" spans="5:5" x14ac:dyDescent="0.25">
      <c r="E11504"/>
    </row>
    <row r="11505" spans="5:5" x14ac:dyDescent="0.25">
      <c r="E11505"/>
    </row>
    <row r="11506" spans="5:5" x14ac:dyDescent="0.25">
      <c r="E11506"/>
    </row>
    <row r="11507" spans="5:5" x14ac:dyDescent="0.25">
      <c r="E11507"/>
    </row>
    <row r="11508" spans="5:5" x14ac:dyDescent="0.25">
      <c r="E11508"/>
    </row>
    <row r="11509" spans="5:5" x14ac:dyDescent="0.25">
      <c r="E11509"/>
    </row>
    <row r="11510" spans="5:5" x14ac:dyDescent="0.25">
      <c r="E11510"/>
    </row>
    <row r="11511" spans="5:5" x14ac:dyDescent="0.25">
      <c r="E11511"/>
    </row>
    <row r="11512" spans="5:5" x14ac:dyDescent="0.25">
      <c r="E11512"/>
    </row>
    <row r="11513" spans="5:5" x14ac:dyDescent="0.25">
      <c r="E11513"/>
    </row>
    <row r="11514" spans="5:5" x14ac:dyDescent="0.25">
      <c r="E11514"/>
    </row>
    <row r="11515" spans="5:5" x14ac:dyDescent="0.25">
      <c r="E11515"/>
    </row>
    <row r="11516" spans="5:5" x14ac:dyDescent="0.25">
      <c r="E11516"/>
    </row>
    <row r="11517" spans="5:5" x14ac:dyDescent="0.25">
      <c r="E11517"/>
    </row>
    <row r="11518" spans="5:5" x14ac:dyDescent="0.25">
      <c r="E11518"/>
    </row>
    <row r="11519" spans="5:5" x14ac:dyDescent="0.25">
      <c r="E11519"/>
    </row>
    <row r="11520" spans="5:5" x14ac:dyDescent="0.25">
      <c r="E11520"/>
    </row>
    <row r="11521" spans="5:5" x14ac:dyDescent="0.25">
      <c r="E11521"/>
    </row>
    <row r="11522" spans="5:5" x14ac:dyDescent="0.25">
      <c r="E11522"/>
    </row>
    <row r="11523" spans="5:5" x14ac:dyDescent="0.25">
      <c r="E11523"/>
    </row>
    <row r="11524" spans="5:5" x14ac:dyDescent="0.25">
      <c r="E11524"/>
    </row>
    <row r="11525" spans="5:5" x14ac:dyDescent="0.25">
      <c r="E11525"/>
    </row>
    <row r="11526" spans="5:5" x14ac:dyDescent="0.25">
      <c r="E11526"/>
    </row>
    <row r="11527" spans="5:5" x14ac:dyDescent="0.25">
      <c r="E11527"/>
    </row>
    <row r="11528" spans="5:5" x14ac:dyDescent="0.25">
      <c r="E11528"/>
    </row>
    <row r="11529" spans="5:5" x14ac:dyDescent="0.25">
      <c r="E11529"/>
    </row>
    <row r="11530" spans="5:5" x14ac:dyDescent="0.25">
      <c r="E11530"/>
    </row>
    <row r="11531" spans="5:5" x14ac:dyDescent="0.25">
      <c r="E11531"/>
    </row>
    <row r="11532" spans="5:5" x14ac:dyDescent="0.25">
      <c r="E11532"/>
    </row>
    <row r="11533" spans="5:5" x14ac:dyDescent="0.25">
      <c r="E11533"/>
    </row>
    <row r="11534" spans="5:5" x14ac:dyDescent="0.25">
      <c r="E11534"/>
    </row>
    <row r="11535" spans="5:5" x14ac:dyDescent="0.25">
      <c r="E11535"/>
    </row>
    <row r="11536" spans="5:5" x14ac:dyDescent="0.25">
      <c r="E11536"/>
    </row>
    <row r="11537" spans="5:5" x14ac:dyDescent="0.25">
      <c r="E11537"/>
    </row>
    <row r="11538" spans="5:5" x14ac:dyDescent="0.25">
      <c r="E11538"/>
    </row>
    <row r="11539" spans="5:5" x14ac:dyDescent="0.25">
      <c r="E11539"/>
    </row>
    <row r="11540" spans="5:5" x14ac:dyDescent="0.25">
      <c r="E11540"/>
    </row>
    <row r="11541" spans="5:5" x14ac:dyDescent="0.25">
      <c r="E11541"/>
    </row>
    <row r="11542" spans="5:5" x14ac:dyDescent="0.25">
      <c r="E11542"/>
    </row>
    <row r="11543" spans="5:5" x14ac:dyDescent="0.25">
      <c r="E11543"/>
    </row>
    <row r="11544" spans="5:5" x14ac:dyDescent="0.25">
      <c r="E11544"/>
    </row>
    <row r="11545" spans="5:5" x14ac:dyDescent="0.25">
      <c r="E11545"/>
    </row>
    <row r="11546" spans="5:5" x14ac:dyDescent="0.25">
      <c r="E11546"/>
    </row>
    <row r="11547" spans="5:5" x14ac:dyDescent="0.25">
      <c r="E11547"/>
    </row>
    <row r="11548" spans="5:5" x14ac:dyDescent="0.25">
      <c r="E11548"/>
    </row>
    <row r="11549" spans="5:5" x14ac:dyDescent="0.25">
      <c r="E11549"/>
    </row>
    <row r="11550" spans="5:5" x14ac:dyDescent="0.25">
      <c r="E11550"/>
    </row>
    <row r="11551" spans="5:5" x14ac:dyDescent="0.25">
      <c r="E11551"/>
    </row>
    <row r="11552" spans="5:5" x14ac:dyDescent="0.25">
      <c r="E11552"/>
    </row>
    <row r="11553" spans="5:5" x14ac:dyDescent="0.25">
      <c r="E11553"/>
    </row>
    <row r="11554" spans="5:5" x14ac:dyDescent="0.25">
      <c r="E11554"/>
    </row>
    <row r="11555" spans="5:5" x14ac:dyDescent="0.25">
      <c r="E11555"/>
    </row>
    <row r="11556" spans="5:5" x14ac:dyDescent="0.25">
      <c r="E11556"/>
    </row>
    <row r="11557" spans="5:5" x14ac:dyDescent="0.25">
      <c r="E11557"/>
    </row>
    <row r="11558" spans="5:5" x14ac:dyDescent="0.25">
      <c r="E11558"/>
    </row>
    <row r="11559" spans="5:5" x14ac:dyDescent="0.25">
      <c r="E11559"/>
    </row>
    <row r="11560" spans="5:5" x14ac:dyDescent="0.25">
      <c r="E11560"/>
    </row>
    <row r="11561" spans="5:5" x14ac:dyDescent="0.25">
      <c r="E11561"/>
    </row>
    <row r="11562" spans="5:5" x14ac:dyDescent="0.25">
      <c r="E11562"/>
    </row>
    <row r="11563" spans="5:5" x14ac:dyDescent="0.25">
      <c r="E11563"/>
    </row>
    <row r="11564" spans="5:5" x14ac:dyDescent="0.25">
      <c r="E11564"/>
    </row>
    <row r="11565" spans="5:5" x14ac:dyDescent="0.25">
      <c r="E11565"/>
    </row>
    <row r="11566" spans="5:5" x14ac:dyDescent="0.25">
      <c r="E11566"/>
    </row>
    <row r="11567" spans="5:5" x14ac:dyDescent="0.25">
      <c r="E11567"/>
    </row>
    <row r="11568" spans="5:5" x14ac:dyDescent="0.25">
      <c r="E11568"/>
    </row>
    <row r="11569" spans="5:5" x14ac:dyDescent="0.25">
      <c r="E11569"/>
    </row>
    <row r="11570" spans="5:5" x14ac:dyDescent="0.25">
      <c r="E11570"/>
    </row>
    <row r="11571" spans="5:5" x14ac:dyDescent="0.25">
      <c r="E11571"/>
    </row>
    <row r="11572" spans="5:5" x14ac:dyDescent="0.25">
      <c r="E11572"/>
    </row>
    <row r="11573" spans="5:5" x14ac:dyDescent="0.25">
      <c r="E11573"/>
    </row>
    <row r="11574" spans="5:5" x14ac:dyDescent="0.25">
      <c r="E11574"/>
    </row>
    <row r="11575" spans="5:5" x14ac:dyDescent="0.25">
      <c r="E11575"/>
    </row>
    <row r="11576" spans="5:5" x14ac:dyDescent="0.25">
      <c r="E11576"/>
    </row>
    <row r="11577" spans="5:5" x14ac:dyDescent="0.25">
      <c r="E11577"/>
    </row>
    <row r="11578" spans="5:5" x14ac:dyDescent="0.25">
      <c r="E11578"/>
    </row>
    <row r="11579" spans="5:5" x14ac:dyDescent="0.25">
      <c r="E11579"/>
    </row>
    <row r="11580" spans="5:5" x14ac:dyDescent="0.25">
      <c r="E11580"/>
    </row>
    <row r="11581" spans="5:5" x14ac:dyDescent="0.25">
      <c r="E11581"/>
    </row>
    <row r="11582" spans="5:5" x14ac:dyDescent="0.25">
      <c r="E11582"/>
    </row>
    <row r="11583" spans="5:5" x14ac:dyDescent="0.25">
      <c r="E11583"/>
    </row>
    <row r="11584" spans="5:5" x14ac:dyDescent="0.25">
      <c r="E11584"/>
    </row>
    <row r="11585" spans="5:5" x14ac:dyDescent="0.25">
      <c r="E11585"/>
    </row>
    <row r="11586" spans="5:5" x14ac:dyDescent="0.25">
      <c r="E11586"/>
    </row>
    <row r="11587" spans="5:5" x14ac:dyDescent="0.25">
      <c r="E11587"/>
    </row>
    <row r="11588" spans="5:5" x14ac:dyDescent="0.25">
      <c r="E11588"/>
    </row>
    <row r="11589" spans="5:5" x14ac:dyDescent="0.25">
      <c r="E11589"/>
    </row>
    <row r="11590" spans="5:5" x14ac:dyDescent="0.25">
      <c r="E11590"/>
    </row>
    <row r="11591" spans="5:5" x14ac:dyDescent="0.25">
      <c r="E11591"/>
    </row>
    <row r="11592" spans="5:5" x14ac:dyDescent="0.25">
      <c r="E11592"/>
    </row>
    <row r="11593" spans="5:5" x14ac:dyDescent="0.25">
      <c r="E11593"/>
    </row>
    <row r="11594" spans="5:5" x14ac:dyDescent="0.25">
      <c r="E11594"/>
    </row>
    <row r="11595" spans="5:5" x14ac:dyDescent="0.25">
      <c r="E11595"/>
    </row>
    <row r="11596" spans="5:5" x14ac:dyDescent="0.25">
      <c r="E11596"/>
    </row>
    <row r="11597" spans="5:5" x14ac:dyDescent="0.25">
      <c r="E11597"/>
    </row>
    <row r="11598" spans="5:5" x14ac:dyDescent="0.25">
      <c r="E11598"/>
    </row>
    <row r="11599" spans="5:5" x14ac:dyDescent="0.25">
      <c r="E11599"/>
    </row>
    <row r="11600" spans="5:5" x14ac:dyDescent="0.25">
      <c r="E11600"/>
    </row>
    <row r="11601" spans="5:5" x14ac:dyDescent="0.25">
      <c r="E11601"/>
    </row>
    <row r="11602" spans="5:5" x14ac:dyDescent="0.25">
      <c r="E11602"/>
    </row>
    <row r="11603" spans="5:5" x14ac:dyDescent="0.25">
      <c r="E11603"/>
    </row>
    <row r="11604" spans="5:5" x14ac:dyDescent="0.25">
      <c r="E11604"/>
    </row>
    <row r="11605" spans="5:5" x14ac:dyDescent="0.25">
      <c r="E11605"/>
    </row>
    <row r="11606" spans="5:5" x14ac:dyDescent="0.25">
      <c r="E11606"/>
    </row>
    <row r="11607" spans="5:5" x14ac:dyDescent="0.25">
      <c r="E11607"/>
    </row>
    <row r="11608" spans="5:5" x14ac:dyDescent="0.25">
      <c r="E11608"/>
    </row>
    <row r="11609" spans="5:5" x14ac:dyDescent="0.25">
      <c r="E11609"/>
    </row>
    <row r="11610" spans="5:5" x14ac:dyDescent="0.25">
      <c r="E11610"/>
    </row>
    <row r="11611" spans="5:5" x14ac:dyDescent="0.25">
      <c r="E11611"/>
    </row>
    <row r="11612" spans="5:5" x14ac:dyDescent="0.25">
      <c r="E11612"/>
    </row>
    <row r="11613" spans="5:5" x14ac:dyDescent="0.25">
      <c r="E11613"/>
    </row>
    <row r="11614" spans="5:5" x14ac:dyDescent="0.25">
      <c r="E11614"/>
    </row>
    <row r="11615" spans="5:5" x14ac:dyDescent="0.25">
      <c r="E11615"/>
    </row>
    <row r="11616" spans="5:5" x14ac:dyDescent="0.25">
      <c r="E11616"/>
    </row>
    <row r="11617" spans="5:5" x14ac:dyDescent="0.25">
      <c r="E11617"/>
    </row>
    <row r="11618" spans="5:5" x14ac:dyDescent="0.25">
      <c r="E11618"/>
    </row>
    <row r="11619" spans="5:5" x14ac:dyDescent="0.25">
      <c r="E11619"/>
    </row>
    <row r="11620" spans="5:5" x14ac:dyDescent="0.25">
      <c r="E11620"/>
    </row>
    <row r="11621" spans="5:5" x14ac:dyDescent="0.25">
      <c r="E11621"/>
    </row>
    <row r="11622" spans="5:5" x14ac:dyDescent="0.25">
      <c r="E11622"/>
    </row>
    <row r="11623" spans="5:5" x14ac:dyDescent="0.25">
      <c r="E11623"/>
    </row>
    <row r="11624" spans="5:5" x14ac:dyDescent="0.25">
      <c r="E11624"/>
    </row>
    <row r="11625" spans="5:5" x14ac:dyDescent="0.25">
      <c r="E11625"/>
    </row>
    <row r="11626" spans="5:5" x14ac:dyDescent="0.25">
      <c r="E11626"/>
    </row>
    <row r="11627" spans="5:5" x14ac:dyDescent="0.25">
      <c r="E11627"/>
    </row>
    <row r="11628" spans="5:5" x14ac:dyDescent="0.25">
      <c r="E11628"/>
    </row>
    <row r="11629" spans="5:5" x14ac:dyDescent="0.25">
      <c r="E11629"/>
    </row>
    <row r="11630" spans="5:5" x14ac:dyDescent="0.25">
      <c r="E11630"/>
    </row>
    <row r="11631" spans="5:5" x14ac:dyDescent="0.25">
      <c r="E11631"/>
    </row>
    <row r="11632" spans="5:5" x14ac:dyDescent="0.25">
      <c r="E11632"/>
    </row>
    <row r="11633" spans="5:5" x14ac:dyDescent="0.25">
      <c r="E11633"/>
    </row>
    <row r="11634" spans="5:5" x14ac:dyDescent="0.25">
      <c r="E11634"/>
    </row>
    <row r="11635" spans="5:5" x14ac:dyDescent="0.25">
      <c r="E11635"/>
    </row>
    <row r="11636" spans="5:5" x14ac:dyDescent="0.25">
      <c r="E11636"/>
    </row>
    <row r="11637" spans="5:5" x14ac:dyDescent="0.25">
      <c r="E11637"/>
    </row>
    <row r="11638" spans="5:5" x14ac:dyDescent="0.25">
      <c r="E11638"/>
    </row>
    <row r="11639" spans="5:5" x14ac:dyDescent="0.25">
      <c r="E11639"/>
    </row>
    <row r="11640" spans="5:5" x14ac:dyDescent="0.25">
      <c r="E11640"/>
    </row>
    <row r="11641" spans="5:5" x14ac:dyDescent="0.25">
      <c r="E11641"/>
    </row>
    <row r="11642" spans="5:5" x14ac:dyDescent="0.25">
      <c r="E11642"/>
    </row>
    <row r="11643" spans="5:5" x14ac:dyDescent="0.25">
      <c r="E11643"/>
    </row>
    <row r="11644" spans="5:5" x14ac:dyDescent="0.25">
      <c r="E11644"/>
    </row>
    <row r="11645" spans="5:5" x14ac:dyDescent="0.25">
      <c r="E11645"/>
    </row>
    <row r="11646" spans="5:5" x14ac:dyDescent="0.25">
      <c r="E11646"/>
    </row>
    <row r="11647" spans="5:5" x14ac:dyDescent="0.25">
      <c r="E11647"/>
    </row>
    <row r="11648" spans="5:5" x14ac:dyDescent="0.25">
      <c r="E11648"/>
    </row>
    <row r="11649" spans="5:5" x14ac:dyDescent="0.25">
      <c r="E11649"/>
    </row>
    <row r="11650" spans="5:5" x14ac:dyDescent="0.25">
      <c r="E11650"/>
    </row>
    <row r="11651" spans="5:5" x14ac:dyDescent="0.25">
      <c r="E11651"/>
    </row>
    <row r="11652" spans="5:5" x14ac:dyDescent="0.25">
      <c r="E11652"/>
    </row>
    <row r="11653" spans="5:5" x14ac:dyDescent="0.25">
      <c r="E11653"/>
    </row>
    <row r="11654" spans="5:5" x14ac:dyDescent="0.25">
      <c r="E11654"/>
    </row>
    <row r="11655" spans="5:5" x14ac:dyDescent="0.25">
      <c r="E11655"/>
    </row>
    <row r="11656" spans="5:5" x14ac:dyDescent="0.25">
      <c r="E11656"/>
    </row>
    <row r="11657" spans="5:5" x14ac:dyDescent="0.25">
      <c r="E11657"/>
    </row>
    <row r="11658" spans="5:5" x14ac:dyDescent="0.25">
      <c r="E11658"/>
    </row>
    <row r="11659" spans="5:5" x14ac:dyDescent="0.25">
      <c r="E11659"/>
    </row>
    <row r="11660" spans="5:5" x14ac:dyDescent="0.25">
      <c r="E11660"/>
    </row>
    <row r="11661" spans="5:5" x14ac:dyDescent="0.25">
      <c r="E11661"/>
    </row>
    <row r="11662" spans="5:5" x14ac:dyDescent="0.25">
      <c r="E11662"/>
    </row>
    <row r="11663" spans="5:5" x14ac:dyDescent="0.25">
      <c r="E11663"/>
    </row>
    <row r="11664" spans="5:5" x14ac:dyDescent="0.25">
      <c r="E11664"/>
    </row>
    <row r="11665" spans="5:5" x14ac:dyDescent="0.25">
      <c r="E11665"/>
    </row>
    <row r="11666" spans="5:5" x14ac:dyDescent="0.25">
      <c r="E11666"/>
    </row>
    <row r="11667" spans="5:5" x14ac:dyDescent="0.25">
      <c r="E11667"/>
    </row>
    <row r="11668" spans="5:5" x14ac:dyDescent="0.25">
      <c r="E11668"/>
    </row>
    <row r="11669" spans="5:5" x14ac:dyDescent="0.25">
      <c r="E11669"/>
    </row>
    <row r="11670" spans="5:5" x14ac:dyDescent="0.25">
      <c r="E11670"/>
    </row>
    <row r="11671" spans="5:5" x14ac:dyDescent="0.25">
      <c r="E11671"/>
    </row>
    <row r="11672" spans="5:5" x14ac:dyDescent="0.25">
      <c r="E11672"/>
    </row>
    <row r="11673" spans="5:5" x14ac:dyDescent="0.25">
      <c r="E11673"/>
    </row>
    <row r="11674" spans="5:5" x14ac:dyDescent="0.25">
      <c r="E11674"/>
    </row>
    <row r="11675" spans="5:5" x14ac:dyDescent="0.25">
      <c r="E11675"/>
    </row>
    <row r="11676" spans="5:5" x14ac:dyDescent="0.25">
      <c r="E11676"/>
    </row>
    <row r="11677" spans="5:5" x14ac:dyDescent="0.25">
      <c r="E11677"/>
    </row>
    <row r="11678" spans="5:5" x14ac:dyDescent="0.25">
      <c r="E11678"/>
    </row>
    <row r="11679" spans="5:5" x14ac:dyDescent="0.25">
      <c r="E11679"/>
    </row>
    <row r="11680" spans="5:5" x14ac:dyDescent="0.25">
      <c r="E11680"/>
    </row>
    <row r="11681" spans="5:5" x14ac:dyDescent="0.25">
      <c r="E11681"/>
    </row>
    <row r="11682" spans="5:5" x14ac:dyDescent="0.25">
      <c r="E11682"/>
    </row>
    <row r="11683" spans="5:5" x14ac:dyDescent="0.25">
      <c r="E11683"/>
    </row>
    <row r="11684" spans="5:5" x14ac:dyDescent="0.25">
      <c r="E11684"/>
    </row>
    <row r="11685" spans="5:5" x14ac:dyDescent="0.25">
      <c r="E11685"/>
    </row>
    <row r="11686" spans="5:5" x14ac:dyDescent="0.25">
      <c r="E11686"/>
    </row>
    <row r="11687" spans="5:5" x14ac:dyDescent="0.25">
      <c r="E11687"/>
    </row>
    <row r="11688" spans="5:5" x14ac:dyDescent="0.25">
      <c r="E11688"/>
    </row>
    <row r="11689" spans="5:5" x14ac:dyDescent="0.25">
      <c r="E11689"/>
    </row>
    <row r="11690" spans="5:5" x14ac:dyDescent="0.25">
      <c r="E11690"/>
    </row>
    <row r="11691" spans="5:5" x14ac:dyDescent="0.25">
      <c r="E11691"/>
    </row>
    <row r="11692" spans="5:5" x14ac:dyDescent="0.25">
      <c r="E11692"/>
    </row>
    <row r="11693" spans="5:5" x14ac:dyDescent="0.25">
      <c r="E11693"/>
    </row>
    <row r="11694" spans="5:5" x14ac:dyDescent="0.25">
      <c r="E11694"/>
    </row>
    <row r="11695" spans="5:5" x14ac:dyDescent="0.25">
      <c r="E11695"/>
    </row>
    <row r="11696" spans="5:5" x14ac:dyDescent="0.25">
      <c r="E11696"/>
    </row>
    <row r="11697" spans="5:5" x14ac:dyDescent="0.25">
      <c r="E11697"/>
    </row>
    <row r="11698" spans="5:5" x14ac:dyDescent="0.25">
      <c r="E11698"/>
    </row>
    <row r="11699" spans="5:5" x14ac:dyDescent="0.25">
      <c r="E11699"/>
    </row>
    <row r="11700" spans="5:5" x14ac:dyDescent="0.25">
      <c r="E11700"/>
    </row>
    <row r="11701" spans="5:5" x14ac:dyDescent="0.25">
      <c r="E11701"/>
    </row>
    <row r="11702" spans="5:5" x14ac:dyDescent="0.25">
      <c r="E11702"/>
    </row>
    <row r="11703" spans="5:5" x14ac:dyDescent="0.25">
      <c r="E11703"/>
    </row>
    <row r="11704" spans="5:5" x14ac:dyDescent="0.25">
      <c r="E11704"/>
    </row>
    <row r="11705" spans="5:5" x14ac:dyDescent="0.25">
      <c r="E11705"/>
    </row>
    <row r="11706" spans="5:5" x14ac:dyDescent="0.25">
      <c r="E11706"/>
    </row>
    <row r="11707" spans="5:5" x14ac:dyDescent="0.25">
      <c r="E11707"/>
    </row>
    <row r="11708" spans="5:5" x14ac:dyDescent="0.25">
      <c r="E11708"/>
    </row>
    <row r="11709" spans="5:5" x14ac:dyDescent="0.25">
      <c r="E11709"/>
    </row>
    <row r="11710" spans="5:5" x14ac:dyDescent="0.25">
      <c r="E11710"/>
    </row>
    <row r="11711" spans="5:5" x14ac:dyDescent="0.25">
      <c r="E11711"/>
    </row>
    <row r="11712" spans="5:5" x14ac:dyDescent="0.25">
      <c r="E11712"/>
    </row>
    <row r="11713" spans="5:5" x14ac:dyDescent="0.25">
      <c r="E11713"/>
    </row>
    <row r="11714" spans="5:5" x14ac:dyDescent="0.25">
      <c r="E11714"/>
    </row>
    <row r="11715" spans="5:5" x14ac:dyDescent="0.25">
      <c r="E11715"/>
    </row>
    <row r="11716" spans="5:5" x14ac:dyDescent="0.25">
      <c r="E11716"/>
    </row>
    <row r="11717" spans="5:5" x14ac:dyDescent="0.25">
      <c r="E11717"/>
    </row>
    <row r="11718" spans="5:5" x14ac:dyDescent="0.25">
      <c r="E11718"/>
    </row>
    <row r="11719" spans="5:5" x14ac:dyDescent="0.25">
      <c r="E11719"/>
    </row>
    <row r="11720" spans="5:5" x14ac:dyDescent="0.25">
      <c r="E11720"/>
    </row>
    <row r="11721" spans="5:5" x14ac:dyDescent="0.25">
      <c r="E11721"/>
    </row>
    <row r="11722" spans="5:5" x14ac:dyDescent="0.25">
      <c r="E11722"/>
    </row>
    <row r="11723" spans="5:5" x14ac:dyDescent="0.25">
      <c r="E11723"/>
    </row>
    <row r="11724" spans="5:5" x14ac:dyDescent="0.25">
      <c r="E11724"/>
    </row>
    <row r="11725" spans="5:5" x14ac:dyDescent="0.25">
      <c r="E11725"/>
    </row>
    <row r="11726" spans="5:5" x14ac:dyDescent="0.25">
      <c r="E11726"/>
    </row>
    <row r="11727" spans="5:5" x14ac:dyDescent="0.25">
      <c r="E11727"/>
    </row>
    <row r="11728" spans="5:5" x14ac:dyDescent="0.25">
      <c r="E11728"/>
    </row>
    <row r="11729" spans="5:5" x14ac:dyDescent="0.25">
      <c r="E11729"/>
    </row>
    <row r="11730" spans="5:5" x14ac:dyDescent="0.25">
      <c r="E11730"/>
    </row>
    <row r="11731" spans="5:5" x14ac:dyDescent="0.25">
      <c r="E11731"/>
    </row>
    <row r="11732" spans="5:5" x14ac:dyDescent="0.25">
      <c r="E11732"/>
    </row>
    <row r="11733" spans="5:5" x14ac:dyDescent="0.25">
      <c r="E11733"/>
    </row>
    <row r="11734" spans="5:5" x14ac:dyDescent="0.25">
      <c r="E11734"/>
    </row>
    <row r="11735" spans="5:5" x14ac:dyDescent="0.25">
      <c r="E11735"/>
    </row>
    <row r="11736" spans="5:5" x14ac:dyDescent="0.25">
      <c r="E11736"/>
    </row>
    <row r="11737" spans="5:5" x14ac:dyDescent="0.25">
      <c r="E11737"/>
    </row>
    <row r="11738" spans="5:5" x14ac:dyDescent="0.25">
      <c r="E11738"/>
    </row>
    <row r="11739" spans="5:5" x14ac:dyDescent="0.25">
      <c r="E11739"/>
    </row>
    <row r="11740" spans="5:5" x14ac:dyDescent="0.25">
      <c r="E11740"/>
    </row>
    <row r="11741" spans="5:5" x14ac:dyDescent="0.25">
      <c r="E11741"/>
    </row>
    <row r="11742" spans="5:5" x14ac:dyDescent="0.25">
      <c r="E11742"/>
    </row>
    <row r="11743" spans="5:5" x14ac:dyDescent="0.25">
      <c r="E11743"/>
    </row>
    <row r="11744" spans="5:5" x14ac:dyDescent="0.25">
      <c r="E11744"/>
    </row>
    <row r="11745" spans="5:5" x14ac:dyDescent="0.25">
      <c r="E11745"/>
    </row>
    <row r="11746" spans="5:5" x14ac:dyDescent="0.25">
      <c r="E11746"/>
    </row>
    <row r="11747" spans="5:5" x14ac:dyDescent="0.25">
      <c r="E11747"/>
    </row>
    <row r="11748" spans="5:5" x14ac:dyDescent="0.25">
      <c r="E11748"/>
    </row>
    <row r="11749" spans="5:5" x14ac:dyDescent="0.25">
      <c r="E11749"/>
    </row>
    <row r="11750" spans="5:5" x14ac:dyDescent="0.25">
      <c r="E11750"/>
    </row>
    <row r="11751" spans="5:5" x14ac:dyDescent="0.25">
      <c r="E11751"/>
    </row>
    <row r="11752" spans="5:5" x14ac:dyDescent="0.25">
      <c r="E11752"/>
    </row>
    <row r="11753" spans="5:5" x14ac:dyDescent="0.25">
      <c r="E11753"/>
    </row>
    <row r="11754" spans="5:5" x14ac:dyDescent="0.25">
      <c r="E11754"/>
    </row>
    <row r="11755" spans="5:5" x14ac:dyDescent="0.25">
      <c r="E11755"/>
    </row>
    <row r="11756" spans="5:5" x14ac:dyDescent="0.25">
      <c r="E11756"/>
    </row>
    <row r="11757" spans="5:5" x14ac:dyDescent="0.25">
      <c r="E11757"/>
    </row>
    <row r="11758" spans="5:5" x14ac:dyDescent="0.25">
      <c r="E11758"/>
    </row>
    <row r="11759" spans="5:5" x14ac:dyDescent="0.25">
      <c r="E11759"/>
    </row>
    <row r="11760" spans="5:5" x14ac:dyDescent="0.25">
      <c r="E11760"/>
    </row>
    <row r="11761" spans="5:5" x14ac:dyDescent="0.25">
      <c r="E11761"/>
    </row>
    <row r="11762" spans="5:5" x14ac:dyDescent="0.25">
      <c r="E11762"/>
    </row>
    <row r="11763" spans="5:5" x14ac:dyDescent="0.25">
      <c r="E11763"/>
    </row>
    <row r="11764" spans="5:5" x14ac:dyDescent="0.25">
      <c r="E11764"/>
    </row>
    <row r="11765" spans="5:5" x14ac:dyDescent="0.25">
      <c r="E11765"/>
    </row>
    <row r="11766" spans="5:5" x14ac:dyDescent="0.25">
      <c r="E11766"/>
    </row>
    <row r="11767" spans="5:5" x14ac:dyDescent="0.25">
      <c r="E11767"/>
    </row>
    <row r="11768" spans="5:5" x14ac:dyDescent="0.25">
      <c r="E11768"/>
    </row>
    <row r="11769" spans="5:5" x14ac:dyDescent="0.25">
      <c r="E11769"/>
    </row>
    <row r="11770" spans="5:5" x14ac:dyDescent="0.25">
      <c r="E11770"/>
    </row>
    <row r="11771" spans="5:5" x14ac:dyDescent="0.25">
      <c r="E11771"/>
    </row>
    <row r="11772" spans="5:5" x14ac:dyDescent="0.25">
      <c r="E11772"/>
    </row>
    <row r="11773" spans="5:5" x14ac:dyDescent="0.25">
      <c r="E11773"/>
    </row>
    <row r="11774" spans="5:5" x14ac:dyDescent="0.25">
      <c r="E11774"/>
    </row>
    <row r="11775" spans="5:5" x14ac:dyDescent="0.25">
      <c r="E11775"/>
    </row>
    <row r="11776" spans="5:5" x14ac:dyDescent="0.25">
      <c r="E11776"/>
    </row>
    <row r="11777" spans="5:5" x14ac:dyDescent="0.25">
      <c r="E11777"/>
    </row>
    <row r="11778" spans="5:5" x14ac:dyDescent="0.25">
      <c r="E11778"/>
    </row>
    <row r="11779" spans="5:5" x14ac:dyDescent="0.25">
      <c r="E11779"/>
    </row>
    <row r="11780" spans="5:5" x14ac:dyDescent="0.25">
      <c r="E11780"/>
    </row>
    <row r="11781" spans="5:5" x14ac:dyDescent="0.25">
      <c r="E11781"/>
    </row>
    <row r="11782" spans="5:5" x14ac:dyDescent="0.25">
      <c r="E11782"/>
    </row>
    <row r="11783" spans="5:5" x14ac:dyDescent="0.25">
      <c r="E11783"/>
    </row>
    <row r="11784" spans="5:5" x14ac:dyDescent="0.25">
      <c r="E11784"/>
    </row>
    <row r="11785" spans="5:5" x14ac:dyDescent="0.25">
      <c r="E11785"/>
    </row>
    <row r="11786" spans="5:5" x14ac:dyDescent="0.25">
      <c r="E11786"/>
    </row>
    <row r="11787" spans="5:5" x14ac:dyDescent="0.25">
      <c r="E11787"/>
    </row>
    <row r="11788" spans="5:5" x14ac:dyDescent="0.25">
      <c r="E11788"/>
    </row>
    <row r="11789" spans="5:5" x14ac:dyDescent="0.25">
      <c r="E11789"/>
    </row>
    <row r="11790" spans="5:5" x14ac:dyDescent="0.25">
      <c r="E11790"/>
    </row>
    <row r="11791" spans="5:5" x14ac:dyDescent="0.25">
      <c r="E11791"/>
    </row>
    <row r="11792" spans="5:5" x14ac:dyDescent="0.25">
      <c r="E11792"/>
    </row>
    <row r="11793" spans="5:5" x14ac:dyDescent="0.25">
      <c r="E11793"/>
    </row>
    <row r="11794" spans="5:5" x14ac:dyDescent="0.25">
      <c r="E11794"/>
    </row>
    <row r="11795" spans="5:5" x14ac:dyDescent="0.25">
      <c r="E11795"/>
    </row>
    <row r="11796" spans="5:5" x14ac:dyDescent="0.25">
      <c r="E11796"/>
    </row>
    <row r="11797" spans="5:5" x14ac:dyDescent="0.25">
      <c r="E11797"/>
    </row>
    <row r="11798" spans="5:5" x14ac:dyDescent="0.25">
      <c r="E11798"/>
    </row>
    <row r="11799" spans="5:5" x14ac:dyDescent="0.25">
      <c r="E11799"/>
    </row>
    <row r="11800" spans="5:5" x14ac:dyDescent="0.25">
      <c r="E11800"/>
    </row>
    <row r="11801" spans="5:5" x14ac:dyDescent="0.25">
      <c r="E11801"/>
    </row>
    <row r="11802" spans="5:5" x14ac:dyDescent="0.25">
      <c r="E11802"/>
    </row>
    <row r="11803" spans="5:5" x14ac:dyDescent="0.25">
      <c r="E11803"/>
    </row>
    <row r="11804" spans="5:5" x14ac:dyDescent="0.25">
      <c r="E11804"/>
    </row>
    <row r="11805" spans="5:5" x14ac:dyDescent="0.25">
      <c r="E11805"/>
    </row>
    <row r="11806" spans="5:5" x14ac:dyDescent="0.25">
      <c r="E11806"/>
    </row>
    <row r="11807" spans="5:5" x14ac:dyDescent="0.25">
      <c r="E11807"/>
    </row>
    <row r="11808" spans="5:5" x14ac:dyDescent="0.25">
      <c r="E11808"/>
    </row>
    <row r="11809" spans="5:5" x14ac:dyDescent="0.25">
      <c r="E11809"/>
    </row>
    <row r="11810" spans="5:5" x14ac:dyDescent="0.25">
      <c r="E11810"/>
    </row>
    <row r="11811" spans="5:5" x14ac:dyDescent="0.25">
      <c r="E11811"/>
    </row>
    <row r="11812" spans="5:5" x14ac:dyDescent="0.25">
      <c r="E11812"/>
    </row>
    <row r="11813" spans="5:5" x14ac:dyDescent="0.25">
      <c r="E11813"/>
    </row>
    <row r="11814" spans="5:5" x14ac:dyDescent="0.25">
      <c r="E11814"/>
    </row>
    <row r="11815" spans="5:5" x14ac:dyDescent="0.25">
      <c r="E11815"/>
    </row>
    <row r="11816" spans="5:5" x14ac:dyDescent="0.25">
      <c r="E11816"/>
    </row>
    <row r="11817" spans="5:5" x14ac:dyDescent="0.25">
      <c r="E11817"/>
    </row>
    <row r="11818" spans="5:5" x14ac:dyDescent="0.25">
      <c r="E11818"/>
    </row>
    <row r="11819" spans="5:5" x14ac:dyDescent="0.25">
      <c r="E11819"/>
    </row>
    <row r="11820" spans="5:5" x14ac:dyDescent="0.25">
      <c r="E11820"/>
    </row>
    <row r="11821" spans="5:5" x14ac:dyDescent="0.25">
      <c r="E11821"/>
    </row>
    <row r="11822" spans="5:5" x14ac:dyDescent="0.25">
      <c r="E11822"/>
    </row>
    <row r="11823" spans="5:5" x14ac:dyDescent="0.25">
      <c r="E11823"/>
    </row>
    <row r="11824" spans="5:5" x14ac:dyDescent="0.25">
      <c r="E11824"/>
    </row>
    <row r="11825" spans="5:5" x14ac:dyDescent="0.25">
      <c r="E11825"/>
    </row>
    <row r="11826" spans="5:5" x14ac:dyDescent="0.25">
      <c r="E11826"/>
    </row>
    <row r="11827" spans="5:5" x14ac:dyDescent="0.25">
      <c r="E11827"/>
    </row>
    <row r="11828" spans="5:5" x14ac:dyDescent="0.25">
      <c r="E11828"/>
    </row>
    <row r="11829" spans="5:5" x14ac:dyDescent="0.25">
      <c r="E11829"/>
    </row>
    <row r="11830" spans="5:5" x14ac:dyDescent="0.25">
      <c r="E11830"/>
    </row>
    <row r="11831" spans="5:5" x14ac:dyDescent="0.25">
      <c r="E11831"/>
    </row>
    <row r="11832" spans="5:5" x14ac:dyDescent="0.25">
      <c r="E11832"/>
    </row>
    <row r="11833" spans="5:5" x14ac:dyDescent="0.25">
      <c r="E11833"/>
    </row>
    <row r="11834" spans="5:5" x14ac:dyDescent="0.25">
      <c r="E11834"/>
    </row>
    <row r="11835" spans="5:5" x14ac:dyDescent="0.25">
      <c r="E11835"/>
    </row>
    <row r="11836" spans="5:5" x14ac:dyDescent="0.25">
      <c r="E11836"/>
    </row>
    <row r="11837" spans="5:5" x14ac:dyDescent="0.25">
      <c r="E11837"/>
    </row>
    <row r="11838" spans="5:5" x14ac:dyDescent="0.25">
      <c r="E11838"/>
    </row>
    <row r="11839" spans="5:5" x14ac:dyDescent="0.25">
      <c r="E11839"/>
    </row>
    <row r="11840" spans="5:5" x14ac:dyDescent="0.25">
      <c r="E11840"/>
    </row>
    <row r="11841" spans="5:5" x14ac:dyDescent="0.25">
      <c r="E11841"/>
    </row>
    <row r="11842" spans="5:5" x14ac:dyDescent="0.25">
      <c r="E11842"/>
    </row>
    <row r="11843" spans="5:5" x14ac:dyDescent="0.25">
      <c r="E11843"/>
    </row>
    <row r="11844" spans="5:5" x14ac:dyDescent="0.25">
      <c r="E11844"/>
    </row>
    <row r="11845" spans="5:5" x14ac:dyDescent="0.25">
      <c r="E11845"/>
    </row>
    <row r="11846" spans="5:5" x14ac:dyDescent="0.25">
      <c r="E11846"/>
    </row>
    <row r="11847" spans="5:5" x14ac:dyDescent="0.25">
      <c r="E11847"/>
    </row>
    <row r="11848" spans="5:5" x14ac:dyDescent="0.25">
      <c r="E11848"/>
    </row>
    <row r="11849" spans="5:5" x14ac:dyDescent="0.25">
      <c r="E11849"/>
    </row>
    <row r="11850" spans="5:5" x14ac:dyDescent="0.25">
      <c r="E11850"/>
    </row>
    <row r="11851" spans="5:5" x14ac:dyDescent="0.25">
      <c r="E11851"/>
    </row>
    <row r="11852" spans="5:5" x14ac:dyDescent="0.25">
      <c r="E11852"/>
    </row>
    <row r="11853" spans="5:5" x14ac:dyDescent="0.25">
      <c r="E11853"/>
    </row>
    <row r="11854" spans="5:5" x14ac:dyDescent="0.25">
      <c r="E11854"/>
    </row>
    <row r="11855" spans="5:5" x14ac:dyDescent="0.25">
      <c r="E11855"/>
    </row>
    <row r="11856" spans="5:5" x14ac:dyDescent="0.25">
      <c r="E11856"/>
    </row>
    <row r="11857" spans="5:5" x14ac:dyDescent="0.25">
      <c r="E11857"/>
    </row>
    <row r="11858" spans="5:5" x14ac:dyDescent="0.25">
      <c r="E11858"/>
    </row>
    <row r="11859" spans="5:5" x14ac:dyDescent="0.25">
      <c r="E11859"/>
    </row>
    <row r="11860" spans="5:5" x14ac:dyDescent="0.25">
      <c r="E11860"/>
    </row>
    <row r="11861" spans="5:5" x14ac:dyDescent="0.25">
      <c r="E11861"/>
    </row>
    <row r="11862" spans="5:5" x14ac:dyDescent="0.25">
      <c r="E11862"/>
    </row>
    <row r="11863" spans="5:5" x14ac:dyDescent="0.25">
      <c r="E11863"/>
    </row>
    <row r="11864" spans="5:5" x14ac:dyDescent="0.25">
      <c r="E11864"/>
    </row>
    <row r="11865" spans="5:5" x14ac:dyDescent="0.25">
      <c r="E11865"/>
    </row>
    <row r="11866" spans="5:5" x14ac:dyDescent="0.25">
      <c r="E11866"/>
    </row>
    <row r="11867" spans="5:5" x14ac:dyDescent="0.25">
      <c r="E11867"/>
    </row>
    <row r="11868" spans="5:5" x14ac:dyDescent="0.25">
      <c r="E11868"/>
    </row>
    <row r="11869" spans="5:5" x14ac:dyDescent="0.25">
      <c r="E11869"/>
    </row>
    <row r="11870" spans="5:5" x14ac:dyDescent="0.25">
      <c r="E11870"/>
    </row>
    <row r="11871" spans="5:5" x14ac:dyDescent="0.25">
      <c r="E11871"/>
    </row>
    <row r="11872" spans="5:5" x14ac:dyDescent="0.25">
      <c r="E11872"/>
    </row>
    <row r="11873" spans="5:5" x14ac:dyDescent="0.25">
      <c r="E11873"/>
    </row>
    <row r="11874" spans="5:5" x14ac:dyDescent="0.25">
      <c r="E11874"/>
    </row>
    <row r="11875" spans="5:5" x14ac:dyDescent="0.25">
      <c r="E11875"/>
    </row>
    <row r="11876" spans="5:5" x14ac:dyDescent="0.25">
      <c r="E11876"/>
    </row>
    <row r="11877" spans="5:5" x14ac:dyDescent="0.25">
      <c r="E11877"/>
    </row>
    <row r="11878" spans="5:5" x14ac:dyDescent="0.25">
      <c r="E11878"/>
    </row>
    <row r="11879" spans="5:5" x14ac:dyDescent="0.25">
      <c r="E11879"/>
    </row>
    <row r="11880" spans="5:5" x14ac:dyDescent="0.25">
      <c r="E11880"/>
    </row>
    <row r="11881" spans="5:5" x14ac:dyDescent="0.25">
      <c r="E11881"/>
    </row>
    <row r="11882" spans="5:5" x14ac:dyDescent="0.25">
      <c r="E11882"/>
    </row>
    <row r="11883" spans="5:5" x14ac:dyDescent="0.25">
      <c r="E11883"/>
    </row>
    <row r="11884" spans="5:5" x14ac:dyDescent="0.25">
      <c r="E11884"/>
    </row>
    <row r="11885" spans="5:5" x14ac:dyDescent="0.25">
      <c r="E11885"/>
    </row>
    <row r="11886" spans="5:5" x14ac:dyDescent="0.25">
      <c r="E11886"/>
    </row>
    <row r="11887" spans="5:5" x14ac:dyDescent="0.25">
      <c r="E11887"/>
    </row>
    <row r="11888" spans="5:5" x14ac:dyDescent="0.25">
      <c r="E11888"/>
    </row>
    <row r="11889" spans="5:5" x14ac:dyDescent="0.25">
      <c r="E11889"/>
    </row>
    <row r="11890" spans="5:5" x14ac:dyDescent="0.25">
      <c r="E11890"/>
    </row>
    <row r="11891" spans="5:5" x14ac:dyDescent="0.25">
      <c r="E11891"/>
    </row>
    <row r="11892" spans="5:5" x14ac:dyDescent="0.25">
      <c r="E11892"/>
    </row>
    <row r="11893" spans="5:5" x14ac:dyDescent="0.25">
      <c r="E11893"/>
    </row>
    <row r="11894" spans="5:5" x14ac:dyDescent="0.25">
      <c r="E11894"/>
    </row>
    <row r="11895" spans="5:5" x14ac:dyDescent="0.25">
      <c r="E11895"/>
    </row>
    <row r="11896" spans="5:5" x14ac:dyDescent="0.25">
      <c r="E11896"/>
    </row>
    <row r="11897" spans="5:5" x14ac:dyDescent="0.25">
      <c r="E11897"/>
    </row>
    <row r="11898" spans="5:5" x14ac:dyDescent="0.25">
      <c r="E11898"/>
    </row>
    <row r="11899" spans="5:5" x14ac:dyDescent="0.25">
      <c r="E11899"/>
    </row>
    <row r="11900" spans="5:5" x14ac:dyDescent="0.25">
      <c r="E11900"/>
    </row>
    <row r="11901" spans="5:5" x14ac:dyDescent="0.25">
      <c r="E11901"/>
    </row>
    <row r="11902" spans="5:5" x14ac:dyDescent="0.25">
      <c r="E11902"/>
    </row>
    <row r="11903" spans="5:5" x14ac:dyDescent="0.25">
      <c r="E11903"/>
    </row>
    <row r="11904" spans="5:5" x14ac:dyDescent="0.25">
      <c r="E11904"/>
    </row>
    <row r="11905" spans="5:5" x14ac:dyDescent="0.25">
      <c r="E11905"/>
    </row>
    <row r="11906" spans="5:5" x14ac:dyDescent="0.25">
      <c r="E11906"/>
    </row>
    <row r="11907" spans="5:5" x14ac:dyDescent="0.25">
      <c r="E11907"/>
    </row>
    <row r="11908" spans="5:5" x14ac:dyDescent="0.25">
      <c r="E11908"/>
    </row>
    <row r="11909" spans="5:5" x14ac:dyDescent="0.25">
      <c r="E11909"/>
    </row>
    <row r="11910" spans="5:5" x14ac:dyDescent="0.25">
      <c r="E11910"/>
    </row>
    <row r="11911" spans="5:5" x14ac:dyDescent="0.25">
      <c r="E11911"/>
    </row>
    <row r="11912" spans="5:5" x14ac:dyDescent="0.25">
      <c r="E11912"/>
    </row>
    <row r="11913" spans="5:5" x14ac:dyDescent="0.25">
      <c r="E11913"/>
    </row>
    <row r="11914" spans="5:5" x14ac:dyDescent="0.25">
      <c r="E11914"/>
    </row>
    <row r="11915" spans="5:5" x14ac:dyDescent="0.25">
      <c r="E11915"/>
    </row>
    <row r="11916" spans="5:5" x14ac:dyDescent="0.25">
      <c r="E11916"/>
    </row>
    <row r="11917" spans="5:5" x14ac:dyDescent="0.25">
      <c r="E11917"/>
    </row>
    <row r="11918" spans="5:5" x14ac:dyDescent="0.25">
      <c r="E11918"/>
    </row>
    <row r="11919" spans="5:5" x14ac:dyDescent="0.25">
      <c r="E11919"/>
    </row>
    <row r="11920" spans="5:5" x14ac:dyDescent="0.25">
      <c r="E11920"/>
    </row>
    <row r="11921" spans="5:5" x14ac:dyDescent="0.25">
      <c r="E11921"/>
    </row>
    <row r="11922" spans="5:5" x14ac:dyDescent="0.25">
      <c r="E11922"/>
    </row>
    <row r="11923" spans="5:5" x14ac:dyDescent="0.25">
      <c r="E11923"/>
    </row>
    <row r="11924" spans="5:5" x14ac:dyDescent="0.25">
      <c r="E11924"/>
    </row>
    <row r="11925" spans="5:5" x14ac:dyDescent="0.25">
      <c r="E11925"/>
    </row>
    <row r="11926" spans="5:5" x14ac:dyDescent="0.25">
      <c r="E11926"/>
    </row>
    <row r="11927" spans="5:5" x14ac:dyDescent="0.25">
      <c r="E11927"/>
    </row>
    <row r="11928" spans="5:5" x14ac:dyDescent="0.25">
      <c r="E11928"/>
    </row>
    <row r="11929" spans="5:5" x14ac:dyDescent="0.25">
      <c r="E11929"/>
    </row>
    <row r="11930" spans="5:5" x14ac:dyDescent="0.25">
      <c r="E11930"/>
    </row>
    <row r="11931" spans="5:5" x14ac:dyDescent="0.25">
      <c r="E11931"/>
    </row>
    <row r="11932" spans="5:5" x14ac:dyDescent="0.25">
      <c r="E11932"/>
    </row>
    <row r="11933" spans="5:5" x14ac:dyDescent="0.25">
      <c r="E11933"/>
    </row>
    <row r="11934" spans="5:5" x14ac:dyDescent="0.25">
      <c r="E11934"/>
    </row>
    <row r="11935" spans="5:5" x14ac:dyDescent="0.25">
      <c r="E11935"/>
    </row>
    <row r="11936" spans="5:5" x14ac:dyDescent="0.25">
      <c r="E11936"/>
    </row>
    <row r="11937" spans="5:5" x14ac:dyDescent="0.25">
      <c r="E11937"/>
    </row>
    <row r="11938" spans="5:5" x14ac:dyDescent="0.25">
      <c r="E11938"/>
    </row>
    <row r="11939" spans="5:5" x14ac:dyDescent="0.25">
      <c r="E11939"/>
    </row>
    <row r="11940" spans="5:5" x14ac:dyDescent="0.25">
      <c r="E11940"/>
    </row>
    <row r="11941" spans="5:5" x14ac:dyDescent="0.25">
      <c r="E11941"/>
    </row>
    <row r="11942" spans="5:5" x14ac:dyDescent="0.25">
      <c r="E11942"/>
    </row>
    <row r="11943" spans="5:5" x14ac:dyDescent="0.25">
      <c r="E11943"/>
    </row>
    <row r="11944" spans="5:5" x14ac:dyDescent="0.25">
      <c r="E11944"/>
    </row>
    <row r="11945" spans="5:5" x14ac:dyDescent="0.25">
      <c r="E11945"/>
    </row>
    <row r="11946" spans="5:5" x14ac:dyDescent="0.25">
      <c r="E11946"/>
    </row>
    <row r="11947" spans="5:5" x14ac:dyDescent="0.25">
      <c r="E11947"/>
    </row>
    <row r="11948" spans="5:5" x14ac:dyDescent="0.25">
      <c r="E11948"/>
    </row>
    <row r="11949" spans="5:5" x14ac:dyDescent="0.25">
      <c r="E11949"/>
    </row>
    <row r="11950" spans="5:5" x14ac:dyDescent="0.25">
      <c r="E11950"/>
    </row>
    <row r="11951" spans="5:5" x14ac:dyDescent="0.25">
      <c r="E11951"/>
    </row>
    <row r="11952" spans="5:5" x14ac:dyDescent="0.25">
      <c r="E11952"/>
    </row>
    <row r="11953" spans="5:5" x14ac:dyDescent="0.25">
      <c r="E11953"/>
    </row>
    <row r="11954" spans="5:5" x14ac:dyDescent="0.25">
      <c r="E11954"/>
    </row>
    <row r="11955" spans="5:5" x14ac:dyDescent="0.25">
      <c r="E11955"/>
    </row>
    <row r="11956" spans="5:5" x14ac:dyDescent="0.25">
      <c r="E11956"/>
    </row>
    <row r="11957" spans="5:5" x14ac:dyDescent="0.25">
      <c r="E11957"/>
    </row>
    <row r="11958" spans="5:5" x14ac:dyDescent="0.25">
      <c r="E11958"/>
    </row>
    <row r="11959" spans="5:5" x14ac:dyDescent="0.25">
      <c r="E11959"/>
    </row>
    <row r="11960" spans="5:5" x14ac:dyDescent="0.25">
      <c r="E11960"/>
    </row>
    <row r="11961" spans="5:5" x14ac:dyDescent="0.25">
      <c r="E11961"/>
    </row>
    <row r="11962" spans="5:5" x14ac:dyDescent="0.25">
      <c r="E11962"/>
    </row>
    <row r="11963" spans="5:5" x14ac:dyDescent="0.25">
      <c r="E11963"/>
    </row>
    <row r="11964" spans="5:5" x14ac:dyDescent="0.25">
      <c r="E11964"/>
    </row>
    <row r="11965" spans="5:5" x14ac:dyDescent="0.25">
      <c r="E11965"/>
    </row>
    <row r="11966" spans="5:5" x14ac:dyDescent="0.25">
      <c r="E11966"/>
    </row>
    <row r="11967" spans="5:5" x14ac:dyDescent="0.25">
      <c r="E11967"/>
    </row>
    <row r="11968" spans="5:5" x14ac:dyDescent="0.25">
      <c r="E11968"/>
    </row>
    <row r="11969" spans="5:5" x14ac:dyDescent="0.25">
      <c r="E11969"/>
    </row>
    <row r="11970" spans="5:5" x14ac:dyDescent="0.25">
      <c r="E11970"/>
    </row>
    <row r="11971" spans="5:5" x14ac:dyDescent="0.25">
      <c r="E11971"/>
    </row>
    <row r="11972" spans="5:5" x14ac:dyDescent="0.25">
      <c r="E11972"/>
    </row>
    <row r="11973" spans="5:5" x14ac:dyDescent="0.25">
      <c r="E11973"/>
    </row>
    <row r="11974" spans="5:5" x14ac:dyDescent="0.25">
      <c r="E11974"/>
    </row>
    <row r="11975" spans="5:5" x14ac:dyDescent="0.25">
      <c r="E11975"/>
    </row>
    <row r="11976" spans="5:5" x14ac:dyDescent="0.25">
      <c r="E11976"/>
    </row>
    <row r="11977" spans="5:5" x14ac:dyDescent="0.25">
      <c r="E11977"/>
    </row>
    <row r="11978" spans="5:5" x14ac:dyDescent="0.25">
      <c r="E11978"/>
    </row>
    <row r="11979" spans="5:5" x14ac:dyDescent="0.25">
      <c r="E11979"/>
    </row>
    <row r="11980" spans="5:5" x14ac:dyDescent="0.25">
      <c r="E11980"/>
    </row>
    <row r="11981" spans="5:5" x14ac:dyDescent="0.25">
      <c r="E11981"/>
    </row>
    <row r="11982" spans="5:5" x14ac:dyDescent="0.25">
      <c r="E11982"/>
    </row>
    <row r="11983" spans="5:5" x14ac:dyDescent="0.25">
      <c r="E11983"/>
    </row>
    <row r="11984" spans="5:5" x14ac:dyDescent="0.25">
      <c r="E11984"/>
    </row>
    <row r="11985" spans="5:5" x14ac:dyDescent="0.25">
      <c r="E11985"/>
    </row>
    <row r="11986" spans="5:5" x14ac:dyDescent="0.25">
      <c r="E11986"/>
    </row>
    <row r="11987" spans="5:5" x14ac:dyDescent="0.25">
      <c r="E11987"/>
    </row>
    <row r="11988" spans="5:5" x14ac:dyDescent="0.25">
      <c r="E11988"/>
    </row>
    <row r="11989" spans="5:5" x14ac:dyDescent="0.25">
      <c r="E11989"/>
    </row>
    <row r="11990" spans="5:5" x14ac:dyDescent="0.25">
      <c r="E11990"/>
    </row>
    <row r="11991" spans="5:5" x14ac:dyDescent="0.25">
      <c r="E11991"/>
    </row>
    <row r="11992" spans="5:5" x14ac:dyDescent="0.25">
      <c r="E11992"/>
    </row>
    <row r="11993" spans="5:5" x14ac:dyDescent="0.25">
      <c r="E11993"/>
    </row>
    <row r="11994" spans="5:5" x14ac:dyDescent="0.25">
      <c r="E11994"/>
    </row>
    <row r="11995" spans="5:5" x14ac:dyDescent="0.25">
      <c r="E11995"/>
    </row>
    <row r="11996" spans="5:5" x14ac:dyDescent="0.25">
      <c r="E11996"/>
    </row>
    <row r="11997" spans="5:5" x14ac:dyDescent="0.25">
      <c r="E11997"/>
    </row>
    <row r="11998" spans="5:5" x14ac:dyDescent="0.25">
      <c r="E11998"/>
    </row>
    <row r="11999" spans="5:5" x14ac:dyDescent="0.25">
      <c r="E11999"/>
    </row>
    <row r="12000" spans="5:5" x14ac:dyDescent="0.25">
      <c r="E12000"/>
    </row>
    <row r="12001" spans="5:5" x14ac:dyDescent="0.25">
      <c r="E12001"/>
    </row>
    <row r="12002" spans="5:5" x14ac:dyDescent="0.25">
      <c r="E12002"/>
    </row>
    <row r="12003" spans="5:5" x14ac:dyDescent="0.25">
      <c r="E12003"/>
    </row>
    <row r="12004" spans="5:5" x14ac:dyDescent="0.25">
      <c r="E12004"/>
    </row>
    <row r="12005" spans="5:5" x14ac:dyDescent="0.25">
      <c r="E12005"/>
    </row>
    <row r="12006" spans="5:5" x14ac:dyDescent="0.25">
      <c r="E12006"/>
    </row>
    <row r="12007" spans="5:5" x14ac:dyDescent="0.25">
      <c r="E12007"/>
    </row>
    <row r="12008" spans="5:5" x14ac:dyDescent="0.25">
      <c r="E12008"/>
    </row>
    <row r="12009" spans="5:5" x14ac:dyDescent="0.25">
      <c r="E12009"/>
    </row>
    <row r="12010" spans="5:5" x14ac:dyDescent="0.25">
      <c r="E12010"/>
    </row>
    <row r="12011" spans="5:5" x14ac:dyDescent="0.25">
      <c r="E12011"/>
    </row>
    <row r="12012" spans="5:5" x14ac:dyDescent="0.25">
      <c r="E12012"/>
    </row>
    <row r="12013" spans="5:5" x14ac:dyDescent="0.25">
      <c r="E12013"/>
    </row>
    <row r="12014" spans="5:5" x14ac:dyDescent="0.25">
      <c r="E12014"/>
    </row>
    <row r="12015" spans="5:5" x14ac:dyDescent="0.25">
      <c r="E12015"/>
    </row>
    <row r="12016" spans="5:5" x14ac:dyDescent="0.25">
      <c r="E12016"/>
    </row>
    <row r="12017" spans="5:5" x14ac:dyDescent="0.25">
      <c r="E12017"/>
    </row>
    <row r="12018" spans="5:5" x14ac:dyDescent="0.25">
      <c r="E12018"/>
    </row>
    <row r="12019" spans="5:5" x14ac:dyDescent="0.25">
      <c r="E12019"/>
    </row>
    <row r="12020" spans="5:5" x14ac:dyDescent="0.25">
      <c r="E12020"/>
    </row>
    <row r="12021" spans="5:5" x14ac:dyDescent="0.25">
      <c r="E12021"/>
    </row>
    <row r="12022" spans="5:5" x14ac:dyDescent="0.25">
      <c r="E12022"/>
    </row>
    <row r="12023" spans="5:5" x14ac:dyDescent="0.25">
      <c r="E12023"/>
    </row>
    <row r="12024" spans="5:5" x14ac:dyDescent="0.25">
      <c r="E12024"/>
    </row>
    <row r="12025" spans="5:5" x14ac:dyDescent="0.25">
      <c r="E12025"/>
    </row>
    <row r="12026" spans="5:5" x14ac:dyDescent="0.25">
      <c r="E12026"/>
    </row>
    <row r="12027" spans="5:5" x14ac:dyDescent="0.25">
      <c r="E12027"/>
    </row>
    <row r="12028" spans="5:5" x14ac:dyDescent="0.25">
      <c r="E12028"/>
    </row>
    <row r="12029" spans="5:5" x14ac:dyDescent="0.25">
      <c r="E12029"/>
    </row>
    <row r="12030" spans="5:5" x14ac:dyDescent="0.25">
      <c r="E12030"/>
    </row>
    <row r="12031" spans="5:5" x14ac:dyDescent="0.25">
      <c r="E12031"/>
    </row>
    <row r="12032" spans="5:5" x14ac:dyDescent="0.25">
      <c r="E12032"/>
    </row>
    <row r="12033" spans="5:5" x14ac:dyDescent="0.25">
      <c r="E12033"/>
    </row>
    <row r="12034" spans="5:5" x14ac:dyDescent="0.25">
      <c r="E12034"/>
    </row>
    <row r="12035" spans="5:5" x14ac:dyDescent="0.25">
      <c r="E12035"/>
    </row>
    <row r="12036" spans="5:5" x14ac:dyDescent="0.25">
      <c r="E12036"/>
    </row>
    <row r="12037" spans="5:5" x14ac:dyDescent="0.25">
      <c r="E12037"/>
    </row>
    <row r="12038" spans="5:5" x14ac:dyDescent="0.25">
      <c r="E12038"/>
    </row>
    <row r="12039" spans="5:5" x14ac:dyDescent="0.25">
      <c r="E12039"/>
    </row>
    <row r="12040" spans="5:5" x14ac:dyDescent="0.25">
      <c r="E12040"/>
    </row>
    <row r="12041" spans="5:5" x14ac:dyDescent="0.25">
      <c r="E12041"/>
    </row>
    <row r="12042" spans="5:5" x14ac:dyDescent="0.25">
      <c r="E12042"/>
    </row>
    <row r="12043" spans="5:5" x14ac:dyDescent="0.25">
      <c r="E12043"/>
    </row>
    <row r="12044" spans="5:5" x14ac:dyDescent="0.25">
      <c r="E12044"/>
    </row>
    <row r="12045" spans="5:5" x14ac:dyDescent="0.25">
      <c r="E12045"/>
    </row>
    <row r="12046" spans="5:5" x14ac:dyDescent="0.25">
      <c r="E12046"/>
    </row>
    <row r="12047" spans="5:5" x14ac:dyDescent="0.25">
      <c r="E12047"/>
    </row>
    <row r="12048" spans="5:5" x14ac:dyDescent="0.25">
      <c r="E12048"/>
    </row>
    <row r="12049" spans="5:5" x14ac:dyDescent="0.25">
      <c r="E12049"/>
    </row>
    <row r="12050" spans="5:5" x14ac:dyDescent="0.25">
      <c r="E12050"/>
    </row>
    <row r="12051" spans="5:5" x14ac:dyDescent="0.25">
      <c r="E12051"/>
    </row>
    <row r="12052" spans="5:5" x14ac:dyDescent="0.25">
      <c r="E12052"/>
    </row>
    <row r="12053" spans="5:5" x14ac:dyDescent="0.25">
      <c r="E12053"/>
    </row>
    <row r="12054" spans="5:5" x14ac:dyDescent="0.25">
      <c r="E12054"/>
    </row>
    <row r="12055" spans="5:5" x14ac:dyDescent="0.25">
      <c r="E12055"/>
    </row>
    <row r="12056" spans="5:5" x14ac:dyDescent="0.25">
      <c r="E12056"/>
    </row>
    <row r="12057" spans="5:5" x14ac:dyDescent="0.25">
      <c r="E12057"/>
    </row>
    <row r="12058" spans="5:5" x14ac:dyDescent="0.25">
      <c r="E12058"/>
    </row>
    <row r="12059" spans="5:5" x14ac:dyDescent="0.25">
      <c r="E12059"/>
    </row>
    <row r="12060" spans="5:5" x14ac:dyDescent="0.25">
      <c r="E12060"/>
    </row>
    <row r="12061" spans="5:5" x14ac:dyDescent="0.25">
      <c r="E12061"/>
    </row>
    <row r="12062" spans="5:5" x14ac:dyDescent="0.25">
      <c r="E12062"/>
    </row>
    <row r="12063" spans="5:5" x14ac:dyDescent="0.25">
      <c r="E12063"/>
    </row>
    <row r="12064" spans="5:5" x14ac:dyDescent="0.25">
      <c r="E12064"/>
    </row>
    <row r="12065" spans="5:5" x14ac:dyDescent="0.25">
      <c r="E12065"/>
    </row>
    <row r="12066" spans="5:5" x14ac:dyDescent="0.25">
      <c r="E12066"/>
    </row>
    <row r="12067" spans="5:5" x14ac:dyDescent="0.25">
      <c r="E12067"/>
    </row>
    <row r="12068" spans="5:5" x14ac:dyDescent="0.25">
      <c r="E12068"/>
    </row>
    <row r="12069" spans="5:5" x14ac:dyDescent="0.25">
      <c r="E12069"/>
    </row>
    <row r="12070" spans="5:5" x14ac:dyDescent="0.25">
      <c r="E12070"/>
    </row>
    <row r="12071" spans="5:5" x14ac:dyDescent="0.25">
      <c r="E12071"/>
    </row>
    <row r="12072" spans="5:5" x14ac:dyDescent="0.25">
      <c r="E12072"/>
    </row>
    <row r="12073" spans="5:5" x14ac:dyDescent="0.25">
      <c r="E12073"/>
    </row>
    <row r="12074" spans="5:5" x14ac:dyDescent="0.25">
      <c r="E12074"/>
    </row>
    <row r="12075" spans="5:5" x14ac:dyDescent="0.25">
      <c r="E12075"/>
    </row>
    <row r="12076" spans="5:5" x14ac:dyDescent="0.25">
      <c r="E12076"/>
    </row>
    <row r="12077" spans="5:5" x14ac:dyDescent="0.25">
      <c r="E12077"/>
    </row>
    <row r="12078" spans="5:5" x14ac:dyDescent="0.25">
      <c r="E12078"/>
    </row>
    <row r="12079" spans="5:5" x14ac:dyDescent="0.25">
      <c r="E12079"/>
    </row>
    <row r="12080" spans="5:5" x14ac:dyDescent="0.25">
      <c r="E12080"/>
    </row>
    <row r="12081" spans="5:5" x14ac:dyDescent="0.25">
      <c r="E12081"/>
    </row>
    <row r="12082" spans="5:5" x14ac:dyDescent="0.25">
      <c r="E12082"/>
    </row>
    <row r="12083" spans="5:5" x14ac:dyDescent="0.25">
      <c r="E12083"/>
    </row>
    <row r="12084" spans="5:5" x14ac:dyDescent="0.25">
      <c r="E12084"/>
    </row>
    <row r="12085" spans="5:5" x14ac:dyDescent="0.25">
      <c r="E12085"/>
    </row>
    <row r="12086" spans="5:5" x14ac:dyDescent="0.25">
      <c r="E12086"/>
    </row>
    <row r="12087" spans="5:5" x14ac:dyDescent="0.25">
      <c r="E12087"/>
    </row>
    <row r="12088" spans="5:5" x14ac:dyDescent="0.25">
      <c r="E12088"/>
    </row>
    <row r="12089" spans="5:5" x14ac:dyDescent="0.25">
      <c r="E12089"/>
    </row>
    <row r="12090" spans="5:5" x14ac:dyDescent="0.25">
      <c r="E12090"/>
    </row>
    <row r="12091" spans="5:5" x14ac:dyDescent="0.25">
      <c r="E12091"/>
    </row>
    <row r="12092" spans="5:5" x14ac:dyDescent="0.25">
      <c r="E12092"/>
    </row>
    <row r="12093" spans="5:5" x14ac:dyDescent="0.25">
      <c r="E12093"/>
    </row>
    <row r="12094" spans="5:5" x14ac:dyDescent="0.25">
      <c r="E12094"/>
    </row>
    <row r="12095" spans="5:5" x14ac:dyDescent="0.25">
      <c r="E12095"/>
    </row>
    <row r="12096" spans="5:5" x14ac:dyDescent="0.25">
      <c r="E12096"/>
    </row>
    <row r="12097" spans="5:5" x14ac:dyDescent="0.25">
      <c r="E12097"/>
    </row>
    <row r="12098" spans="5:5" x14ac:dyDescent="0.25">
      <c r="E12098"/>
    </row>
    <row r="12099" spans="5:5" x14ac:dyDescent="0.25">
      <c r="E12099"/>
    </row>
    <row r="12100" spans="5:5" x14ac:dyDescent="0.25">
      <c r="E12100"/>
    </row>
    <row r="12101" spans="5:5" x14ac:dyDescent="0.25">
      <c r="E12101"/>
    </row>
    <row r="12102" spans="5:5" x14ac:dyDescent="0.25">
      <c r="E12102"/>
    </row>
    <row r="12103" spans="5:5" x14ac:dyDescent="0.25">
      <c r="E12103"/>
    </row>
    <row r="12104" spans="5:5" x14ac:dyDescent="0.25">
      <c r="E12104"/>
    </row>
    <row r="12105" spans="5:5" x14ac:dyDescent="0.25">
      <c r="E12105"/>
    </row>
    <row r="12106" spans="5:5" x14ac:dyDescent="0.25">
      <c r="E12106"/>
    </row>
    <row r="12107" spans="5:5" x14ac:dyDescent="0.25">
      <c r="E12107"/>
    </row>
    <row r="12108" spans="5:5" x14ac:dyDescent="0.25">
      <c r="E12108"/>
    </row>
    <row r="12109" spans="5:5" x14ac:dyDescent="0.25">
      <c r="E12109"/>
    </row>
    <row r="12110" spans="5:5" x14ac:dyDescent="0.25">
      <c r="E12110"/>
    </row>
    <row r="12111" spans="5:5" x14ac:dyDescent="0.25">
      <c r="E12111"/>
    </row>
    <row r="12112" spans="5:5" x14ac:dyDescent="0.25">
      <c r="E12112"/>
    </row>
    <row r="12113" spans="5:5" x14ac:dyDescent="0.25">
      <c r="E12113"/>
    </row>
    <row r="12114" spans="5:5" x14ac:dyDescent="0.25">
      <c r="E12114"/>
    </row>
    <row r="12115" spans="5:5" x14ac:dyDescent="0.25">
      <c r="E12115"/>
    </row>
    <row r="12116" spans="5:5" x14ac:dyDescent="0.25">
      <c r="E12116"/>
    </row>
    <row r="12117" spans="5:5" x14ac:dyDescent="0.25">
      <c r="E12117"/>
    </row>
    <row r="12118" spans="5:5" x14ac:dyDescent="0.25">
      <c r="E12118"/>
    </row>
    <row r="12119" spans="5:5" x14ac:dyDescent="0.25">
      <c r="E12119"/>
    </row>
    <row r="12120" spans="5:5" x14ac:dyDescent="0.25">
      <c r="E12120"/>
    </row>
    <row r="12121" spans="5:5" x14ac:dyDescent="0.25">
      <c r="E12121"/>
    </row>
    <row r="12122" spans="5:5" x14ac:dyDescent="0.25">
      <c r="E12122"/>
    </row>
    <row r="12123" spans="5:5" x14ac:dyDescent="0.25">
      <c r="E12123"/>
    </row>
    <row r="12124" spans="5:5" x14ac:dyDescent="0.25">
      <c r="E12124"/>
    </row>
    <row r="12125" spans="5:5" x14ac:dyDescent="0.25">
      <c r="E12125"/>
    </row>
    <row r="12126" spans="5:5" x14ac:dyDescent="0.25">
      <c r="E12126"/>
    </row>
    <row r="12127" spans="5:5" x14ac:dyDescent="0.25">
      <c r="E12127"/>
    </row>
    <row r="12128" spans="5:5" x14ac:dyDescent="0.25">
      <c r="E12128"/>
    </row>
    <row r="12129" spans="5:5" x14ac:dyDescent="0.25">
      <c r="E12129"/>
    </row>
    <row r="12130" spans="5:5" x14ac:dyDescent="0.25">
      <c r="E12130"/>
    </row>
    <row r="12131" spans="5:5" x14ac:dyDescent="0.25">
      <c r="E12131"/>
    </row>
    <row r="12132" spans="5:5" x14ac:dyDescent="0.25">
      <c r="E12132"/>
    </row>
    <row r="12133" spans="5:5" x14ac:dyDescent="0.25">
      <c r="E12133"/>
    </row>
    <row r="12134" spans="5:5" x14ac:dyDescent="0.25">
      <c r="E12134"/>
    </row>
    <row r="12135" spans="5:5" x14ac:dyDescent="0.25">
      <c r="E12135"/>
    </row>
    <row r="12136" spans="5:5" x14ac:dyDescent="0.25">
      <c r="E12136"/>
    </row>
    <row r="12137" spans="5:5" x14ac:dyDescent="0.25">
      <c r="E12137"/>
    </row>
    <row r="12138" spans="5:5" x14ac:dyDescent="0.25">
      <c r="E12138"/>
    </row>
    <row r="12139" spans="5:5" x14ac:dyDescent="0.25">
      <c r="E12139"/>
    </row>
    <row r="12140" spans="5:5" x14ac:dyDescent="0.25">
      <c r="E12140"/>
    </row>
    <row r="12141" spans="5:5" x14ac:dyDescent="0.25">
      <c r="E12141"/>
    </row>
    <row r="12142" spans="5:5" x14ac:dyDescent="0.25">
      <c r="E12142"/>
    </row>
    <row r="12143" spans="5:5" x14ac:dyDescent="0.25">
      <c r="E12143"/>
    </row>
    <row r="12144" spans="5:5" x14ac:dyDescent="0.25">
      <c r="E12144"/>
    </row>
    <row r="12145" spans="5:5" x14ac:dyDescent="0.25">
      <c r="E12145"/>
    </row>
    <row r="12146" spans="5:5" x14ac:dyDescent="0.25">
      <c r="E12146"/>
    </row>
    <row r="12147" spans="5:5" x14ac:dyDescent="0.25">
      <c r="E12147"/>
    </row>
    <row r="12148" spans="5:5" x14ac:dyDescent="0.25">
      <c r="E12148"/>
    </row>
    <row r="12149" spans="5:5" x14ac:dyDescent="0.25">
      <c r="E12149"/>
    </row>
    <row r="12150" spans="5:5" x14ac:dyDescent="0.25">
      <c r="E12150"/>
    </row>
    <row r="12151" spans="5:5" x14ac:dyDescent="0.25">
      <c r="E12151"/>
    </row>
    <row r="12152" spans="5:5" x14ac:dyDescent="0.25">
      <c r="E12152"/>
    </row>
    <row r="12153" spans="5:5" x14ac:dyDescent="0.25">
      <c r="E12153"/>
    </row>
    <row r="12154" spans="5:5" x14ac:dyDescent="0.25">
      <c r="E12154"/>
    </row>
    <row r="12155" spans="5:5" x14ac:dyDescent="0.25">
      <c r="E12155"/>
    </row>
    <row r="12156" spans="5:5" x14ac:dyDescent="0.25">
      <c r="E12156"/>
    </row>
    <row r="12157" spans="5:5" x14ac:dyDescent="0.25">
      <c r="E12157"/>
    </row>
    <row r="12158" spans="5:5" x14ac:dyDescent="0.25">
      <c r="E12158"/>
    </row>
    <row r="12159" spans="5:5" x14ac:dyDescent="0.25">
      <c r="E12159"/>
    </row>
    <row r="12160" spans="5:5" x14ac:dyDescent="0.25">
      <c r="E12160"/>
    </row>
    <row r="12161" spans="5:5" x14ac:dyDescent="0.25">
      <c r="E12161"/>
    </row>
    <row r="12162" spans="5:5" x14ac:dyDescent="0.25">
      <c r="E12162"/>
    </row>
    <row r="12163" spans="5:5" x14ac:dyDescent="0.25">
      <c r="E12163"/>
    </row>
    <row r="12164" spans="5:5" x14ac:dyDescent="0.25">
      <c r="E12164"/>
    </row>
    <row r="12165" spans="5:5" x14ac:dyDescent="0.25">
      <c r="E12165"/>
    </row>
    <row r="12166" spans="5:5" x14ac:dyDescent="0.25">
      <c r="E12166"/>
    </row>
    <row r="12167" spans="5:5" x14ac:dyDescent="0.25">
      <c r="E12167"/>
    </row>
    <row r="12168" spans="5:5" x14ac:dyDescent="0.25">
      <c r="E12168"/>
    </row>
    <row r="12169" spans="5:5" x14ac:dyDescent="0.25">
      <c r="E12169"/>
    </row>
    <row r="12170" spans="5:5" x14ac:dyDescent="0.25">
      <c r="E12170"/>
    </row>
    <row r="12171" spans="5:5" x14ac:dyDescent="0.25">
      <c r="E12171"/>
    </row>
    <row r="12172" spans="5:5" x14ac:dyDescent="0.25">
      <c r="E12172"/>
    </row>
    <row r="12173" spans="5:5" x14ac:dyDescent="0.25">
      <c r="E12173"/>
    </row>
    <row r="12174" spans="5:5" x14ac:dyDescent="0.25">
      <c r="E12174"/>
    </row>
    <row r="12175" spans="5:5" x14ac:dyDescent="0.25">
      <c r="E12175"/>
    </row>
    <row r="12176" spans="5:5" x14ac:dyDescent="0.25">
      <c r="E12176"/>
    </row>
    <row r="12177" spans="5:5" x14ac:dyDescent="0.25">
      <c r="E12177"/>
    </row>
    <row r="12178" spans="5:5" x14ac:dyDescent="0.25">
      <c r="E12178"/>
    </row>
    <row r="12179" spans="5:5" x14ac:dyDescent="0.25">
      <c r="E12179"/>
    </row>
    <row r="12180" spans="5:5" x14ac:dyDescent="0.25">
      <c r="E12180"/>
    </row>
    <row r="12181" spans="5:5" x14ac:dyDescent="0.25">
      <c r="E12181"/>
    </row>
    <row r="12182" spans="5:5" x14ac:dyDescent="0.25">
      <c r="E12182"/>
    </row>
    <row r="12183" spans="5:5" x14ac:dyDescent="0.25">
      <c r="E12183"/>
    </row>
    <row r="12184" spans="5:5" x14ac:dyDescent="0.25">
      <c r="E12184"/>
    </row>
    <row r="12185" spans="5:5" x14ac:dyDescent="0.25">
      <c r="E12185"/>
    </row>
    <row r="12186" spans="5:5" x14ac:dyDescent="0.25">
      <c r="E12186"/>
    </row>
    <row r="12187" spans="5:5" x14ac:dyDescent="0.25">
      <c r="E12187"/>
    </row>
    <row r="12188" spans="5:5" x14ac:dyDescent="0.25">
      <c r="E12188"/>
    </row>
    <row r="12189" spans="5:5" x14ac:dyDescent="0.25">
      <c r="E12189"/>
    </row>
    <row r="12190" spans="5:5" x14ac:dyDescent="0.25">
      <c r="E12190"/>
    </row>
    <row r="12191" spans="5:5" x14ac:dyDescent="0.25">
      <c r="E12191"/>
    </row>
    <row r="12192" spans="5:5" x14ac:dyDescent="0.25">
      <c r="E12192"/>
    </row>
    <row r="12193" spans="5:5" x14ac:dyDescent="0.25">
      <c r="E12193"/>
    </row>
    <row r="12194" spans="5:5" x14ac:dyDescent="0.25">
      <c r="E12194"/>
    </row>
    <row r="12195" spans="5:5" x14ac:dyDescent="0.25">
      <c r="E12195"/>
    </row>
    <row r="12196" spans="5:5" x14ac:dyDescent="0.25">
      <c r="E12196"/>
    </row>
    <row r="12197" spans="5:5" x14ac:dyDescent="0.25">
      <c r="E12197"/>
    </row>
    <row r="12198" spans="5:5" x14ac:dyDescent="0.25">
      <c r="E12198"/>
    </row>
    <row r="12199" spans="5:5" x14ac:dyDescent="0.25">
      <c r="E12199"/>
    </row>
    <row r="12200" spans="5:5" x14ac:dyDescent="0.25">
      <c r="E12200"/>
    </row>
    <row r="12201" spans="5:5" x14ac:dyDescent="0.25">
      <c r="E12201"/>
    </row>
    <row r="12202" spans="5:5" x14ac:dyDescent="0.25">
      <c r="E12202"/>
    </row>
    <row r="12203" spans="5:5" x14ac:dyDescent="0.25">
      <c r="E12203"/>
    </row>
    <row r="12204" spans="5:5" x14ac:dyDescent="0.25">
      <c r="E12204"/>
    </row>
    <row r="12205" spans="5:5" x14ac:dyDescent="0.25">
      <c r="E12205"/>
    </row>
    <row r="12206" spans="5:5" x14ac:dyDescent="0.25">
      <c r="E12206"/>
    </row>
    <row r="12207" spans="5:5" x14ac:dyDescent="0.25">
      <c r="E12207"/>
    </row>
    <row r="12208" spans="5:5" x14ac:dyDescent="0.25">
      <c r="E12208"/>
    </row>
    <row r="12209" spans="5:5" x14ac:dyDescent="0.25">
      <c r="E12209"/>
    </row>
    <row r="12210" spans="5:5" x14ac:dyDescent="0.25">
      <c r="E12210"/>
    </row>
    <row r="12211" spans="5:5" x14ac:dyDescent="0.25">
      <c r="E12211"/>
    </row>
    <row r="12212" spans="5:5" x14ac:dyDescent="0.25">
      <c r="E12212"/>
    </row>
    <row r="12213" spans="5:5" x14ac:dyDescent="0.25">
      <c r="E12213"/>
    </row>
    <row r="12214" spans="5:5" x14ac:dyDescent="0.25">
      <c r="E12214"/>
    </row>
    <row r="12215" spans="5:5" x14ac:dyDescent="0.25">
      <c r="E12215"/>
    </row>
    <row r="12216" spans="5:5" x14ac:dyDescent="0.25">
      <c r="E12216"/>
    </row>
    <row r="12217" spans="5:5" x14ac:dyDescent="0.25">
      <c r="E12217"/>
    </row>
    <row r="12218" spans="5:5" x14ac:dyDescent="0.25">
      <c r="E12218"/>
    </row>
    <row r="12219" spans="5:5" x14ac:dyDescent="0.25">
      <c r="E12219"/>
    </row>
    <row r="12220" spans="5:5" x14ac:dyDescent="0.25">
      <c r="E12220"/>
    </row>
    <row r="12221" spans="5:5" x14ac:dyDescent="0.25">
      <c r="E12221"/>
    </row>
    <row r="12222" spans="5:5" x14ac:dyDescent="0.25">
      <c r="E12222"/>
    </row>
    <row r="12223" spans="5:5" x14ac:dyDescent="0.25">
      <c r="E12223"/>
    </row>
    <row r="12224" spans="5:5" x14ac:dyDescent="0.25">
      <c r="E12224"/>
    </row>
    <row r="12225" spans="5:5" x14ac:dyDescent="0.25">
      <c r="E12225"/>
    </row>
    <row r="12226" spans="5:5" x14ac:dyDescent="0.25">
      <c r="E12226"/>
    </row>
    <row r="12227" spans="5:5" x14ac:dyDescent="0.25">
      <c r="E12227"/>
    </row>
    <row r="12228" spans="5:5" x14ac:dyDescent="0.25">
      <c r="E12228"/>
    </row>
    <row r="12229" spans="5:5" x14ac:dyDescent="0.25">
      <c r="E12229"/>
    </row>
    <row r="12230" spans="5:5" x14ac:dyDescent="0.25">
      <c r="E12230"/>
    </row>
    <row r="12231" spans="5:5" x14ac:dyDescent="0.25">
      <c r="E12231"/>
    </row>
    <row r="12232" spans="5:5" x14ac:dyDescent="0.25">
      <c r="E12232"/>
    </row>
    <row r="12233" spans="5:5" x14ac:dyDescent="0.25">
      <c r="E12233"/>
    </row>
    <row r="12234" spans="5:5" x14ac:dyDescent="0.25">
      <c r="E12234"/>
    </row>
    <row r="12235" spans="5:5" x14ac:dyDescent="0.25">
      <c r="E12235"/>
    </row>
    <row r="12236" spans="5:5" x14ac:dyDescent="0.25">
      <c r="E12236"/>
    </row>
    <row r="12237" spans="5:5" x14ac:dyDescent="0.25">
      <c r="E12237"/>
    </row>
    <row r="12238" spans="5:5" x14ac:dyDescent="0.25">
      <c r="E12238"/>
    </row>
    <row r="12239" spans="5:5" x14ac:dyDescent="0.25">
      <c r="E12239"/>
    </row>
    <row r="12240" spans="5:5" x14ac:dyDescent="0.25">
      <c r="E12240"/>
    </row>
    <row r="12241" spans="5:5" x14ac:dyDescent="0.25">
      <c r="E12241"/>
    </row>
    <row r="12242" spans="5:5" x14ac:dyDescent="0.25">
      <c r="E12242"/>
    </row>
    <row r="12243" spans="5:5" x14ac:dyDescent="0.25">
      <c r="E12243"/>
    </row>
    <row r="12244" spans="5:5" x14ac:dyDescent="0.25">
      <c r="E12244"/>
    </row>
    <row r="12245" spans="5:5" x14ac:dyDescent="0.25">
      <c r="E12245"/>
    </row>
    <row r="12246" spans="5:5" x14ac:dyDescent="0.25">
      <c r="E12246"/>
    </row>
    <row r="12247" spans="5:5" x14ac:dyDescent="0.25">
      <c r="E12247"/>
    </row>
    <row r="12248" spans="5:5" x14ac:dyDescent="0.25">
      <c r="E12248"/>
    </row>
    <row r="12249" spans="5:5" x14ac:dyDescent="0.25">
      <c r="E12249"/>
    </row>
    <row r="12250" spans="5:5" x14ac:dyDescent="0.25">
      <c r="E12250"/>
    </row>
    <row r="12251" spans="5:5" x14ac:dyDescent="0.25">
      <c r="E12251"/>
    </row>
    <row r="12252" spans="5:5" x14ac:dyDescent="0.25">
      <c r="E12252"/>
    </row>
    <row r="12253" spans="5:5" x14ac:dyDescent="0.25">
      <c r="E12253"/>
    </row>
    <row r="12254" spans="5:5" x14ac:dyDescent="0.25">
      <c r="E12254"/>
    </row>
    <row r="12255" spans="5:5" x14ac:dyDescent="0.25">
      <c r="E12255"/>
    </row>
    <row r="12256" spans="5:5" x14ac:dyDescent="0.25">
      <c r="E12256"/>
    </row>
    <row r="12257" spans="5:5" x14ac:dyDescent="0.25">
      <c r="E12257"/>
    </row>
    <row r="12258" spans="5:5" x14ac:dyDescent="0.25">
      <c r="E12258"/>
    </row>
    <row r="12259" spans="5:5" x14ac:dyDescent="0.25">
      <c r="E12259"/>
    </row>
    <row r="12260" spans="5:5" x14ac:dyDescent="0.25">
      <c r="E12260"/>
    </row>
    <row r="12261" spans="5:5" x14ac:dyDescent="0.25">
      <c r="E12261"/>
    </row>
    <row r="12262" spans="5:5" x14ac:dyDescent="0.25">
      <c r="E12262"/>
    </row>
    <row r="12263" spans="5:5" x14ac:dyDescent="0.25">
      <c r="E12263"/>
    </row>
    <row r="12264" spans="5:5" x14ac:dyDescent="0.25">
      <c r="E12264"/>
    </row>
    <row r="12265" spans="5:5" x14ac:dyDescent="0.25">
      <c r="E12265"/>
    </row>
    <row r="12266" spans="5:5" x14ac:dyDescent="0.25">
      <c r="E12266"/>
    </row>
    <row r="12267" spans="5:5" x14ac:dyDescent="0.25">
      <c r="E12267"/>
    </row>
    <row r="12268" spans="5:5" x14ac:dyDescent="0.25">
      <c r="E12268"/>
    </row>
    <row r="12269" spans="5:5" x14ac:dyDescent="0.25">
      <c r="E12269"/>
    </row>
    <row r="12270" spans="5:5" x14ac:dyDescent="0.25">
      <c r="E12270"/>
    </row>
    <row r="12271" spans="5:5" x14ac:dyDescent="0.25">
      <c r="E12271"/>
    </row>
    <row r="12272" spans="5:5" x14ac:dyDescent="0.25">
      <c r="E12272"/>
    </row>
    <row r="12273" spans="5:5" x14ac:dyDescent="0.25">
      <c r="E12273"/>
    </row>
    <row r="12274" spans="5:5" x14ac:dyDescent="0.25">
      <c r="E12274"/>
    </row>
    <row r="12275" spans="5:5" x14ac:dyDescent="0.25">
      <c r="E12275"/>
    </row>
    <row r="12276" spans="5:5" x14ac:dyDescent="0.25">
      <c r="E12276"/>
    </row>
    <row r="12277" spans="5:5" x14ac:dyDescent="0.25">
      <c r="E12277"/>
    </row>
    <row r="12278" spans="5:5" x14ac:dyDescent="0.25">
      <c r="E12278"/>
    </row>
    <row r="12279" spans="5:5" x14ac:dyDescent="0.25">
      <c r="E12279"/>
    </row>
    <row r="12280" spans="5:5" x14ac:dyDescent="0.25">
      <c r="E12280"/>
    </row>
    <row r="12281" spans="5:5" x14ac:dyDescent="0.25">
      <c r="E12281"/>
    </row>
    <row r="12282" spans="5:5" x14ac:dyDescent="0.25">
      <c r="E12282"/>
    </row>
    <row r="12283" spans="5:5" x14ac:dyDescent="0.25">
      <c r="E12283"/>
    </row>
    <row r="12284" spans="5:5" x14ac:dyDescent="0.25">
      <c r="E12284"/>
    </row>
    <row r="12285" spans="5:5" x14ac:dyDescent="0.25">
      <c r="E12285"/>
    </row>
    <row r="12286" spans="5:5" x14ac:dyDescent="0.25">
      <c r="E12286"/>
    </row>
    <row r="12287" spans="5:5" x14ac:dyDescent="0.25">
      <c r="E12287"/>
    </row>
    <row r="12288" spans="5:5" x14ac:dyDescent="0.25">
      <c r="E12288"/>
    </row>
    <row r="12289" spans="5:5" x14ac:dyDescent="0.25">
      <c r="E12289"/>
    </row>
    <row r="12290" spans="5:5" x14ac:dyDescent="0.25">
      <c r="E12290"/>
    </row>
    <row r="12291" spans="5:5" x14ac:dyDescent="0.25">
      <c r="E12291"/>
    </row>
    <row r="12292" spans="5:5" x14ac:dyDescent="0.25">
      <c r="E12292"/>
    </row>
    <row r="12293" spans="5:5" x14ac:dyDescent="0.25">
      <c r="E12293"/>
    </row>
    <row r="12294" spans="5:5" x14ac:dyDescent="0.25">
      <c r="E12294"/>
    </row>
    <row r="12295" spans="5:5" x14ac:dyDescent="0.25">
      <c r="E12295"/>
    </row>
    <row r="12296" spans="5:5" x14ac:dyDescent="0.25">
      <c r="E12296"/>
    </row>
    <row r="12297" spans="5:5" x14ac:dyDescent="0.25">
      <c r="E12297"/>
    </row>
    <row r="12298" spans="5:5" x14ac:dyDescent="0.25">
      <c r="E12298"/>
    </row>
    <row r="12299" spans="5:5" x14ac:dyDescent="0.25">
      <c r="E12299"/>
    </row>
    <row r="12300" spans="5:5" x14ac:dyDescent="0.25">
      <c r="E12300"/>
    </row>
    <row r="12301" spans="5:5" x14ac:dyDescent="0.25">
      <c r="E12301"/>
    </row>
    <row r="12302" spans="5:5" x14ac:dyDescent="0.25">
      <c r="E12302"/>
    </row>
    <row r="12303" spans="5:5" x14ac:dyDescent="0.25">
      <c r="E12303"/>
    </row>
    <row r="12304" spans="5:5" x14ac:dyDescent="0.25">
      <c r="E12304"/>
    </row>
    <row r="12305" spans="5:5" x14ac:dyDescent="0.25">
      <c r="E12305"/>
    </row>
    <row r="12306" spans="5:5" x14ac:dyDescent="0.25">
      <c r="E12306"/>
    </row>
    <row r="12307" spans="5:5" x14ac:dyDescent="0.25">
      <c r="E12307"/>
    </row>
    <row r="12308" spans="5:5" x14ac:dyDescent="0.25">
      <c r="E12308"/>
    </row>
    <row r="12309" spans="5:5" x14ac:dyDescent="0.25">
      <c r="E12309"/>
    </row>
    <row r="12310" spans="5:5" x14ac:dyDescent="0.25">
      <c r="E12310"/>
    </row>
    <row r="12311" spans="5:5" x14ac:dyDescent="0.25">
      <c r="E12311"/>
    </row>
    <row r="12312" spans="5:5" x14ac:dyDescent="0.25">
      <c r="E12312"/>
    </row>
    <row r="12313" spans="5:5" x14ac:dyDescent="0.25">
      <c r="E12313"/>
    </row>
    <row r="12314" spans="5:5" x14ac:dyDescent="0.25">
      <c r="E12314"/>
    </row>
    <row r="12315" spans="5:5" x14ac:dyDescent="0.25">
      <c r="E12315"/>
    </row>
    <row r="12316" spans="5:5" x14ac:dyDescent="0.25">
      <c r="E12316"/>
    </row>
    <row r="12317" spans="5:5" x14ac:dyDescent="0.25">
      <c r="E12317"/>
    </row>
    <row r="12318" spans="5:5" x14ac:dyDescent="0.25">
      <c r="E12318"/>
    </row>
    <row r="12319" spans="5:5" x14ac:dyDescent="0.25">
      <c r="E12319"/>
    </row>
    <row r="12320" spans="5:5" x14ac:dyDescent="0.25">
      <c r="E12320"/>
    </row>
    <row r="12321" spans="5:5" x14ac:dyDescent="0.25">
      <c r="E12321"/>
    </row>
    <row r="12322" spans="5:5" x14ac:dyDescent="0.25">
      <c r="E12322"/>
    </row>
    <row r="12323" spans="5:5" x14ac:dyDescent="0.25">
      <c r="E12323"/>
    </row>
    <row r="12324" spans="5:5" x14ac:dyDescent="0.25">
      <c r="E12324"/>
    </row>
    <row r="12325" spans="5:5" x14ac:dyDescent="0.25">
      <c r="E12325"/>
    </row>
    <row r="12326" spans="5:5" x14ac:dyDescent="0.25">
      <c r="E12326"/>
    </row>
    <row r="12327" spans="5:5" x14ac:dyDescent="0.25">
      <c r="E12327"/>
    </row>
    <row r="12328" spans="5:5" x14ac:dyDescent="0.25">
      <c r="E12328"/>
    </row>
    <row r="12329" spans="5:5" x14ac:dyDescent="0.25">
      <c r="E12329"/>
    </row>
    <row r="12330" spans="5:5" x14ac:dyDescent="0.25">
      <c r="E12330"/>
    </row>
    <row r="12331" spans="5:5" x14ac:dyDescent="0.25">
      <c r="E12331"/>
    </row>
    <row r="12332" spans="5:5" x14ac:dyDescent="0.25">
      <c r="E12332"/>
    </row>
    <row r="12333" spans="5:5" x14ac:dyDescent="0.25">
      <c r="E12333"/>
    </row>
    <row r="12334" spans="5:5" x14ac:dyDescent="0.25">
      <c r="E12334"/>
    </row>
    <row r="12335" spans="5:5" x14ac:dyDescent="0.25">
      <c r="E12335"/>
    </row>
    <row r="12336" spans="5:5" x14ac:dyDescent="0.25">
      <c r="E12336"/>
    </row>
    <row r="12337" spans="5:5" x14ac:dyDescent="0.25">
      <c r="E12337"/>
    </row>
    <row r="12338" spans="5:5" x14ac:dyDescent="0.25">
      <c r="E12338"/>
    </row>
    <row r="12339" spans="5:5" x14ac:dyDescent="0.25">
      <c r="E12339"/>
    </row>
    <row r="12340" spans="5:5" x14ac:dyDescent="0.25">
      <c r="E12340"/>
    </row>
    <row r="12341" spans="5:5" x14ac:dyDescent="0.25">
      <c r="E12341"/>
    </row>
    <row r="12342" spans="5:5" x14ac:dyDescent="0.25">
      <c r="E12342"/>
    </row>
    <row r="12343" spans="5:5" x14ac:dyDescent="0.25">
      <c r="E12343"/>
    </row>
    <row r="12344" spans="5:5" x14ac:dyDescent="0.25">
      <c r="E12344"/>
    </row>
    <row r="12345" spans="5:5" x14ac:dyDescent="0.25">
      <c r="E12345"/>
    </row>
    <row r="12346" spans="5:5" x14ac:dyDescent="0.25">
      <c r="E12346"/>
    </row>
    <row r="12347" spans="5:5" x14ac:dyDescent="0.25">
      <c r="E12347"/>
    </row>
    <row r="12348" spans="5:5" x14ac:dyDescent="0.25">
      <c r="E12348"/>
    </row>
    <row r="12349" spans="5:5" x14ac:dyDescent="0.25">
      <c r="E12349"/>
    </row>
    <row r="12350" spans="5:5" x14ac:dyDescent="0.25">
      <c r="E12350"/>
    </row>
    <row r="12351" spans="5:5" x14ac:dyDescent="0.25">
      <c r="E12351"/>
    </row>
    <row r="12352" spans="5:5" x14ac:dyDescent="0.25">
      <c r="E12352"/>
    </row>
    <row r="12353" spans="5:5" x14ac:dyDescent="0.25">
      <c r="E12353"/>
    </row>
    <row r="12354" spans="5:5" x14ac:dyDescent="0.25">
      <c r="E12354"/>
    </row>
    <row r="12355" spans="5:5" x14ac:dyDescent="0.25">
      <c r="E12355"/>
    </row>
    <row r="12356" spans="5:5" x14ac:dyDescent="0.25">
      <c r="E12356"/>
    </row>
    <row r="12357" spans="5:5" x14ac:dyDescent="0.25">
      <c r="E12357"/>
    </row>
    <row r="12358" spans="5:5" x14ac:dyDescent="0.25">
      <c r="E12358"/>
    </row>
    <row r="12359" spans="5:5" x14ac:dyDescent="0.25">
      <c r="E12359"/>
    </row>
    <row r="12360" spans="5:5" x14ac:dyDescent="0.25">
      <c r="E12360"/>
    </row>
    <row r="12361" spans="5:5" x14ac:dyDescent="0.25">
      <c r="E12361"/>
    </row>
    <row r="12362" spans="5:5" x14ac:dyDescent="0.25">
      <c r="E12362"/>
    </row>
    <row r="12363" spans="5:5" x14ac:dyDescent="0.25">
      <c r="E12363"/>
    </row>
    <row r="12364" spans="5:5" x14ac:dyDescent="0.25">
      <c r="E12364"/>
    </row>
    <row r="12365" spans="5:5" x14ac:dyDescent="0.25">
      <c r="E12365"/>
    </row>
    <row r="12366" spans="5:5" x14ac:dyDescent="0.25">
      <c r="E12366"/>
    </row>
    <row r="12367" spans="5:5" x14ac:dyDescent="0.25">
      <c r="E12367"/>
    </row>
    <row r="12368" spans="5:5" x14ac:dyDescent="0.25">
      <c r="E12368"/>
    </row>
    <row r="12369" spans="5:5" x14ac:dyDescent="0.25">
      <c r="E12369"/>
    </row>
    <row r="12370" spans="5:5" x14ac:dyDescent="0.25">
      <c r="E12370"/>
    </row>
    <row r="12371" spans="5:5" x14ac:dyDescent="0.25">
      <c r="E12371"/>
    </row>
    <row r="12372" spans="5:5" x14ac:dyDescent="0.25">
      <c r="E12372"/>
    </row>
    <row r="12373" spans="5:5" x14ac:dyDescent="0.25">
      <c r="E12373"/>
    </row>
    <row r="12374" spans="5:5" x14ac:dyDescent="0.25">
      <c r="E12374"/>
    </row>
    <row r="12375" spans="5:5" x14ac:dyDescent="0.25">
      <c r="E12375"/>
    </row>
    <row r="12376" spans="5:5" x14ac:dyDescent="0.25">
      <c r="E12376"/>
    </row>
    <row r="12377" spans="5:5" x14ac:dyDescent="0.25">
      <c r="E12377"/>
    </row>
    <row r="12378" spans="5:5" x14ac:dyDescent="0.25">
      <c r="E12378"/>
    </row>
    <row r="12379" spans="5:5" x14ac:dyDescent="0.25">
      <c r="E12379"/>
    </row>
    <row r="12380" spans="5:5" x14ac:dyDescent="0.25">
      <c r="E12380"/>
    </row>
    <row r="12381" spans="5:5" x14ac:dyDescent="0.25">
      <c r="E12381"/>
    </row>
    <row r="12382" spans="5:5" x14ac:dyDescent="0.25">
      <c r="E12382"/>
    </row>
    <row r="12383" spans="5:5" x14ac:dyDescent="0.25">
      <c r="E12383"/>
    </row>
    <row r="12384" spans="5:5" x14ac:dyDescent="0.25">
      <c r="E12384"/>
    </row>
    <row r="12385" spans="5:5" x14ac:dyDescent="0.25">
      <c r="E12385"/>
    </row>
    <row r="12386" spans="5:5" x14ac:dyDescent="0.25">
      <c r="E12386"/>
    </row>
    <row r="12387" spans="5:5" x14ac:dyDescent="0.25">
      <c r="E12387"/>
    </row>
    <row r="12388" spans="5:5" x14ac:dyDescent="0.25">
      <c r="E12388"/>
    </row>
    <row r="12389" spans="5:5" x14ac:dyDescent="0.25">
      <c r="E12389"/>
    </row>
    <row r="12390" spans="5:5" x14ac:dyDescent="0.25">
      <c r="E12390"/>
    </row>
    <row r="12391" spans="5:5" x14ac:dyDescent="0.25">
      <c r="E12391"/>
    </row>
    <row r="12392" spans="5:5" x14ac:dyDescent="0.25">
      <c r="E12392"/>
    </row>
    <row r="12393" spans="5:5" x14ac:dyDescent="0.25">
      <c r="E12393"/>
    </row>
    <row r="12394" spans="5:5" x14ac:dyDescent="0.25">
      <c r="E12394"/>
    </row>
    <row r="12395" spans="5:5" x14ac:dyDescent="0.25">
      <c r="E12395"/>
    </row>
    <row r="12396" spans="5:5" x14ac:dyDescent="0.25">
      <c r="E12396"/>
    </row>
    <row r="12397" spans="5:5" x14ac:dyDescent="0.25">
      <c r="E12397"/>
    </row>
    <row r="12398" spans="5:5" x14ac:dyDescent="0.25">
      <c r="E12398"/>
    </row>
    <row r="12399" spans="5:5" x14ac:dyDescent="0.25">
      <c r="E12399"/>
    </row>
    <row r="12400" spans="5:5" x14ac:dyDescent="0.25">
      <c r="E12400"/>
    </row>
    <row r="12401" spans="5:5" x14ac:dyDescent="0.25">
      <c r="E12401"/>
    </row>
    <row r="12402" spans="5:5" x14ac:dyDescent="0.25">
      <c r="E12402"/>
    </row>
    <row r="12403" spans="5:5" x14ac:dyDescent="0.25">
      <c r="E12403"/>
    </row>
    <row r="12404" spans="5:5" x14ac:dyDescent="0.25">
      <c r="E12404"/>
    </row>
    <row r="12405" spans="5:5" x14ac:dyDescent="0.25">
      <c r="E12405"/>
    </row>
    <row r="12406" spans="5:5" x14ac:dyDescent="0.25">
      <c r="E12406"/>
    </row>
    <row r="12407" spans="5:5" x14ac:dyDescent="0.25">
      <c r="E12407"/>
    </row>
    <row r="12408" spans="5:5" x14ac:dyDescent="0.25">
      <c r="E12408"/>
    </row>
    <row r="12409" spans="5:5" x14ac:dyDescent="0.25">
      <c r="E12409"/>
    </row>
    <row r="12410" spans="5:5" x14ac:dyDescent="0.25">
      <c r="E12410"/>
    </row>
    <row r="12411" spans="5:5" x14ac:dyDescent="0.25">
      <c r="E12411"/>
    </row>
    <row r="12412" spans="5:5" x14ac:dyDescent="0.25">
      <c r="E12412"/>
    </row>
    <row r="12413" spans="5:5" x14ac:dyDescent="0.25">
      <c r="E12413"/>
    </row>
    <row r="12414" spans="5:5" x14ac:dyDescent="0.25">
      <c r="E12414"/>
    </row>
    <row r="12415" spans="5:5" x14ac:dyDescent="0.25">
      <c r="E12415"/>
    </row>
    <row r="12416" spans="5:5" x14ac:dyDescent="0.25">
      <c r="E12416"/>
    </row>
    <row r="12417" spans="5:5" x14ac:dyDescent="0.25">
      <c r="E12417"/>
    </row>
    <row r="12418" spans="5:5" x14ac:dyDescent="0.25">
      <c r="E12418"/>
    </row>
    <row r="12419" spans="5:5" x14ac:dyDescent="0.25">
      <c r="E12419"/>
    </row>
    <row r="12420" spans="5:5" x14ac:dyDescent="0.25">
      <c r="E12420"/>
    </row>
    <row r="12421" spans="5:5" x14ac:dyDescent="0.25">
      <c r="E12421"/>
    </row>
    <row r="12422" spans="5:5" x14ac:dyDescent="0.25">
      <c r="E12422"/>
    </row>
    <row r="12423" spans="5:5" x14ac:dyDescent="0.25">
      <c r="E12423"/>
    </row>
    <row r="12424" spans="5:5" x14ac:dyDescent="0.25">
      <c r="E12424"/>
    </row>
    <row r="12425" spans="5:5" x14ac:dyDescent="0.25">
      <c r="E12425"/>
    </row>
    <row r="12426" spans="5:5" x14ac:dyDescent="0.25">
      <c r="E12426"/>
    </row>
    <row r="12427" spans="5:5" x14ac:dyDescent="0.25">
      <c r="E12427"/>
    </row>
    <row r="12428" spans="5:5" x14ac:dyDescent="0.25">
      <c r="E12428"/>
    </row>
    <row r="12429" spans="5:5" x14ac:dyDescent="0.25">
      <c r="E12429"/>
    </row>
    <row r="12430" spans="5:5" x14ac:dyDescent="0.25">
      <c r="E12430"/>
    </row>
    <row r="12431" spans="5:5" x14ac:dyDescent="0.25">
      <c r="E12431"/>
    </row>
    <row r="12432" spans="5:5" x14ac:dyDescent="0.25">
      <c r="E12432"/>
    </row>
    <row r="12433" spans="5:5" x14ac:dyDescent="0.25">
      <c r="E12433"/>
    </row>
    <row r="12434" spans="5:5" x14ac:dyDescent="0.25">
      <c r="E12434"/>
    </row>
    <row r="12435" spans="5:5" x14ac:dyDescent="0.25">
      <c r="E12435"/>
    </row>
    <row r="12436" spans="5:5" x14ac:dyDescent="0.25">
      <c r="E12436"/>
    </row>
    <row r="12437" spans="5:5" x14ac:dyDescent="0.25">
      <c r="E12437"/>
    </row>
    <row r="12438" spans="5:5" x14ac:dyDescent="0.25">
      <c r="E12438"/>
    </row>
    <row r="12439" spans="5:5" x14ac:dyDescent="0.25">
      <c r="E12439"/>
    </row>
    <row r="12440" spans="5:5" x14ac:dyDescent="0.25">
      <c r="E12440"/>
    </row>
    <row r="12441" spans="5:5" x14ac:dyDescent="0.25">
      <c r="E12441"/>
    </row>
    <row r="12442" spans="5:5" x14ac:dyDescent="0.25">
      <c r="E12442"/>
    </row>
    <row r="12443" spans="5:5" x14ac:dyDescent="0.25">
      <c r="E12443"/>
    </row>
    <row r="12444" spans="5:5" x14ac:dyDescent="0.25">
      <c r="E12444"/>
    </row>
    <row r="12445" spans="5:5" x14ac:dyDescent="0.25">
      <c r="E12445"/>
    </row>
    <row r="12446" spans="5:5" x14ac:dyDescent="0.25">
      <c r="E12446"/>
    </row>
    <row r="12447" spans="5:5" x14ac:dyDescent="0.25">
      <c r="E12447"/>
    </row>
    <row r="12448" spans="5:5" x14ac:dyDescent="0.25">
      <c r="E12448"/>
    </row>
    <row r="12449" spans="5:5" x14ac:dyDescent="0.25">
      <c r="E12449"/>
    </row>
    <row r="12450" spans="5:5" x14ac:dyDescent="0.25">
      <c r="E12450"/>
    </row>
    <row r="12451" spans="5:5" x14ac:dyDescent="0.25">
      <c r="E12451"/>
    </row>
    <row r="12452" spans="5:5" x14ac:dyDescent="0.25">
      <c r="E12452"/>
    </row>
    <row r="12453" spans="5:5" x14ac:dyDescent="0.25">
      <c r="E12453"/>
    </row>
    <row r="12454" spans="5:5" x14ac:dyDescent="0.25">
      <c r="E12454"/>
    </row>
    <row r="12455" spans="5:5" x14ac:dyDescent="0.25">
      <c r="E12455"/>
    </row>
    <row r="12456" spans="5:5" x14ac:dyDescent="0.25">
      <c r="E12456"/>
    </row>
    <row r="12457" spans="5:5" x14ac:dyDescent="0.25">
      <c r="E12457"/>
    </row>
    <row r="12458" spans="5:5" x14ac:dyDescent="0.25">
      <c r="E12458"/>
    </row>
    <row r="12459" spans="5:5" x14ac:dyDescent="0.25">
      <c r="E12459"/>
    </row>
    <row r="12460" spans="5:5" x14ac:dyDescent="0.25">
      <c r="E12460"/>
    </row>
    <row r="12461" spans="5:5" x14ac:dyDescent="0.25">
      <c r="E12461"/>
    </row>
    <row r="12462" spans="5:5" x14ac:dyDescent="0.25">
      <c r="E12462"/>
    </row>
    <row r="12463" spans="5:5" x14ac:dyDescent="0.25">
      <c r="E12463"/>
    </row>
    <row r="12464" spans="5:5" x14ac:dyDescent="0.25">
      <c r="E12464"/>
    </row>
    <row r="12465" spans="5:5" x14ac:dyDescent="0.25">
      <c r="E12465"/>
    </row>
    <row r="12466" spans="5:5" x14ac:dyDescent="0.25">
      <c r="E12466"/>
    </row>
    <row r="12467" spans="5:5" x14ac:dyDescent="0.25">
      <c r="E12467"/>
    </row>
    <row r="12468" spans="5:5" x14ac:dyDescent="0.25">
      <c r="E12468"/>
    </row>
    <row r="12469" spans="5:5" x14ac:dyDescent="0.25">
      <c r="E12469"/>
    </row>
    <row r="12470" spans="5:5" x14ac:dyDescent="0.25">
      <c r="E12470"/>
    </row>
    <row r="12471" spans="5:5" x14ac:dyDescent="0.25">
      <c r="E12471"/>
    </row>
    <row r="12472" spans="5:5" x14ac:dyDescent="0.25">
      <c r="E12472"/>
    </row>
    <row r="12473" spans="5:5" x14ac:dyDescent="0.25">
      <c r="E12473"/>
    </row>
    <row r="12474" spans="5:5" x14ac:dyDescent="0.25">
      <c r="E12474"/>
    </row>
    <row r="12475" spans="5:5" x14ac:dyDescent="0.25">
      <c r="E12475"/>
    </row>
    <row r="12476" spans="5:5" x14ac:dyDescent="0.25">
      <c r="E12476"/>
    </row>
    <row r="12477" spans="5:5" x14ac:dyDescent="0.25">
      <c r="E12477"/>
    </row>
    <row r="12478" spans="5:5" x14ac:dyDescent="0.25">
      <c r="E12478"/>
    </row>
    <row r="12479" spans="5:5" x14ac:dyDescent="0.25">
      <c r="E12479"/>
    </row>
    <row r="12480" spans="5:5" x14ac:dyDescent="0.25">
      <c r="E12480"/>
    </row>
    <row r="12481" spans="5:5" x14ac:dyDescent="0.25">
      <c r="E12481"/>
    </row>
    <row r="12482" spans="5:5" x14ac:dyDescent="0.25">
      <c r="E12482"/>
    </row>
    <row r="12483" spans="5:5" x14ac:dyDescent="0.25">
      <c r="E12483"/>
    </row>
    <row r="12484" spans="5:5" x14ac:dyDescent="0.25">
      <c r="E12484"/>
    </row>
    <row r="12485" spans="5:5" x14ac:dyDescent="0.25">
      <c r="E12485"/>
    </row>
    <row r="12486" spans="5:5" x14ac:dyDescent="0.25">
      <c r="E12486"/>
    </row>
    <row r="12487" spans="5:5" x14ac:dyDescent="0.25">
      <c r="E12487"/>
    </row>
    <row r="12488" spans="5:5" x14ac:dyDescent="0.25">
      <c r="E12488"/>
    </row>
    <row r="12489" spans="5:5" x14ac:dyDescent="0.25">
      <c r="E12489"/>
    </row>
    <row r="12490" spans="5:5" x14ac:dyDescent="0.25">
      <c r="E12490"/>
    </row>
    <row r="12491" spans="5:5" x14ac:dyDescent="0.25">
      <c r="E12491"/>
    </row>
    <row r="12492" spans="5:5" x14ac:dyDescent="0.25">
      <c r="E12492"/>
    </row>
    <row r="12493" spans="5:5" x14ac:dyDescent="0.25">
      <c r="E12493"/>
    </row>
    <row r="12494" spans="5:5" x14ac:dyDescent="0.25">
      <c r="E12494"/>
    </row>
    <row r="12495" spans="5:5" x14ac:dyDescent="0.25">
      <c r="E12495"/>
    </row>
    <row r="12496" spans="5:5" x14ac:dyDescent="0.25">
      <c r="E12496"/>
    </row>
    <row r="12497" spans="5:5" x14ac:dyDescent="0.25">
      <c r="E12497"/>
    </row>
    <row r="12498" spans="5:5" x14ac:dyDescent="0.25">
      <c r="E12498"/>
    </row>
    <row r="12499" spans="5:5" x14ac:dyDescent="0.25">
      <c r="E12499"/>
    </row>
    <row r="12500" spans="5:5" x14ac:dyDescent="0.25">
      <c r="E12500"/>
    </row>
    <row r="12501" spans="5:5" x14ac:dyDescent="0.25">
      <c r="E12501"/>
    </row>
    <row r="12502" spans="5:5" x14ac:dyDescent="0.25">
      <c r="E12502"/>
    </row>
    <row r="12503" spans="5:5" x14ac:dyDescent="0.25">
      <c r="E12503"/>
    </row>
    <row r="12504" spans="5:5" x14ac:dyDescent="0.25">
      <c r="E12504"/>
    </row>
    <row r="12505" spans="5:5" x14ac:dyDescent="0.25">
      <c r="E12505"/>
    </row>
    <row r="12506" spans="5:5" x14ac:dyDescent="0.25">
      <c r="E12506"/>
    </row>
    <row r="12507" spans="5:5" x14ac:dyDescent="0.25">
      <c r="E12507"/>
    </row>
    <row r="12508" spans="5:5" x14ac:dyDescent="0.25">
      <c r="E12508"/>
    </row>
    <row r="12509" spans="5:5" x14ac:dyDescent="0.25">
      <c r="E12509"/>
    </row>
    <row r="12510" spans="5:5" x14ac:dyDescent="0.25">
      <c r="E12510"/>
    </row>
    <row r="12511" spans="5:5" x14ac:dyDescent="0.25">
      <c r="E12511"/>
    </row>
    <row r="12512" spans="5:5" x14ac:dyDescent="0.25">
      <c r="E12512"/>
    </row>
    <row r="12513" spans="5:5" x14ac:dyDescent="0.25">
      <c r="E12513"/>
    </row>
    <row r="12514" spans="5:5" x14ac:dyDescent="0.25">
      <c r="E12514"/>
    </row>
    <row r="12515" spans="5:5" x14ac:dyDescent="0.25">
      <c r="E12515"/>
    </row>
    <row r="12516" spans="5:5" x14ac:dyDescent="0.25">
      <c r="E12516"/>
    </row>
    <row r="12517" spans="5:5" x14ac:dyDescent="0.25">
      <c r="E12517"/>
    </row>
    <row r="12518" spans="5:5" x14ac:dyDescent="0.25">
      <c r="E12518"/>
    </row>
    <row r="12519" spans="5:5" x14ac:dyDescent="0.25">
      <c r="E12519"/>
    </row>
    <row r="12520" spans="5:5" x14ac:dyDescent="0.25">
      <c r="E12520"/>
    </row>
    <row r="12521" spans="5:5" x14ac:dyDescent="0.25">
      <c r="E12521"/>
    </row>
    <row r="12522" spans="5:5" x14ac:dyDescent="0.25">
      <c r="E12522"/>
    </row>
    <row r="12523" spans="5:5" x14ac:dyDescent="0.25">
      <c r="E12523"/>
    </row>
    <row r="12524" spans="5:5" x14ac:dyDescent="0.25">
      <c r="E12524"/>
    </row>
    <row r="12525" spans="5:5" x14ac:dyDescent="0.25">
      <c r="E12525"/>
    </row>
    <row r="12526" spans="5:5" x14ac:dyDescent="0.25">
      <c r="E12526"/>
    </row>
    <row r="12527" spans="5:5" x14ac:dyDescent="0.25">
      <c r="E12527"/>
    </row>
    <row r="12528" spans="5:5" x14ac:dyDescent="0.25">
      <c r="E12528"/>
    </row>
    <row r="12529" spans="5:5" x14ac:dyDescent="0.25">
      <c r="E12529"/>
    </row>
    <row r="12530" spans="5:5" x14ac:dyDescent="0.25">
      <c r="E12530"/>
    </row>
    <row r="12531" spans="5:5" x14ac:dyDescent="0.25">
      <c r="E12531"/>
    </row>
    <row r="12532" spans="5:5" x14ac:dyDescent="0.25">
      <c r="E12532"/>
    </row>
    <row r="12533" spans="5:5" x14ac:dyDescent="0.25">
      <c r="E12533"/>
    </row>
    <row r="12534" spans="5:5" x14ac:dyDescent="0.25">
      <c r="E12534"/>
    </row>
    <row r="12535" spans="5:5" x14ac:dyDescent="0.25">
      <c r="E12535"/>
    </row>
    <row r="12536" spans="5:5" x14ac:dyDescent="0.25">
      <c r="E12536"/>
    </row>
    <row r="12537" spans="5:5" x14ac:dyDescent="0.25">
      <c r="E12537"/>
    </row>
    <row r="12538" spans="5:5" x14ac:dyDescent="0.25">
      <c r="E12538"/>
    </row>
    <row r="12539" spans="5:5" x14ac:dyDescent="0.25">
      <c r="E12539"/>
    </row>
    <row r="12540" spans="5:5" x14ac:dyDescent="0.25">
      <c r="E12540"/>
    </row>
    <row r="12541" spans="5:5" x14ac:dyDescent="0.25">
      <c r="E12541"/>
    </row>
    <row r="12542" spans="5:5" x14ac:dyDescent="0.25">
      <c r="E12542"/>
    </row>
    <row r="12543" spans="5:5" x14ac:dyDescent="0.25">
      <c r="E12543"/>
    </row>
    <row r="12544" spans="5:5" x14ac:dyDescent="0.25">
      <c r="E12544"/>
    </row>
    <row r="12545" spans="5:5" x14ac:dyDescent="0.25">
      <c r="E12545"/>
    </row>
    <row r="12546" spans="5:5" x14ac:dyDescent="0.25">
      <c r="E12546"/>
    </row>
    <row r="12547" spans="5:5" x14ac:dyDescent="0.25">
      <c r="E12547"/>
    </row>
    <row r="12548" spans="5:5" x14ac:dyDescent="0.25">
      <c r="E12548"/>
    </row>
    <row r="12549" spans="5:5" x14ac:dyDescent="0.25">
      <c r="E12549"/>
    </row>
    <row r="12550" spans="5:5" x14ac:dyDescent="0.25">
      <c r="E12550"/>
    </row>
    <row r="12551" spans="5:5" x14ac:dyDescent="0.25">
      <c r="E12551"/>
    </row>
    <row r="12552" spans="5:5" x14ac:dyDescent="0.25">
      <c r="E12552"/>
    </row>
    <row r="12553" spans="5:5" x14ac:dyDescent="0.25">
      <c r="E12553"/>
    </row>
    <row r="12554" spans="5:5" x14ac:dyDescent="0.25">
      <c r="E12554"/>
    </row>
    <row r="12555" spans="5:5" x14ac:dyDescent="0.25">
      <c r="E12555"/>
    </row>
    <row r="12556" spans="5:5" x14ac:dyDescent="0.25">
      <c r="E12556"/>
    </row>
    <row r="12557" spans="5:5" x14ac:dyDescent="0.25">
      <c r="E12557"/>
    </row>
    <row r="12558" spans="5:5" x14ac:dyDescent="0.25">
      <c r="E12558"/>
    </row>
    <row r="12559" spans="5:5" x14ac:dyDescent="0.25">
      <c r="E12559"/>
    </row>
    <row r="12560" spans="5:5" x14ac:dyDescent="0.25">
      <c r="E12560"/>
    </row>
    <row r="12561" spans="5:5" x14ac:dyDescent="0.25">
      <c r="E12561"/>
    </row>
    <row r="12562" spans="5:5" x14ac:dyDescent="0.25">
      <c r="E12562"/>
    </row>
    <row r="12563" spans="5:5" x14ac:dyDescent="0.25">
      <c r="E12563"/>
    </row>
    <row r="12564" spans="5:5" x14ac:dyDescent="0.25">
      <c r="E12564"/>
    </row>
    <row r="12565" spans="5:5" x14ac:dyDescent="0.25">
      <c r="E12565"/>
    </row>
    <row r="12566" spans="5:5" x14ac:dyDescent="0.25">
      <c r="E12566"/>
    </row>
    <row r="12567" spans="5:5" x14ac:dyDescent="0.25">
      <c r="E12567"/>
    </row>
    <row r="12568" spans="5:5" x14ac:dyDescent="0.25">
      <c r="E12568"/>
    </row>
    <row r="12569" spans="5:5" x14ac:dyDescent="0.25">
      <c r="E12569"/>
    </row>
    <row r="12570" spans="5:5" x14ac:dyDescent="0.25">
      <c r="E12570"/>
    </row>
    <row r="12571" spans="5:5" x14ac:dyDescent="0.25">
      <c r="E12571"/>
    </row>
    <row r="12572" spans="5:5" x14ac:dyDescent="0.25">
      <c r="E12572"/>
    </row>
    <row r="12573" spans="5:5" x14ac:dyDescent="0.25">
      <c r="E12573"/>
    </row>
    <row r="12574" spans="5:5" x14ac:dyDescent="0.25">
      <c r="E12574"/>
    </row>
    <row r="12575" spans="5:5" x14ac:dyDescent="0.25">
      <c r="E12575"/>
    </row>
    <row r="12576" spans="5:5" x14ac:dyDescent="0.25">
      <c r="E12576"/>
    </row>
    <row r="12577" spans="5:5" x14ac:dyDescent="0.25">
      <c r="E12577"/>
    </row>
    <row r="12578" spans="5:5" x14ac:dyDescent="0.25">
      <c r="E12578"/>
    </row>
    <row r="12579" spans="5:5" x14ac:dyDescent="0.25">
      <c r="E12579"/>
    </row>
    <row r="12580" spans="5:5" x14ac:dyDescent="0.25">
      <c r="E12580"/>
    </row>
    <row r="12581" spans="5:5" x14ac:dyDescent="0.25">
      <c r="E12581"/>
    </row>
    <row r="12582" spans="5:5" x14ac:dyDescent="0.25">
      <c r="E12582"/>
    </row>
    <row r="12583" spans="5:5" x14ac:dyDescent="0.25">
      <c r="E12583"/>
    </row>
    <row r="12584" spans="5:5" x14ac:dyDescent="0.25">
      <c r="E12584"/>
    </row>
    <row r="12585" spans="5:5" x14ac:dyDescent="0.25">
      <c r="E12585"/>
    </row>
    <row r="12586" spans="5:5" x14ac:dyDescent="0.25">
      <c r="E12586"/>
    </row>
    <row r="12587" spans="5:5" x14ac:dyDescent="0.25">
      <c r="E12587"/>
    </row>
    <row r="12588" spans="5:5" x14ac:dyDescent="0.25">
      <c r="E12588"/>
    </row>
    <row r="12589" spans="5:5" x14ac:dyDescent="0.25">
      <c r="E12589"/>
    </row>
    <row r="12590" spans="5:5" x14ac:dyDescent="0.25">
      <c r="E12590"/>
    </row>
    <row r="12591" spans="5:5" x14ac:dyDescent="0.25">
      <c r="E12591"/>
    </row>
    <row r="12592" spans="5:5" x14ac:dyDescent="0.25">
      <c r="E12592"/>
    </row>
    <row r="12593" spans="5:5" x14ac:dyDescent="0.25">
      <c r="E12593"/>
    </row>
    <row r="12594" spans="5:5" x14ac:dyDescent="0.25">
      <c r="E12594"/>
    </row>
    <row r="12595" spans="5:5" x14ac:dyDescent="0.25">
      <c r="E12595"/>
    </row>
    <row r="12596" spans="5:5" x14ac:dyDescent="0.25">
      <c r="E12596"/>
    </row>
    <row r="12597" spans="5:5" x14ac:dyDescent="0.25">
      <c r="E12597"/>
    </row>
    <row r="12598" spans="5:5" x14ac:dyDescent="0.25">
      <c r="E12598"/>
    </row>
    <row r="12599" spans="5:5" x14ac:dyDescent="0.25">
      <c r="E12599"/>
    </row>
    <row r="12600" spans="5:5" x14ac:dyDescent="0.25">
      <c r="E12600"/>
    </row>
    <row r="12601" spans="5:5" x14ac:dyDescent="0.25">
      <c r="E12601"/>
    </row>
    <row r="12602" spans="5:5" x14ac:dyDescent="0.25">
      <c r="E12602"/>
    </row>
    <row r="12603" spans="5:5" x14ac:dyDescent="0.25">
      <c r="E12603"/>
    </row>
    <row r="12604" spans="5:5" x14ac:dyDescent="0.25">
      <c r="E12604"/>
    </row>
    <row r="12605" spans="5:5" x14ac:dyDescent="0.25">
      <c r="E12605"/>
    </row>
    <row r="12606" spans="5:5" x14ac:dyDescent="0.25">
      <c r="E12606"/>
    </row>
    <row r="12607" spans="5:5" x14ac:dyDescent="0.25">
      <c r="E12607"/>
    </row>
    <row r="12608" spans="5:5" x14ac:dyDescent="0.25">
      <c r="E12608"/>
    </row>
    <row r="12609" spans="5:5" x14ac:dyDescent="0.25">
      <c r="E12609"/>
    </row>
    <row r="12610" spans="5:5" x14ac:dyDescent="0.25">
      <c r="E12610"/>
    </row>
    <row r="12611" spans="5:5" x14ac:dyDescent="0.25">
      <c r="E12611"/>
    </row>
    <row r="12612" spans="5:5" x14ac:dyDescent="0.25">
      <c r="E12612"/>
    </row>
    <row r="12613" spans="5:5" x14ac:dyDescent="0.25">
      <c r="E12613"/>
    </row>
    <row r="12614" spans="5:5" x14ac:dyDescent="0.25">
      <c r="E12614"/>
    </row>
    <row r="12615" spans="5:5" x14ac:dyDescent="0.25">
      <c r="E12615"/>
    </row>
    <row r="12616" spans="5:5" x14ac:dyDescent="0.25">
      <c r="E12616"/>
    </row>
    <row r="12617" spans="5:5" x14ac:dyDescent="0.25">
      <c r="E12617"/>
    </row>
    <row r="12618" spans="5:5" x14ac:dyDescent="0.25">
      <c r="E12618"/>
    </row>
    <row r="12619" spans="5:5" x14ac:dyDescent="0.25">
      <c r="E12619"/>
    </row>
    <row r="12620" spans="5:5" x14ac:dyDescent="0.25">
      <c r="E12620"/>
    </row>
    <row r="12621" spans="5:5" x14ac:dyDescent="0.25">
      <c r="E12621"/>
    </row>
    <row r="12622" spans="5:5" x14ac:dyDescent="0.25">
      <c r="E12622"/>
    </row>
    <row r="12623" spans="5:5" x14ac:dyDescent="0.25">
      <c r="E12623"/>
    </row>
    <row r="12624" spans="5:5" x14ac:dyDescent="0.25">
      <c r="E12624"/>
    </row>
    <row r="12625" spans="5:5" x14ac:dyDescent="0.25">
      <c r="E12625"/>
    </row>
    <row r="12626" spans="5:5" x14ac:dyDescent="0.25">
      <c r="E12626"/>
    </row>
    <row r="12627" spans="5:5" x14ac:dyDescent="0.25">
      <c r="E12627"/>
    </row>
    <row r="12628" spans="5:5" x14ac:dyDescent="0.25">
      <c r="E12628"/>
    </row>
    <row r="12629" spans="5:5" x14ac:dyDescent="0.25">
      <c r="E12629"/>
    </row>
    <row r="12630" spans="5:5" x14ac:dyDescent="0.25">
      <c r="E12630"/>
    </row>
    <row r="12631" spans="5:5" x14ac:dyDescent="0.25">
      <c r="E12631"/>
    </row>
    <row r="12632" spans="5:5" x14ac:dyDescent="0.25">
      <c r="E12632"/>
    </row>
    <row r="12633" spans="5:5" x14ac:dyDescent="0.25">
      <c r="E12633"/>
    </row>
    <row r="12634" spans="5:5" x14ac:dyDescent="0.25">
      <c r="E12634"/>
    </row>
    <row r="12635" spans="5:5" x14ac:dyDescent="0.25">
      <c r="E12635"/>
    </row>
    <row r="12636" spans="5:5" x14ac:dyDescent="0.25">
      <c r="E12636"/>
    </row>
    <row r="12637" spans="5:5" x14ac:dyDescent="0.25">
      <c r="E12637"/>
    </row>
    <row r="12638" spans="5:5" x14ac:dyDescent="0.25">
      <c r="E12638"/>
    </row>
    <row r="12639" spans="5:5" x14ac:dyDescent="0.25">
      <c r="E12639"/>
    </row>
    <row r="12640" spans="5:5" x14ac:dyDescent="0.25">
      <c r="E12640"/>
    </row>
    <row r="12641" spans="5:5" x14ac:dyDescent="0.25">
      <c r="E12641"/>
    </row>
    <row r="12642" spans="5:5" x14ac:dyDescent="0.25">
      <c r="E12642"/>
    </row>
    <row r="12643" spans="5:5" x14ac:dyDescent="0.25">
      <c r="E12643"/>
    </row>
    <row r="12644" spans="5:5" x14ac:dyDescent="0.25">
      <c r="E12644"/>
    </row>
    <row r="12645" spans="5:5" x14ac:dyDescent="0.25">
      <c r="E12645"/>
    </row>
    <row r="12646" spans="5:5" x14ac:dyDescent="0.25">
      <c r="E12646"/>
    </row>
    <row r="12647" spans="5:5" x14ac:dyDescent="0.25">
      <c r="E12647"/>
    </row>
    <row r="12648" spans="5:5" x14ac:dyDescent="0.25">
      <c r="E12648"/>
    </row>
    <row r="12649" spans="5:5" x14ac:dyDescent="0.25">
      <c r="E12649"/>
    </row>
    <row r="12650" spans="5:5" x14ac:dyDescent="0.25">
      <c r="E12650"/>
    </row>
    <row r="12651" spans="5:5" x14ac:dyDescent="0.25">
      <c r="E12651"/>
    </row>
    <row r="12652" spans="5:5" x14ac:dyDescent="0.25">
      <c r="E12652"/>
    </row>
    <row r="12653" spans="5:5" x14ac:dyDescent="0.25">
      <c r="E12653"/>
    </row>
    <row r="12654" spans="5:5" x14ac:dyDescent="0.25">
      <c r="E12654"/>
    </row>
    <row r="12655" spans="5:5" x14ac:dyDescent="0.25">
      <c r="E12655"/>
    </row>
    <row r="12656" spans="5:5" x14ac:dyDescent="0.25">
      <c r="E12656"/>
    </row>
    <row r="12657" spans="5:5" x14ac:dyDescent="0.25">
      <c r="E12657"/>
    </row>
    <row r="12658" spans="5:5" x14ac:dyDescent="0.25">
      <c r="E12658"/>
    </row>
    <row r="12659" spans="5:5" x14ac:dyDescent="0.25">
      <c r="E12659"/>
    </row>
    <row r="12660" spans="5:5" x14ac:dyDescent="0.25">
      <c r="E12660"/>
    </row>
    <row r="12661" spans="5:5" x14ac:dyDescent="0.25">
      <c r="E12661"/>
    </row>
    <row r="12662" spans="5:5" x14ac:dyDescent="0.25">
      <c r="E12662"/>
    </row>
    <row r="12663" spans="5:5" x14ac:dyDescent="0.25">
      <c r="E12663"/>
    </row>
    <row r="12664" spans="5:5" x14ac:dyDescent="0.25">
      <c r="E12664"/>
    </row>
    <row r="12665" spans="5:5" x14ac:dyDescent="0.25">
      <c r="E12665"/>
    </row>
    <row r="12666" spans="5:5" x14ac:dyDescent="0.25">
      <c r="E12666"/>
    </row>
    <row r="12667" spans="5:5" x14ac:dyDescent="0.25">
      <c r="E12667"/>
    </row>
    <row r="12668" spans="5:5" x14ac:dyDescent="0.25">
      <c r="E12668"/>
    </row>
    <row r="12669" spans="5:5" x14ac:dyDescent="0.25">
      <c r="E12669"/>
    </row>
    <row r="12670" spans="5:5" x14ac:dyDescent="0.25">
      <c r="E12670"/>
    </row>
    <row r="12671" spans="5:5" x14ac:dyDescent="0.25">
      <c r="E12671"/>
    </row>
    <row r="12672" spans="5:5" x14ac:dyDescent="0.25">
      <c r="E12672"/>
    </row>
    <row r="12673" spans="5:5" x14ac:dyDescent="0.25">
      <c r="E12673"/>
    </row>
    <row r="12674" spans="5:5" x14ac:dyDescent="0.25">
      <c r="E12674"/>
    </row>
    <row r="12675" spans="5:5" x14ac:dyDescent="0.25">
      <c r="E12675"/>
    </row>
    <row r="12676" spans="5:5" x14ac:dyDescent="0.25">
      <c r="E12676"/>
    </row>
    <row r="12677" spans="5:5" x14ac:dyDescent="0.25">
      <c r="E12677"/>
    </row>
    <row r="12678" spans="5:5" x14ac:dyDescent="0.25">
      <c r="E12678"/>
    </row>
    <row r="12679" spans="5:5" x14ac:dyDescent="0.25">
      <c r="E12679"/>
    </row>
    <row r="12680" spans="5:5" x14ac:dyDescent="0.25">
      <c r="E12680"/>
    </row>
    <row r="12681" spans="5:5" x14ac:dyDescent="0.25">
      <c r="E12681"/>
    </row>
    <row r="12682" spans="5:5" x14ac:dyDescent="0.25">
      <c r="E12682"/>
    </row>
    <row r="12683" spans="5:5" x14ac:dyDescent="0.25">
      <c r="E12683"/>
    </row>
    <row r="12684" spans="5:5" x14ac:dyDescent="0.25">
      <c r="E12684"/>
    </row>
    <row r="12685" spans="5:5" x14ac:dyDescent="0.25">
      <c r="E12685"/>
    </row>
    <row r="12686" spans="5:5" x14ac:dyDescent="0.25">
      <c r="E12686"/>
    </row>
    <row r="12687" spans="5:5" x14ac:dyDescent="0.25">
      <c r="E12687"/>
    </row>
    <row r="12688" spans="5:5" x14ac:dyDescent="0.25">
      <c r="E12688"/>
    </row>
    <row r="12689" spans="5:5" x14ac:dyDescent="0.25">
      <c r="E12689"/>
    </row>
    <row r="12690" spans="5:5" x14ac:dyDescent="0.25">
      <c r="E12690"/>
    </row>
    <row r="12691" spans="5:5" x14ac:dyDescent="0.25">
      <c r="E12691"/>
    </row>
    <row r="12692" spans="5:5" x14ac:dyDescent="0.25">
      <c r="E12692"/>
    </row>
    <row r="12693" spans="5:5" x14ac:dyDescent="0.25">
      <c r="E12693"/>
    </row>
    <row r="12694" spans="5:5" x14ac:dyDescent="0.25">
      <c r="E12694"/>
    </row>
    <row r="12695" spans="5:5" x14ac:dyDescent="0.25">
      <c r="E12695"/>
    </row>
    <row r="12696" spans="5:5" x14ac:dyDescent="0.25">
      <c r="E12696"/>
    </row>
    <row r="12697" spans="5:5" x14ac:dyDescent="0.25">
      <c r="E12697"/>
    </row>
    <row r="12698" spans="5:5" x14ac:dyDescent="0.25">
      <c r="E12698"/>
    </row>
    <row r="12699" spans="5:5" x14ac:dyDescent="0.25">
      <c r="E12699"/>
    </row>
    <row r="12700" spans="5:5" x14ac:dyDescent="0.25">
      <c r="E12700"/>
    </row>
    <row r="12701" spans="5:5" x14ac:dyDescent="0.25">
      <c r="E12701"/>
    </row>
    <row r="12702" spans="5:5" x14ac:dyDescent="0.25">
      <c r="E12702"/>
    </row>
    <row r="12703" spans="5:5" x14ac:dyDescent="0.25">
      <c r="E12703"/>
    </row>
    <row r="12704" spans="5:5" x14ac:dyDescent="0.25">
      <c r="E12704"/>
    </row>
    <row r="12705" spans="5:5" x14ac:dyDescent="0.25">
      <c r="E12705"/>
    </row>
    <row r="12706" spans="5:5" x14ac:dyDescent="0.25">
      <c r="E12706"/>
    </row>
    <row r="12707" spans="5:5" x14ac:dyDescent="0.25">
      <c r="E12707"/>
    </row>
    <row r="12708" spans="5:5" x14ac:dyDescent="0.25">
      <c r="E12708"/>
    </row>
    <row r="12709" spans="5:5" x14ac:dyDescent="0.25">
      <c r="E12709"/>
    </row>
    <row r="12710" spans="5:5" x14ac:dyDescent="0.25">
      <c r="E12710"/>
    </row>
    <row r="12711" spans="5:5" x14ac:dyDescent="0.25">
      <c r="E12711"/>
    </row>
    <row r="12712" spans="5:5" x14ac:dyDescent="0.25">
      <c r="E12712"/>
    </row>
    <row r="12713" spans="5:5" x14ac:dyDescent="0.25">
      <c r="E12713"/>
    </row>
    <row r="12714" spans="5:5" x14ac:dyDescent="0.25">
      <c r="E12714"/>
    </row>
    <row r="12715" spans="5:5" x14ac:dyDescent="0.25">
      <c r="E12715"/>
    </row>
    <row r="12716" spans="5:5" x14ac:dyDescent="0.25">
      <c r="E12716"/>
    </row>
    <row r="12717" spans="5:5" x14ac:dyDescent="0.25">
      <c r="E12717"/>
    </row>
    <row r="12718" spans="5:5" x14ac:dyDescent="0.25">
      <c r="E12718"/>
    </row>
    <row r="12719" spans="5:5" x14ac:dyDescent="0.25">
      <c r="E12719"/>
    </row>
    <row r="12720" spans="5:5" x14ac:dyDescent="0.25">
      <c r="E12720"/>
    </row>
    <row r="12721" spans="5:5" x14ac:dyDescent="0.25">
      <c r="E12721"/>
    </row>
    <row r="12722" spans="5:5" x14ac:dyDescent="0.25">
      <c r="E12722"/>
    </row>
    <row r="12723" spans="5:5" x14ac:dyDescent="0.25">
      <c r="E12723"/>
    </row>
    <row r="12724" spans="5:5" x14ac:dyDescent="0.25">
      <c r="E12724"/>
    </row>
    <row r="12725" spans="5:5" x14ac:dyDescent="0.25">
      <c r="E12725"/>
    </row>
    <row r="12726" spans="5:5" x14ac:dyDescent="0.25">
      <c r="E12726"/>
    </row>
    <row r="12727" spans="5:5" x14ac:dyDescent="0.25">
      <c r="E12727"/>
    </row>
    <row r="12728" spans="5:5" x14ac:dyDescent="0.25">
      <c r="E12728"/>
    </row>
    <row r="12729" spans="5:5" x14ac:dyDescent="0.25">
      <c r="E12729"/>
    </row>
    <row r="12730" spans="5:5" x14ac:dyDescent="0.25">
      <c r="E12730"/>
    </row>
    <row r="12731" spans="5:5" x14ac:dyDescent="0.25">
      <c r="E12731"/>
    </row>
    <row r="12732" spans="5:5" x14ac:dyDescent="0.25">
      <c r="E12732"/>
    </row>
    <row r="12733" spans="5:5" x14ac:dyDescent="0.25">
      <c r="E12733"/>
    </row>
    <row r="12734" spans="5:5" x14ac:dyDescent="0.25">
      <c r="E12734"/>
    </row>
    <row r="12735" spans="5:5" x14ac:dyDescent="0.25">
      <c r="E12735"/>
    </row>
    <row r="12736" spans="5:5" x14ac:dyDescent="0.25">
      <c r="E12736"/>
    </row>
    <row r="12737" spans="5:5" x14ac:dyDescent="0.25">
      <c r="E12737"/>
    </row>
    <row r="12738" spans="5:5" x14ac:dyDescent="0.25">
      <c r="E12738"/>
    </row>
    <row r="12739" spans="5:5" x14ac:dyDescent="0.25">
      <c r="E12739"/>
    </row>
    <row r="12740" spans="5:5" x14ac:dyDescent="0.25">
      <c r="E12740"/>
    </row>
    <row r="12741" spans="5:5" x14ac:dyDescent="0.25">
      <c r="E12741"/>
    </row>
    <row r="12742" spans="5:5" x14ac:dyDescent="0.25">
      <c r="E12742"/>
    </row>
    <row r="12743" spans="5:5" x14ac:dyDescent="0.25">
      <c r="E12743"/>
    </row>
    <row r="12744" spans="5:5" x14ac:dyDescent="0.25">
      <c r="E12744"/>
    </row>
    <row r="12745" spans="5:5" x14ac:dyDescent="0.25">
      <c r="E12745"/>
    </row>
    <row r="12746" spans="5:5" x14ac:dyDescent="0.25">
      <c r="E12746"/>
    </row>
    <row r="12747" spans="5:5" x14ac:dyDescent="0.25">
      <c r="E12747"/>
    </row>
    <row r="12748" spans="5:5" x14ac:dyDescent="0.25">
      <c r="E12748"/>
    </row>
    <row r="12749" spans="5:5" x14ac:dyDescent="0.25">
      <c r="E12749"/>
    </row>
    <row r="12750" spans="5:5" x14ac:dyDescent="0.25">
      <c r="E12750"/>
    </row>
    <row r="12751" spans="5:5" x14ac:dyDescent="0.25">
      <c r="E12751"/>
    </row>
    <row r="12752" spans="5:5" x14ac:dyDescent="0.25">
      <c r="E12752"/>
    </row>
    <row r="12753" spans="5:5" x14ac:dyDescent="0.25">
      <c r="E12753"/>
    </row>
    <row r="12754" spans="5:5" x14ac:dyDescent="0.25">
      <c r="E12754"/>
    </row>
    <row r="12755" spans="5:5" x14ac:dyDescent="0.25">
      <c r="E12755"/>
    </row>
    <row r="12756" spans="5:5" x14ac:dyDescent="0.25">
      <c r="E12756"/>
    </row>
    <row r="12757" spans="5:5" x14ac:dyDescent="0.25">
      <c r="E12757"/>
    </row>
    <row r="12758" spans="5:5" x14ac:dyDescent="0.25">
      <c r="E12758"/>
    </row>
    <row r="12759" spans="5:5" x14ac:dyDescent="0.25">
      <c r="E12759"/>
    </row>
    <row r="12760" spans="5:5" x14ac:dyDescent="0.25">
      <c r="E12760"/>
    </row>
    <row r="12761" spans="5:5" x14ac:dyDescent="0.25">
      <c r="E12761"/>
    </row>
    <row r="12762" spans="5:5" x14ac:dyDescent="0.25">
      <c r="E12762"/>
    </row>
    <row r="12763" spans="5:5" x14ac:dyDescent="0.25">
      <c r="E12763"/>
    </row>
    <row r="12764" spans="5:5" x14ac:dyDescent="0.25">
      <c r="E12764"/>
    </row>
    <row r="12765" spans="5:5" x14ac:dyDescent="0.25">
      <c r="E12765"/>
    </row>
    <row r="12766" spans="5:5" x14ac:dyDescent="0.25">
      <c r="E12766"/>
    </row>
    <row r="12767" spans="5:5" x14ac:dyDescent="0.25">
      <c r="E12767"/>
    </row>
    <row r="12768" spans="5:5" x14ac:dyDescent="0.25">
      <c r="E12768"/>
    </row>
    <row r="12769" spans="5:5" x14ac:dyDescent="0.25">
      <c r="E12769"/>
    </row>
    <row r="12770" spans="5:5" x14ac:dyDescent="0.25">
      <c r="E12770"/>
    </row>
    <row r="12771" spans="5:5" x14ac:dyDescent="0.25">
      <c r="E12771"/>
    </row>
    <row r="12772" spans="5:5" x14ac:dyDescent="0.25">
      <c r="E12772"/>
    </row>
    <row r="12773" spans="5:5" x14ac:dyDescent="0.25">
      <c r="E12773"/>
    </row>
    <row r="12774" spans="5:5" x14ac:dyDescent="0.25">
      <c r="E12774"/>
    </row>
    <row r="12775" spans="5:5" x14ac:dyDescent="0.25">
      <c r="E12775"/>
    </row>
    <row r="12776" spans="5:5" x14ac:dyDescent="0.25">
      <c r="E12776"/>
    </row>
    <row r="12777" spans="5:5" x14ac:dyDescent="0.25">
      <c r="E12777"/>
    </row>
    <row r="12778" spans="5:5" x14ac:dyDescent="0.25">
      <c r="E12778"/>
    </row>
    <row r="12779" spans="5:5" x14ac:dyDescent="0.25">
      <c r="E12779"/>
    </row>
    <row r="12780" spans="5:5" x14ac:dyDescent="0.25">
      <c r="E12780"/>
    </row>
    <row r="12781" spans="5:5" x14ac:dyDescent="0.25">
      <c r="E12781"/>
    </row>
    <row r="12782" spans="5:5" x14ac:dyDescent="0.25">
      <c r="E12782"/>
    </row>
    <row r="12783" spans="5:5" x14ac:dyDescent="0.25">
      <c r="E12783"/>
    </row>
    <row r="12784" spans="5:5" x14ac:dyDescent="0.25">
      <c r="E12784"/>
    </row>
    <row r="12785" spans="5:5" x14ac:dyDescent="0.25">
      <c r="E12785"/>
    </row>
    <row r="12786" spans="5:5" x14ac:dyDescent="0.25">
      <c r="E12786"/>
    </row>
    <row r="12787" spans="5:5" x14ac:dyDescent="0.25">
      <c r="E12787"/>
    </row>
    <row r="12788" spans="5:5" x14ac:dyDescent="0.25">
      <c r="E12788"/>
    </row>
    <row r="12789" spans="5:5" x14ac:dyDescent="0.25">
      <c r="E12789"/>
    </row>
    <row r="12790" spans="5:5" x14ac:dyDescent="0.25">
      <c r="E12790"/>
    </row>
    <row r="12791" spans="5:5" x14ac:dyDescent="0.25">
      <c r="E12791"/>
    </row>
    <row r="12792" spans="5:5" x14ac:dyDescent="0.25">
      <c r="E12792"/>
    </row>
    <row r="12793" spans="5:5" x14ac:dyDescent="0.25">
      <c r="E12793"/>
    </row>
    <row r="12794" spans="5:5" x14ac:dyDescent="0.25">
      <c r="E12794"/>
    </row>
    <row r="12795" spans="5:5" x14ac:dyDescent="0.25">
      <c r="E12795"/>
    </row>
    <row r="12796" spans="5:5" x14ac:dyDescent="0.25">
      <c r="E12796"/>
    </row>
    <row r="12797" spans="5:5" x14ac:dyDescent="0.25">
      <c r="E12797"/>
    </row>
    <row r="12798" spans="5:5" x14ac:dyDescent="0.25">
      <c r="E12798"/>
    </row>
    <row r="12799" spans="5:5" x14ac:dyDescent="0.25">
      <c r="E12799"/>
    </row>
    <row r="12800" spans="5:5" x14ac:dyDescent="0.25">
      <c r="E12800"/>
    </row>
    <row r="12801" spans="5:5" x14ac:dyDescent="0.25">
      <c r="E12801"/>
    </row>
    <row r="12802" spans="5:5" x14ac:dyDescent="0.25">
      <c r="E12802"/>
    </row>
    <row r="12803" spans="5:5" x14ac:dyDescent="0.25">
      <c r="E12803"/>
    </row>
    <row r="12804" spans="5:5" x14ac:dyDescent="0.25">
      <c r="E12804"/>
    </row>
    <row r="12805" spans="5:5" x14ac:dyDescent="0.25">
      <c r="E12805"/>
    </row>
    <row r="12806" spans="5:5" x14ac:dyDescent="0.25">
      <c r="E12806"/>
    </row>
    <row r="12807" spans="5:5" x14ac:dyDescent="0.25">
      <c r="E12807"/>
    </row>
    <row r="12808" spans="5:5" x14ac:dyDescent="0.25">
      <c r="E12808"/>
    </row>
    <row r="12809" spans="5:5" x14ac:dyDescent="0.25">
      <c r="E12809"/>
    </row>
    <row r="12810" spans="5:5" x14ac:dyDescent="0.25">
      <c r="E12810"/>
    </row>
    <row r="12811" spans="5:5" x14ac:dyDescent="0.25">
      <c r="E12811"/>
    </row>
    <row r="12812" spans="5:5" x14ac:dyDescent="0.25">
      <c r="E12812"/>
    </row>
    <row r="12813" spans="5:5" x14ac:dyDescent="0.25">
      <c r="E12813"/>
    </row>
    <row r="12814" spans="5:5" x14ac:dyDescent="0.25">
      <c r="E12814"/>
    </row>
    <row r="12815" spans="5:5" x14ac:dyDescent="0.25">
      <c r="E12815"/>
    </row>
    <row r="12816" spans="5:5" x14ac:dyDescent="0.25">
      <c r="E12816"/>
    </row>
    <row r="12817" spans="5:5" x14ac:dyDescent="0.25">
      <c r="E12817"/>
    </row>
    <row r="12818" spans="5:5" x14ac:dyDescent="0.25">
      <c r="E12818"/>
    </row>
    <row r="12819" spans="5:5" x14ac:dyDescent="0.25">
      <c r="E12819"/>
    </row>
    <row r="12820" spans="5:5" x14ac:dyDescent="0.25">
      <c r="E12820"/>
    </row>
    <row r="12821" spans="5:5" x14ac:dyDescent="0.25">
      <c r="E12821"/>
    </row>
    <row r="12822" spans="5:5" x14ac:dyDescent="0.25">
      <c r="E12822"/>
    </row>
    <row r="12823" spans="5:5" x14ac:dyDescent="0.25">
      <c r="E12823"/>
    </row>
    <row r="12824" spans="5:5" x14ac:dyDescent="0.25">
      <c r="E12824"/>
    </row>
    <row r="12825" spans="5:5" x14ac:dyDescent="0.25">
      <c r="E12825"/>
    </row>
    <row r="12826" spans="5:5" x14ac:dyDescent="0.25">
      <c r="E12826"/>
    </row>
    <row r="12827" spans="5:5" x14ac:dyDescent="0.25">
      <c r="E12827"/>
    </row>
    <row r="12828" spans="5:5" x14ac:dyDescent="0.25">
      <c r="E12828"/>
    </row>
    <row r="12829" spans="5:5" x14ac:dyDescent="0.25">
      <c r="E12829"/>
    </row>
    <row r="12830" spans="5:5" x14ac:dyDescent="0.25">
      <c r="E12830"/>
    </row>
    <row r="12831" spans="5:5" x14ac:dyDescent="0.25">
      <c r="E12831"/>
    </row>
    <row r="12832" spans="5:5" x14ac:dyDescent="0.25">
      <c r="E12832"/>
    </row>
    <row r="12833" spans="5:5" x14ac:dyDescent="0.25">
      <c r="E12833"/>
    </row>
    <row r="12834" spans="5:5" x14ac:dyDescent="0.25">
      <c r="E12834"/>
    </row>
    <row r="12835" spans="5:5" x14ac:dyDescent="0.25">
      <c r="E12835"/>
    </row>
    <row r="12836" spans="5:5" x14ac:dyDescent="0.25">
      <c r="E12836"/>
    </row>
    <row r="12837" spans="5:5" x14ac:dyDescent="0.25">
      <c r="E12837"/>
    </row>
    <row r="12838" spans="5:5" x14ac:dyDescent="0.25">
      <c r="E12838"/>
    </row>
    <row r="12839" spans="5:5" x14ac:dyDescent="0.25">
      <c r="E12839"/>
    </row>
    <row r="12840" spans="5:5" x14ac:dyDescent="0.25">
      <c r="E12840"/>
    </row>
    <row r="12841" spans="5:5" x14ac:dyDescent="0.25">
      <c r="E12841"/>
    </row>
    <row r="12842" spans="5:5" x14ac:dyDescent="0.25">
      <c r="E12842"/>
    </row>
    <row r="12843" spans="5:5" x14ac:dyDescent="0.25">
      <c r="E12843"/>
    </row>
    <row r="12844" spans="5:5" x14ac:dyDescent="0.25">
      <c r="E12844"/>
    </row>
    <row r="12845" spans="5:5" x14ac:dyDescent="0.25">
      <c r="E12845"/>
    </row>
    <row r="12846" spans="5:5" x14ac:dyDescent="0.25">
      <c r="E12846"/>
    </row>
    <row r="12847" spans="5:5" x14ac:dyDescent="0.25">
      <c r="E12847"/>
    </row>
    <row r="12848" spans="5:5" x14ac:dyDescent="0.25">
      <c r="E12848"/>
    </row>
    <row r="12849" spans="5:5" x14ac:dyDescent="0.25">
      <c r="E12849"/>
    </row>
    <row r="12850" spans="5:5" x14ac:dyDescent="0.25">
      <c r="E12850"/>
    </row>
    <row r="12851" spans="5:5" x14ac:dyDescent="0.25">
      <c r="E12851"/>
    </row>
    <row r="12852" spans="5:5" x14ac:dyDescent="0.25">
      <c r="E12852"/>
    </row>
    <row r="12853" spans="5:5" x14ac:dyDescent="0.25">
      <c r="E12853"/>
    </row>
    <row r="12854" spans="5:5" x14ac:dyDescent="0.25">
      <c r="E12854"/>
    </row>
    <row r="12855" spans="5:5" x14ac:dyDescent="0.25">
      <c r="E12855"/>
    </row>
    <row r="12856" spans="5:5" x14ac:dyDescent="0.25">
      <c r="E12856"/>
    </row>
    <row r="12857" spans="5:5" x14ac:dyDescent="0.25">
      <c r="E12857"/>
    </row>
    <row r="12858" spans="5:5" x14ac:dyDescent="0.25">
      <c r="E12858"/>
    </row>
    <row r="12859" spans="5:5" x14ac:dyDescent="0.25">
      <c r="E12859"/>
    </row>
    <row r="12860" spans="5:5" x14ac:dyDescent="0.25">
      <c r="E12860"/>
    </row>
    <row r="12861" spans="5:5" x14ac:dyDescent="0.25">
      <c r="E12861"/>
    </row>
    <row r="12862" spans="5:5" x14ac:dyDescent="0.25">
      <c r="E12862"/>
    </row>
    <row r="12863" spans="5:5" x14ac:dyDescent="0.25">
      <c r="E12863"/>
    </row>
    <row r="12864" spans="5:5" x14ac:dyDescent="0.25">
      <c r="E12864"/>
    </row>
    <row r="12865" spans="5:5" x14ac:dyDescent="0.25">
      <c r="E12865"/>
    </row>
    <row r="12866" spans="5:5" x14ac:dyDescent="0.25">
      <c r="E12866"/>
    </row>
    <row r="12867" spans="5:5" x14ac:dyDescent="0.25">
      <c r="E12867"/>
    </row>
    <row r="12868" spans="5:5" x14ac:dyDescent="0.25">
      <c r="E12868"/>
    </row>
    <row r="12869" spans="5:5" x14ac:dyDescent="0.25">
      <c r="E12869"/>
    </row>
    <row r="12870" spans="5:5" x14ac:dyDescent="0.25">
      <c r="E12870"/>
    </row>
    <row r="12871" spans="5:5" x14ac:dyDescent="0.25">
      <c r="E12871"/>
    </row>
    <row r="12872" spans="5:5" x14ac:dyDescent="0.25">
      <c r="E12872"/>
    </row>
    <row r="12873" spans="5:5" x14ac:dyDescent="0.25">
      <c r="E12873"/>
    </row>
    <row r="12874" spans="5:5" x14ac:dyDescent="0.25">
      <c r="E12874"/>
    </row>
    <row r="12875" spans="5:5" x14ac:dyDescent="0.25">
      <c r="E12875"/>
    </row>
    <row r="12876" spans="5:5" x14ac:dyDescent="0.25">
      <c r="E12876"/>
    </row>
    <row r="12877" spans="5:5" x14ac:dyDescent="0.25">
      <c r="E12877"/>
    </row>
    <row r="12878" spans="5:5" x14ac:dyDescent="0.25">
      <c r="E12878"/>
    </row>
    <row r="12879" spans="5:5" x14ac:dyDescent="0.25">
      <c r="E12879"/>
    </row>
    <row r="12880" spans="5:5" x14ac:dyDescent="0.25">
      <c r="E12880"/>
    </row>
    <row r="12881" spans="5:5" x14ac:dyDescent="0.25">
      <c r="E12881"/>
    </row>
    <row r="12882" spans="5:5" x14ac:dyDescent="0.25">
      <c r="E12882"/>
    </row>
    <row r="12883" spans="5:5" x14ac:dyDescent="0.25">
      <c r="E12883"/>
    </row>
    <row r="12884" spans="5:5" x14ac:dyDescent="0.25">
      <c r="E12884"/>
    </row>
    <row r="12885" spans="5:5" x14ac:dyDescent="0.25">
      <c r="E12885"/>
    </row>
    <row r="12886" spans="5:5" x14ac:dyDescent="0.25">
      <c r="E12886"/>
    </row>
    <row r="12887" spans="5:5" x14ac:dyDescent="0.25">
      <c r="E12887"/>
    </row>
    <row r="12888" spans="5:5" x14ac:dyDescent="0.25">
      <c r="E12888"/>
    </row>
    <row r="12889" spans="5:5" x14ac:dyDescent="0.25">
      <c r="E12889"/>
    </row>
    <row r="12890" spans="5:5" x14ac:dyDescent="0.25">
      <c r="E12890"/>
    </row>
    <row r="12891" spans="5:5" x14ac:dyDescent="0.25">
      <c r="E12891"/>
    </row>
    <row r="12892" spans="5:5" x14ac:dyDescent="0.25">
      <c r="E12892"/>
    </row>
    <row r="12893" spans="5:5" x14ac:dyDescent="0.25">
      <c r="E12893"/>
    </row>
    <row r="12894" spans="5:5" x14ac:dyDescent="0.25">
      <c r="E12894"/>
    </row>
    <row r="12895" spans="5:5" x14ac:dyDescent="0.25">
      <c r="E12895"/>
    </row>
    <row r="12896" spans="5:5" x14ac:dyDescent="0.25">
      <c r="E12896"/>
    </row>
    <row r="12897" spans="5:5" x14ac:dyDescent="0.25">
      <c r="E12897"/>
    </row>
    <row r="12898" spans="5:5" x14ac:dyDescent="0.25">
      <c r="E12898"/>
    </row>
    <row r="12899" spans="5:5" x14ac:dyDescent="0.25">
      <c r="E12899"/>
    </row>
    <row r="12900" spans="5:5" x14ac:dyDescent="0.25">
      <c r="E12900"/>
    </row>
    <row r="12901" spans="5:5" x14ac:dyDescent="0.25">
      <c r="E12901"/>
    </row>
    <row r="12902" spans="5:5" x14ac:dyDescent="0.25">
      <c r="E12902"/>
    </row>
    <row r="12903" spans="5:5" x14ac:dyDescent="0.25">
      <c r="E12903"/>
    </row>
    <row r="12904" spans="5:5" x14ac:dyDescent="0.25">
      <c r="E12904"/>
    </row>
    <row r="12905" spans="5:5" x14ac:dyDescent="0.25">
      <c r="E12905"/>
    </row>
    <row r="12906" spans="5:5" x14ac:dyDescent="0.25">
      <c r="E12906"/>
    </row>
    <row r="12907" spans="5:5" x14ac:dyDescent="0.25">
      <c r="E12907"/>
    </row>
    <row r="12908" spans="5:5" x14ac:dyDescent="0.25">
      <c r="E12908"/>
    </row>
    <row r="12909" spans="5:5" x14ac:dyDescent="0.25">
      <c r="E12909"/>
    </row>
    <row r="12910" spans="5:5" x14ac:dyDescent="0.25">
      <c r="E12910"/>
    </row>
    <row r="12911" spans="5:5" x14ac:dyDescent="0.25">
      <c r="E12911"/>
    </row>
    <row r="12912" spans="5:5" x14ac:dyDescent="0.25">
      <c r="E12912"/>
    </row>
    <row r="12913" spans="5:5" x14ac:dyDescent="0.25">
      <c r="E12913"/>
    </row>
    <row r="12914" spans="5:5" x14ac:dyDescent="0.25">
      <c r="E12914"/>
    </row>
    <row r="12915" spans="5:5" x14ac:dyDescent="0.25">
      <c r="E12915"/>
    </row>
    <row r="12916" spans="5:5" x14ac:dyDescent="0.25">
      <c r="E12916"/>
    </row>
    <row r="12917" spans="5:5" x14ac:dyDescent="0.25">
      <c r="E12917"/>
    </row>
    <row r="12918" spans="5:5" x14ac:dyDescent="0.25">
      <c r="E12918"/>
    </row>
    <row r="12919" spans="5:5" x14ac:dyDescent="0.25">
      <c r="E12919"/>
    </row>
    <row r="12920" spans="5:5" x14ac:dyDescent="0.25">
      <c r="E12920"/>
    </row>
    <row r="12921" spans="5:5" x14ac:dyDescent="0.25">
      <c r="E12921"/>
    </row>
    <row r="12922" spans="5:5" x14ac:dyDescent="0.25">
      <c r="E12922"/>
    </row>
    <row r="12923" spans="5:5" x14ac:dyDescent="0.25">
      <c r="E12923"/>
    </row>
    <row r="12924" spans="5:5" x14ac:dyDescent="0.25">
      <c r="E12924"/>
    </row>
    <row r="12925" spans="5:5" x14ac:dyDescent="0.25">
      <c r="E12925"/>
    </row>
    <row r="12926" spans="5:5" x14ac:dyDescent="0.25">
      <c r="E12926"/>
    </row>
    <row r="12927" spans="5:5" x14ac:dyDescent="0.25">
      <c r="E12927"/>
    </row>
    <row r="12928" spans="5:5" x14ac:dyDescent="0.25">
      <c r="E12928"/>
    </row>
    <row r="12929" spans="5:5" x14ac:dyDescent="0.25">
      <c r="E12929"/>
    </row>
    <row r="12930" spans="5:5" x14ac:dyDescent="0.25">
      <c r="E12930"/>
    </row>
    <row r="12931" spans="5:5" x14ac:dyDescent="0.25">
      <c r="E12931"/>
    </row>
    <row r="12932" spans="5:5" x14ac:dyDescent="0.25">
      <c r="E12932"/>
    </row>
    <row r="12933" spans="5:5" x14ac:dyDescent="0.25">
      <c r="E12933"/>
    </row>
    <row r="12934" spans="5:5" x14ac:dyDescent="0.25">
      <c r="E12934"/>
    </row>
    <row r="12935" spans="5:5" x14ac:dyDescent="0.25">
      <c r="E12935"/>
    </row>
    <row r="12936" spans="5:5" x14ac:dyDescent="0.25">
      <c r="E12936"/>
    </row>
    <row r="12937" spans="5:5" x14ac:dyDescent="0.25">
      <c r="E12937"/>
    </row>
    <row r="12938" spans="5:5" x14ac:dyDescent="0.25">
      <c r="E12938"/>
    </row>
    <row r="12939" spans="5:5" x14ac:dyDescent="0.25">
      <c r="E12939"/>
    </row>
    <row r="12940" spans="5:5" x14ac:dyDescent="0.25">
      <c r="E12940"/>
    </row>
    <row r="12941" spans="5:5" x14ac:dyDescent="0.25">
      <c r="E12941"/>
    </row>
    <row r="12942" spans="5:5" x14ac:dyDescent="0.25">
      <c r="E12942"/>
    </row>
    <row r="12943" spans="5:5" x14ac:dyDescent="0.25">
      <c r="E12943"/>
    </row>
    <row r="12944" spans="5:5" x14ac:dyDescent="0.25">
      <c r="E12944"/>
    </row>
    <row r="12945" spans="5:5" x14ac:dyDescent="0.25">
      <c r="E12945"/>
    </row>
    <row r="12946" spans="5:5" x14ac:dyDescent="0.25">
      <c r="E12946"/>
    </row>
    <row r="12947" spans="5:5" x14ac:dyDescent="0.25">
      <c r="E12947"/>
    </row>
    <row r="12948" spans="5:5" x14ac:dyDescent="0.25">
      <c r="E12948"/>
    </row>
    <row r="12949" spans="5:5" x14ac:dyDescent="0.25">
      <c r="E12949"/>
    </row>
    <row r="12950" spans="5:5" x14ac:dyDescent="0.25">
      <c r="E12950"/>
    </row>
    <row r="12951" spans="5:5" x14ac:dyDescent="0.25">
      <c r="E12951"/>
    </row>
    <row r="12952" spans="5:5" x14ac:dyDescent="0.25">
      <c r="E12952"/>
    </row>
    <row r="12953" spans="5:5" x14ac:dyDescent="0.25">
      <c r="E12953"/>
    </row>
    <row r="12954" spans="5:5" x14ac:dyDescent="0.25">
      <c r="E12954"/>
    </row>
    <row r="12955" spans="5:5" x14ac:dyDescent="0.25">
      <c r="E12955"/>
    </row>
    <row r="12956" spans="5:5" x14ac:dyDescent="0.25">
      <c r="E12956"/>
    </row>
    <row r="12957" spans="5:5" x14ac:dyDescent="0.25">
      <c r="E12957"/>
    </row>
    <row r="12958" spans="5:5" x14ac:dyDescent="0.25">
      <c r="E12958"/>
    </row>
    <row r="12959" spans="5:5" x14ac:dyDescent="0.25">
      <c r="E12959"/>
    </row>
    <row r="12960" spans="5:5" x14ac:dyDescent="0.25">
      <c r="E12960"/>
    </row>
    <row r="12961" spans="5:5" x14ac:dyDescent="0.25">
      <c r="E12961"/>
    </row>
    <row r="12962" spans="5:5" x14ac:dyDescent="0.25">
      <c r="E12962"/>
    </row>
    <row r="12963" spans="5:5" x14ac:dyDescent="0.25">
      <c r="E12963"/>
    </row>
    <row r="12964" spans="5:5" x14ac:dyDescent="0.25">
      <c r="E12964"/>
    </row>
    <row r="12965" spans="5:5" x14ac:dyDescent="0.25">
      <c r="E12965"/>
    </row>
    <row r="12966" spans="5:5" x14ac:dyDescent="0.25">
      <c r="E12966"/>
    </row>
    <row r="12967" spans="5:5" x14ac:dyDescent="0.25">
      <c r="E12967"/>
    </row>
    <row r="12968" spans="5:5" x14ac:dyDescent="0.25">
      <c r="E12968"/>
    </row>
    <row r="12969" spans="5:5" x14ac:dyDescent="0.25">
      <c r="E12969"/>
    </row>
    <row r="12970" spans="5:5" x14ac:dyDescent="0.25">
      <c r="E12970"/>
    </row>
    <row r="12971" spans="5:5" x14ac:dyDescent="0.25">
      <c r="E12971"/>
    </row>
    <row r="12972" spans="5:5" x14ac:dyDescent="0.25">
      <c r="E12972"/>
    </row>
    <row r="12973" spans="5:5" x14ac:dyDescent="0.25">
      <c r="E12973"/>
    </row>
    <row r="12974" spans="5:5" x14ac:dyDescent="0.25">
      <c r="E12974"/>
    </row>
    <row r="12975" spans="5:5" x14ac:dyDescent="0.25">
      <c r="E12975"/>
    </row>
    <row r="12976" spans="5:5" x14ac:dyDescent="0.25">
      <c r="E12976"/>
    </row>
    <row r="12977" spans="5:5" x14ac:dyDescent="0.25">
      <c r="E12977"/>
    </row>
    <row r="12978" spans="5:5" x14ac:dyDescent="0.25">
      <c r="E12978"/>
    </row>
    <row r="12979" spans="5:5" x14ac:dyDescent="0.25">
      <c r="E12979"/>
    </row>
    <row r="12980" spans="5:5" x14ac:dyDescent="0.25">
      <c r="E12980"/>
    </row>
    <row r="12981" spans="5:5" x14ac:dyDescent="0.25">
      <c r="E12981"/>
    </row>
    <row r="12982" spans="5:5" x14ac:dyDescent="0.25">
      <c r="E12982"/>
    </row>
    <row r="12983" spans="5:5" x14ac:dyDescent="0.25">
      <c r="E12983"/>
    </row>
    <row r="12984" spans="5:5" x14ac:dyDescent="0.25">
      <c r="E12984"/>
    </row>
    <row r="12985" spans="5:5" x14ac:dyDescent="0.25">
      <c r="E12985"/>
    </row>
    <row r="12986" spans="5:5" x14ac:dyDescent="0.25">
      <c r="E12986"/>
    </row>
    <row r="12987" spans="5:5" x14ac:dyDescent="0.25">
      <c r="E12987"/>
    </row>
    <row r="12988" spans="5:5" x14ac:dyDescent="0.25">
      <c r="E12988"/>
    </row>
    <row r="12989" spans="5:5" x14ac:dyDescent="0.25">
      <c r="E12989"/>
    </row>
    <row r="12990" spans="5:5" x14ac:dyDescent="0.25">
      <c r="E12990"/>
    </row>
    <row r="12991" spans="5:5" x14ac:dyDescent="0.25">
      <c r="E12991"/>
    </row>
    <row r="12992" spans="5:5" x14ac:dyDescent="0.25">
      <c r="E12992"/>
    </row>
    <row r="12993" spans="5:5" x14ac:dyDescent="0.25">
      <c r="E12993"/>
    </row>
    <row r="12994" spans="5:5" x14ac:dyDescent="0.25">
      <c r="E12994"/>
    </row>
    <row r="12995" spans="5:5" x14ac:dyDescent="0.25">
      <c r="E12995"/>
    </row>
    <row r="12996" spans="5:5" x14ac:dyDescent="0.25">
      <c r="E12996"/>
    </row>
    <row r="12997" spans="5:5" x14ac:dyDescent="0.25">
      <c r="E12997"/>
    </row>
    <row r="12998" spans="5:5" x14ac:dyDescent="0.25">
      <c r="E12998"/>
    </row>
    <row r="12999" spans="5:5" x14ac:dyDescent="0.25">
      <c r="E12999"/>
    </row>
    <row r="13000" spans="5:5" x14ac:dyDescent="0.25">
      <c r="E13000"/>
    </row>
    <row r="13001" spans="5:5" x14ac:dyDescent="0.25">
      <c r="E13001"/>
    </row>
    <row r="13002" spans="5:5" x14ac:dyDescent="0.25">
      <c r="E13002"/>
    </row>
    <row r="13003" spans="5:5" x14ac:dyDescent="0.25">
      <c r="E13003"/>
    </row>
    <row r="13004" spans="5:5" x14ac:dyDescent="0.25">
      <c r="E13004"/>
    </row>
    <row r="13005" spans="5:5" x14ac:dyDescent="0.25">
      <c r="E13005"/>
    </row>
    <row r="13006" spans="5:5" x14ac:dyDescent="0.25">
      <c r="E13006"/>
    </row>
    <row r="13007" spans="5:5" x14ac:dyDescent="0.25">
      <c r="E13007"/>
    </row>
    <row r="13008" spans="5:5" x14ac:dyDescent="0.25">
      <c r="E13008"/>
    </row>
    <row r="13009" spans="5:5" x14ac:dyDescent="0.25">
      <c r="E13009"/>
    </row>
    <row r="13010" spans="5:5" x14ac:dyDescent="0.25">
      <c r="E13010"/>
    </row>
    <row r="13011" spans="5:5" x14ac:dyDescent="0.25">
      <c r="E13011"/>
    </row>
    <row r="13012" spans="5:5" x14ac:dyDescent="0.25">
      <c r="E13012"/>
    </row>
    <row r="13013" spans="5:5" x14ac:dyDescent="0.25">
      <c r="E13013"/>
    </row>
    <row r="13014" spans="5:5" x14ac:dyDescent="0.25">
      <c r="E13014"/>
    </row>
    <row r="13015" spans="5:5" x14ac:dyDescent="0.25">
      <c r="E13015"/>
    </row>
    <row r="13016" spans="5:5" x14ac:dyDescent="0.25">
      <c r="E13016"/>
    </row>
    <row r="13017" spans="5:5" x14ac:dyDescent="0.25">
      <c r="E13017"/>
    </row>
    <row r="13018" spans="5:5" x14ac:dyDescent="0.25">
      <c r="E13018"/>
    </row>
    <row r="13019" spans="5:5" x14ac:dyDescent="0.25">
      <c r="E13019"/>
    </row>
    <row r="13020" spans="5:5" x14ac:dyDescent="0.25">
      <c r="E13020"/>
    </row>
    <row r="13021" spans="5:5" x14ac:dyDescent="0.25">
      <c r="E13021"/>
    </row>
    <row r="13022" spans="5:5" x14ac:dyDescent="0.25">
      <c r="E13022"/>
    </row>
    <row r="13023" spans="5:5" x14ac:dyDescent="0.25">
      <c r="E13023"/>
    </row>
    <row r="13024" spans="5:5" x14ac:dyDescent="0.25">
      <c r="E13024"/>
    </row>
    <row r="13025" spans="5:5" x14ac:dyDescent="0.25">
      <c r="E13025"/>
    </row>
    <row r="13026" spans="5:5" x14ac:dyDescent="0.25">
      <c r="E13026"/>
    </row>
    <row r="13027" spans="5:5" x14ac:dyDescent="0.25">
      <c r="E13027"/>
    </row>
    <row r="13028" spans="5:5" x14ac:dyDescent="0.25">
      <c r="E13028"/>
    </row>
    <row r="13029" spans="5:5" x14ac:dyDescent="0.25">
      <c r="E13029"/>
    </row>
    <row r="13030" spans="5:5" x14ac:dyDescent="0.25">
      <c r="E13030"/>
    </row>
    <row r="13031" spans="5:5" x14ac:dyDescent="0.25">
      <c r="E13031"/>
    </row>
    <row r="13032" spans="5:5" x14ac:dyDescent="0.25">
      <c r="E13032"/>
    </row>
    <row r="13033" spans="5:5" x14ac:dyDescent="0.25">
      <c r="E13033"/>
    </row>
    <row r="13034" spans="5:5" x14ac:dyDescent="0.25">
      <c r="E13034"/>
    </row>
    <row r="13035" spans="5:5" x14ac:dyDescent="0.25">
      <c r="E13035"/>
    </row>
    <row r="13036" spans="5:5" x14ac:dyDescent="0.25">
      <c r="E13036"/>
    </row>
    <row r="13037" spans="5:5" x14ac:dyDescent="0.25">
      <c r="E13037"/>
    </row>
    <row r="13038" spans="5:5" x14ac:dyDescent="0.25">
      <c r="E13038"/>
    </row>
    <row r="13039" spans="5:5" x14ac:dyDescent="0.25">
      <c r="E13039"/>
    </row>
    <row r="13040" spans="5:5" x14ac:dyDescent="0.25">
      <c r="E13040"/>
    </row>
    <row r="13041" spans="5:5" x14ac:dyDescent="0.25">
      <c r="E13041"/>
    </row>
    <row r="13042" spans="5:5" x14ac:dyDescent="0.25">
      <c r="E13042"/>
    </row>
    <row r="13043" spans="5:5" x14ac:dyDescent="0.25">
      <c r="E13043"/>
    </row>
    <row r="13044" spans="5:5" x14ac:dyDescent="0.25">
      <c r="E13044"/>
    </row>
    <row r="13045" spans="5:5" x14ac:dyDescent="0.25">
      <c r="E13045"/>
    </row>
    <row r="13046" spans="5:5" x14ac:dyDescent="0.25">
      <c r="E13046"/>
    </row>
    <row r="13047" spans="5:5" x14ac:dyDescent="0.25">
      <c r="E13047"/>
    </row>
    <row r="13048" spans="5:5" x14ac:dyDescent="0.25">
      <c r="E13048"/>
    </row>
    <row r="13049" spans="5:5" x14ac:dyDescent="0.25">
      <c r="E13049"/>
    </row>
    <row r="13050" spans="5:5" x14ac:dyDescent="0.25">
      <c r="E13050"/>
    </row>
    <row r="13051" spans="5:5" x14ac:dyDescent="0.25">
      <c r="E13051"/>
    </row>
    <row r="13052" spans="5:5" x14ac:dyDescent="0.25">
      <c r="E13052"/>
    </row>
    <row r="13053" spans="5:5" x14ac:dyDescent="0.25">
      <c r="E13053"/>
    </row>
    <row r="13054" spans="5:5" x14ac:dyDescent="0.25">
      <c r="E13054"/>
    </row>
    <row r="13055" spans="5:5" x14ac:dyDescent="0.25">
      <c r="E13055"/>
    </row>
    <row r="13056" spans="5:5" x14ac:dyDescent="0.25">
      <c r="E13056"/>
    </row>
    <row r="13057" spans="5:5" x14ac:dyDescent="0.25">
      <c r="E13057"/>
    </row>
    <row r="13058" spans="5:5" x14ac:dyDescent="0.25">
      <c r="E13058"/>
    </row>
    <row r="13059" spans="5:5" x14ac:dyDescent="0.25">
      <c r="E13059"/>
    </row>
    <row r="13060" spans="5:5" x14ac:dyDescent="0.25">
      <c r="E13060"/>
    </row>
    <row r="13061" spans="5:5" x14ac:dyDescent="0.25">
      <c r="E13061"/>
    </row>
    <row r="13062" spans="5:5" x14ac:dyDescent="0.25">
      <c r="E13062"/>
    </row>
    <row r="13063" spans="5:5" x14ac:dyDescent="0.25">
      <c r="E13063"/>
    </row>
    <row r="13064" spans="5:5" x14ac:dyDescent="0.25">
      <c r="E13064"/>
    </row>
    <row r="13065" spans="5:5" x14ac:dyDescent="0.25">
      <c r="E13065"/>
    </row>
    <row r="13066" spans="5:5" x14ac:dyDescent="0.25">
      <c r="E13066"/>
    </row>
    <row r="13067" spans="5:5" x14ac:dyDescent="0.25">
      <c r="E13067"/>
    </row>
    <row r="13068" spans="5:5" x14ac:dyDescent="0.25">
      <c r="E13068"/>
    </row>
    <row r="13069" spans="5:5" x14ac:dyDescent="0.25">
      <c r="E13069"/>
    </row>
    <row r="13070" spans="5:5" x14ac:dyDescent="0.25">
      <c r="E13070"/>
    </row>
    <row r="13071" spans="5:5" x14ac:dyDescent="0.25">
      <c r="E13071"/>
    </row>
    <row r="13072" spans="5:5" x14ac:dyDescent="0.25">
      <c r="E13072"/>
    </row>
    <row r="13073" spans="5:5" x14ac:dyDescent="0.25">
      <c r="E13073"/>
    </row>
    <row r="13074" spans="5:5" x14ac:dyDescent="0.25">
      <c r="E13074"/>
    </row>
    <row r="13075" spans="5:5" x14ac:dyDescent="0.25">
      <c r="E13075"/>
    </row>
    <row r="13076" spans="5:5" x14ac:dyDescent="0.25">
      <c r="E13076"/>
    </row>
    <row r="13077" spans="5:5" x14ac:dyDescent="0.25">
      <c r="E13077"/>
    </row>
    <row r="13078" spans="5:5" x14ac:dyDescent="0.25">
      <c r="E13078"/>
    </row>
    <row r="13079" spans="5:5" x14ac:dyDescent="0.25">
      <c r="E13079"/>
    </row>
    <row r="13080" spans="5:5" x14ac:dyDescent="0.25">
      <c r="E13080"/>
    </row>
    <row r="13081" spans="5:5" x14ac:dyDescent="0.25">
      <c r="E13081"/>
    </row>
    <row r="13082" spans="5:5" x14ac:dyDescent="0.25">
      <c r="E13082"/>
    </row>
    <row r="13083" spans="5:5" x14ac:dyDescent="0.25">
      <c r="E13083"/>
    </row>
    <row r="13084" spans="5:5" x14ac:dyDescent="0.25">
      <c r="E13084"/>
    </row>
    <row r="13085" spans="5:5" x14ac:dyDescent="0.25">
      <c r="E13085"/>
    </row>
    <row r="13086" spans="5:5" x14ac:dyDescent="0.25">
      <c r="E13086"/>
    </row>
    <row r="13087" spans="5:5" x14ac:dyDescent="0.25">
      <c r="E13087"/>
    </row>
    <row r="13088" spans="5:5" x14ac:dyDescent="0.25">
      <c r="E13088"/>
    </row>
    <row r="13089" spans="5:5" x14ac:dyDescent="0.25">
      <c r="E13089"/>
    </row>
    <row r="13090" spans="5:5" x14ac:dyDescent="0.25">
      <c r="E13090"/>
    </row>
    <row r="13091" spans="5:5" x14ac:dyDescent="0.25">
      <c r="E13091"/>
    </row>
    <row r="13092" spans="5:5" x14ac:dyDescent="0.25">
      <c r="E13092"/>
    </row>
    <row r="13093" spans="5:5" x14ac:dyDescent="0.25">
      <c r="E13093"/>
    </row>
    <row r="13094" spans="5:5" x14ac:dyDescent="0.25">
      <c r="E13094"/>
    </row>
    <row r="13095" spans="5:5" x14ac:dyDescent="0.25">
      <c r="E13095"/>
    </row>
    <row r="13096" spans="5:5" x14ac:dyDescent="0.25">
      <c r="E13096"/>
    </row>
    <row r="13097" spans="5:5" x14ac:dyDescent="0.25">
      <c r="E13097"/>
    </row>
    <row r="13098" spans="5:5" x14ac:dyDescent="0.25">
      <c r="E13098"/>
    </row>
    <row r="13099" spans="5:5" x14ac:dyDescent="0.25">
      <c r="E13099"/>
    </row>
    <row r="13100" spans="5:5" x14ac:dyDescent="0.25">
      <c r="E13100"/>
    </row>
    <row r="13101" spans="5:5" x14ac:dyDescent="0.25">
      <c r="E13101"/>
    </row>
    <row r="13102" spans="5:5" x14ac:dyDescent="0.25">
      <c r="E13102"/>
    </row>
    <row r="13103" spans="5:5" x14ac:dyDescent="0.25">
      <c r="E13103"/>
    </row>
    <row r="13104" spans="5:5" x14ac:dyDescent="0.25">
      <c r="E13104"/>
    </row>
    <row r="13105" spans="5:5" x14ac:dyDescent="0.25">
      <c r="E13105"/>
    </row>
    <row r="13106" spans="5:5" x14ac:dyDescent="0.25">
      <c r="E13106"/>
    </row>
    <row r="13107" spans="5:5" x14ac:dyDescent="0.25">
      <c r="E13107"/>
    </row>
    <row r="13108" spans="5:5" x14ac:dyDescent="0.25">
      <c r="E13108"/>
    </row>
    <row r="13109" spans="5:5" x14ac:dyDescent="0.25">
      <c r="E13109"/>
    </row>
    <row r="13110" spans="5:5" x14ac:dyDescent="0.25">
      <c r="E13110"/>
    </row>
    <row r="13111" spans="5:5" x14ac:dyDescent="0.25">
      <c r="E13111"/>
    </row>
    <row r="13112" spans="5:5" x14ac:dyDescent="0.25">
      <c r="E13112"/>
    </row>
    <row r="13113" spans="5:5" x14ac:dyDescent="0.25">
      <c r="E13113"/>
    </row>
    <row r="13114" spans="5:5" x14ac:dyDescent="0.25">
      <c r="E13114"/>
    </row>
    <row r="13115" spans="5:5" x14ac:dyDescent="0.25">
      <c r="E13115"/>
    </row>
    <row r="13116" spans="5:5" x14ac:dyDescent="0.25">
      <c r="E13116"/>
    </row>
    <row r="13117" spans="5:5" x14ac:dyDescent="0.25">
      <c r="E13117"/>
    </row>
    <row r="13118" spans="5:5" x14ac:dyDescent="0.25">
      <c r="E13118"/>
    </row>
    <row r="13119" spans="5:5" x14ac:dyDescent="0.25">
      <c r="E13119"/>
    </row>
    <row r="13120" spans="5:5" x14ac:dyDescent="0.25">
      <c r="E13120"/>
    </row>
    <row r="13121" spans="5:5" x14ac:dyDescent="0.25">
      <c r="E13121"/>
    </row>
    <row r="13122" spans="5:5" x14ac:dyDescent="0.25">
      <c r="E13122"/>
    </row>
    <row r="13123" spans="5:5" x14ac:dyDescent="0.25">
      <c r="E13123"/>
    </row>
    <row r="13124" spans="5:5" x14ac:dyDescent="0.25">
      <c r="E13124"/>
    </row>
    <row r="13125" spans="5:5" x14ac:dyDescent="0.25">
      <c r="E13125"/>
    </row>
    <row r="13126" spans="5:5" x14ac:dyDescent="0.25">
      <c r="E13126"/>
    </row>
    <row r="13127" spans="5:5" x14ac:dyDescent="0.25">
      <c r="E13127"/>
    </row>
    <row r="13128" spans="5:5" x14ac:dyDescent="0.25">
      <c r="E13128"/>
    </row>
    <row r="13129" spans="5:5" x14ac:dyDescent="0.25">
      <c r="E13129"/>
    </row>
    <row r="13130" spans="5:5" x14ac:dyDescent="0.25">
      <c r="E13130"/>
    </row>
    <row r="13131" spans="5:5" x14ac:dyDescent="0.25">
      <c r="E13131"/>
    </row>
    <row r="13132" spans="5:5" x14ac:dyDescent="0.25">
      <c r="E13132"/>
    </row>
    <row r="13133" spans="5:5" x14ac:dyDescent="0.25">
      <c r="E13133"/>
    </row>
    <row r="13134" spans="5:5" x14ac:dyDescent="0.25">
      <c r="E13134"/>
    </row>
    <row r="13135" spans="5:5" x14ac:dyDescent="0.25">
      <c r="E13135"/>
    </row>
    <row r="13136" spans="5:5" x14ac:dyDescent="0.25">
      <c r="E13136"/>
    </row>
    <row r="13137" spans="5:5" x14ac:dyDescent="0.25">
      <c r="E13137"/>
    </row>
    <row r="13138" spans="5:5" x14ac:dyDescent="0.25">
      <c r="E13138"/>
    </row>
    <row r="13139" spans="5:5" x14ac:dyDescent="0.25">
      <c r="E13139"/>
    </row>
    <row r="13140" spans="5:5" x14ac:dyDescent="0.25">
      <c r="E13140"/>
    </row>
    <row r="13141" spans="5:5" x14ac:dyDescent="0.25">
      <c r="E13141"/>
    </row>
    <row r="13142" spans="5:5" x14ac:dyDescent="0.25">
      <c r="E13142"/>
    </row>
    <row r="13143" spans="5:5" x14ac:dyDescent="0.25">
      <c r="E13143"/>
    </row>
    <row r="13144" spans="5:5" x14ac:dyDescent="0.25">
      <c r="E13144"/>
    </row>
    <row r="13145" spans="5:5" x14ac:dyDescent="0.25">
      <c r="E13145"/>
    </row>
    <row r="13146" spans="5:5" x14ac:dyDescent="0.25">
      <c r="E13146"/>
    </row>
    <row r="13147" spans="5:5" x14ac:dyDescent="0.25">
      <c r="E13147"/>
    </row>
    <row r="13148" spans="5:5" x14ac:dyDescent="0.25">
      <c r="E13148"/>
    </row>
    <row r="13149" spans="5:5" x14ac:dyDescent="0.25">
      <c r="E13149"/>
    </row>
    <row r="13150" spans="5:5" x14ac:dyDescent="0.25">
      <c r="E13150"/>
    </row>
    <row r="13151" spans="5:5" x14ac:dyDescent="0.25">
      <c r="E13151"/>
    </row>
    <row r="13152" spans="5:5" x14ac:dyDescent="0.25">
      <c r="E13152"/>
    </row>
    <row r="13153" spans="5:5" x14ac:dyDescent="0.25">
      <c r="E13153"/>
    </row>
    <row r="13154" spans="5:5" x14ac:dyDescent="0.25">
      <c r="E13154"/>
    </row>
    <row r="13155" spans="5:5" x14ac:dyDescent="0.25">
      <c r="E13155"/>
    </row>
    <row r="13156" spans="5:5" x14ac:dyDescent="0.25">
      <c r="E13156"/>
    </row>
    <row r="13157" spans="5:5" x14ac:dyDescent="0.25">
      <c r="E13157"/>
    </row>
    <row r="13158" spans="5:5" x14ac:dyDescent="0.25">
      <c r="E13158"/>
    </row>
    <row r="13159" spans="5:5" x14ac:dyDescent="0.25">
      <c r="E13159"/>
    </row>
    <row r="13160" spans="5:5" x14ac:dyDescent="0.25">
      <c r="E13160"/>
    </row>
    <row r="13161" spans="5:5" x14ac:dyDescent="0.25">
      <c r="E13161"/>
    </row>
    <row r="13162" spans="5:5" x14ac:dyDescent="0.25">
      <c r="E13162"/>
    </row>
    <row r="13163" spans="5:5" x14ac:dyDescent="0.25">
      <c r="E13163"/>
    </row>
    <row r="13164" spans="5:5" x14ac:dyDescent="0.25">
      <c r="E13164"/>
    </row>
    <row r="13165" spans="5:5" x14ac:dyDescent="0.25">
      <c r="E13165"/>
    </row>
    <row r="13166" spans="5:5" x14ac:dyDescent="0.25">
      <c r="E13166"/>
    </row>
    <row r="13167" spans="5:5" x14ac:dyDescent="0.25">
      <c r="E13167"/>
    </row>
    <row r="13168" spans="5:5" x14ac:dyDescent="0.25">
      <c r="E13168"/>
    </row>
    <row r="13169" spans="5:5" x14ac:dyDescent="0.25">
      <c r="E13169"/>
    </row>
    <row r="13170" spans="5:5" x14ac:dyDescent="0.25">
      <c r="E13170"/>
    </row>
    <row r="13171" spans="5:5" x14ac:dyDescent="0.25">
      <c r="E13171"/>
    </row>
    <row r="13172" spans="5:5" x14ac:dyDescent="0.25">
      <c r="E13172"/>
    </row>
    <row r="13173" spans="5:5" x14ac:dyDescent="0.25">
      <c r="E13173"/>
    </row>
    <row r="13174" spans="5:5" x14ac:dyDescent="0.25">
      <c r="E13174"/>
    </row>
    <row r="13175" spans="5:5" x14ac:dyDescent="0.25">
      <c r="E13175"/>
    </row>
    <row r="13176" spans="5:5" x14ac:dyDescent="0.25">
      <c r="E13176"/>
    </row>
    <row r="13177" spans="5:5" x14ac:dyDescent="0.25">
      <c r="E13177"/>
    </row>
    <row r="13178" spans="5:5" x14ac:dyDescent="0.25">
      <c r="E13178"/>
    </row>
    <row r="13179" spans="5:5" x14ac:dyDescent="0.25">
      <c r="E13179"/>
    </row>
    <row r="13180" spans="5:5" x14ac:dyDescent="0.25">
      <c r="E13180"/>
    </row>
    <row r="13181" spans="5:5" x14ac:dyDescent="0.25">
      <c r="E13181"/>
    </row>
    <row r="13182" spans="5:5" x14ac:dyDescent="0.25">
      <c r="E13182"/>
    </row>
    <row r="13183" spans="5:5" x14ac:dyDescent="0.25">
      <c r="E13183"/>
    </row>
    <row r="13184" spans="5:5" x14ac:dyDescent="0.25">
      <c r="E13184"/>
    </row>
    <row r="13185" spans="5:5" x14ac:dyDescent="0.25">
      <c r="E13185"/>
    </row>
    <row r="13186" spans="5:5" x14ac:dyDescent="0.25">
      <c r="E13186"/>
    </row>
    <row r="13187" spans="5:5" x14ac:dyDescent="0.25">
      <c r="E13187"/>
    </row>
    <row r="13188" spans="5:5" x14ac:dyDescent="0.25">
      <c r="E13188"/>
    </row>
    <row r="13189" spans="5:5" x14ac:dyDescent="0.25">
      <c r="E13189"/>
    </row>
    <row r="13190" spans="5:5" x14ac:dyDescent="0.25">
      <c r="E13190"/>
    </row>
    <row r="13191" spans="5:5" x14ac:dyDescent="0.25">
      <c r="E13191"/>
    </row>
    <row r="13192" spans="5:5" x14ac:dyDescent="0.25">
      <c r="E13192"/>
    </row>
    <row r="13193" spans="5:5" x14ac:dyDescent="0.25">
      <c r="E13193"/>
    </row>
    <row r="13194" spans="5:5" x14ac:dyDescent="0.25">
      <c r="E13194"/>
    </row>
    <row r="13195" spans="5:5" x14ac:dyDescent="0.25">
      <c r="E13195"/>
    </row>
    <row r="13196" spans="5:5" x14ac:dyDescent="0.25">
      <c r="E13196"/>
    </row>
    <row r="13197" spans="5:5" x14ac:dyDescent="0.25">
      <c r="E13197"/>
    </row>
    <row r="13198" spans="5:5" x14ac:dyDescent="0.25">
      <c r="E13198"/>
    </row>
    <row r="13199" spans="5:5" x14ac:dyDescent="0.25">
      <c r="E13199"/>
    </row>
    <row r="13200" spans="5:5" x14ac:dyDescent="0.25">
      <c r="E13200"/>
    </row>
    <row r="13201" spans="5:5" x14ac:dyDescent="0.25">
      <c r="E13201"/>
    </row>
    <row r="13202" spans="5:5" x14ac:dyDescent="0.25">
      <c r="E13202"/>
    </row>
    <row r="13203" spans="5:5" x14ac:dyDescent="0.25">
      <c r="E13203"/>
    </row>
    <row r="13204" spans="5:5" x14ac:dyDescent="0.25">
      <c r="E13204"/>
    </row>
    <row r="13205" spans="5:5" x14ac:dyDescent="0.25">
      <c r="E13205"/>
    </row>
    <row r="13206" spans="5:5" x14ac:dyDescent="0.25">
      <c r="E13206"/>
    </row>
    <row r="13207" spans="5:5" x14ac:dyDescent="0.25">
      <c r="E13207"/>
    </row>
    <row r="13208" spans="5:5" x14ac:dyDescent="0.25">
      <c r="E13208"/>
    </row>
    <row r="13209" spans="5:5" x14ac:dyDescent="0.25">
      <c r="E13209"/>
    </row>
    <row r="13210" spans="5:5" x14ac:dyDescent="0.25">
      <c r="E13210"/>
    </row>
    <row r="13211" spans="5:5" x14ac:dyDescent="0.25">
      <c r="E13211"/>
    </row>
    <row r="13212" spans="5:5" x14ac:dyDescent="0.25">
      <c r="E13212"/>
    </row>
    <row r="13213" spans="5:5" x14ac:dyDescent="0.25">
      <c r="E13213"/>
    </row>
    <row r="13214" spans="5:5" x14ac:dyDescent="0.25">
      <c r="E13214"/>
    </row>
    <row r="13215" spans="5:5" x14ac:dyDescent="0.25">
      <c r="E13215"/>
    </row>
    <row r="13216" spans="5:5" x14ac:dyDescent="0.25">
      <c r="E13216"/>
    </row>
    <row r="13217" spans="5:5" x14ac:dyDescent="0.25">
      <c r="E13217"/>
    </row>
    <row r="13218" spans="5:5" x14ac:dyDescent="0.25">
      <c r="E13218"/>
    </row>
    <row r="13219" spans="5:5" x14ac:dyDescent="0.25">
      <c r="E13219"/>
    </row>
    <row r="13220" spans="5:5" x14ac:dyDescent="0.25">
      <c r="E13220"/>
    </row>
    <row r="13221" spans="5:5" x14ac:dyDescent="0.25">
      <c r="E13221"/>
    </row>
    <row r="13222" spans="5:5" x14ac:dyDescent="0.25">
      <c r="E13222"/>
    </row>
    <row r="13223" spans="5:5" x14ac:dyDescent="0.25">
      <c r="E13223"/>
    </row>
    <row r="13224" spans="5:5" x14ac:dyDescent="0.25">
      <c r="E13224"/>
    </row>
    <row r="13225" spans="5:5" x14ac:dyDescent="0.25">
      <c r="E13225"/>
    </row>
    <row r="13226" spans="5:5" x14ac:dyDescent="0.25">
      <c r="E13226"/>
    </row>
    <row r="13227" spans="5:5" x14ac:dyDescent="0.25">
      <c r="E13227"/>
    </row>
    <row r="13228" spans="5:5" x14ac:dyDescent="0.25">
      <c r="E13228"/>
    </row>
    <row r="13229" spans="5:5" x14ac:dyDescent="0.25">
      <c r="E13229"/>
    </row>
    <row r="13230" spans="5:5" x14ac:dyDescent="0.25">
      <c r="E13230"/>
    </row>
    <row r="13231" spans="5:5" x14ac:dyDescent="0.25">
      <c r="E13231"/>
    </row>
    <row r="13232" spans="5:5" x14ac:dyDescent="0.25">
      <c r="E13232"/>
    </row>
    <row r="13233" spans="5:5" x14ac:dyDescent="0.25">
      <c r="E13233"/>
    </row>
    <row r="13234" spans="5:5" x14ac:dyDescent="0.25">
      <c r="E13234"/>
    </row>
    <row r="13235" spans="5:5" x14ac:dyDescent="0.25">
      <c r="E13235"/>
    </row>
    <row r="13236" spans="5:5" x14ac:dyDescent="0.25">
      <c r="E13236"/>
    </row>
    <row r="13237" spans="5:5" x14ac:dyDescent="0.25">
      <c r="E13237"/>
    </row>
    <row r="13238" spans="5:5" x14ac:dyDescent="0.25">
      <c r="E13238"/>
    </row>
    <row r="13239" spans="5:5" x14ac:dyDescent="0.25">
      <c r="E13239"/>
    </row>
    <row r="13240" spans="5:5" x14ac:dyDescent="0.25">
      <c r="E13240"/>
    </row>
    <row r="13241" spans="5:5" x14ac:dyDescent="0.25">
      <c r="E13241"/>
    </row>
    <row r="13242" spans="5:5" x14ac:dyDescent="0.25">
      <c r="E13242"/>
    </row>
    <row r="13243" spans="5:5" x14ac:dyDescent="0.25">
      <c r="E13243"/>
    </row>
    <row r="13244" spans="5:5" x14ac:dyDescent="0.25">
      <c r="E13244"/>
    </row>
    <row r="13245" spans="5:5" x14ac:dyDescent="0.25">
      <c r="E13245"/>
    </row>
    <row r="13246" spans="5:5" x14ac:dyDescent="0.25">
      <c r="E13246"/>
    </row>
    <row r="13247" spans="5:5" x14ac:dyDescent="0.25">
      <c r="E13247"/>
    </row>
    <row r="13248" spans="5:5" x14ac:dyDescent="0.25">
      <c r="E13248"/>
    </row>
    <row r="13249" spans="5:5" x14ac:dyDescent="0.25">
      <c r="E13249"/>
    </row>
    <row r="13250" spans="5:5" x14ac:dyDescent="0.25">
      <c r="E13250"/>
    </row>
    <row r="13251" spans="5:5" x14ac:dyDescent="0.25">
      <c r="E13251"/>
    </row>
    <row r="13252" spans="5:5" x14ac:dyDescent="0.25">
      <c r="E13252"/>
    </row>
    <row r="13253" spans="5:5" x14ac:dyDescent="0.25">
      <c r="E13253"/>
    </row>
    <row r="13254" spans="5:5" x14ac:dyDescent="0.25">
      <c r="E13254"/>
    </row>
    <row r="13255" spans="5:5" x14ac:dyDescent="0.25">
      <c r="E13255"/>
    </row>
    <row r="13256" spans="5:5" x14ac:dyDescent="0.25">
      <c r="E13256"/>
    </row>
    <row r="13257" spans="5:5" x14ac:dyDescent="0.25">
      <c r="E13257"/>
    </row>
    <row r="13258" spans="5:5" x14ac:dyDescent="0.25">
      <c r="E13258"/>
    </row>
    <row r="13259" spans="5:5" x14ac:dyDescent="0.25">
      <c r="E13259"/>
    </row>
    <row r="13260" spans="5:5" x14ac:dyDescent="0.25">
      <c r="E13260"/>
    </row>
    <row r="13261" spans="5:5" x14ac:dyDescent="0.25">
      <c r="E13261"/>
    </row>
    <row r="13262" spans="5:5" x14ac:dyDescent="0.25">
      <c r="E13262"/>
    </row>
    <row r="13263" spans="5:5" x14ac:dyDescent="0.25">
      <c r="E13263"/>
    </row>
    <row r="13264" spans="5:5" x14ac:dyDescent="0.25">
      <c r="E13264"/>
    </row>
    <row r="13265" spans="5:5" x14ac:dyDescent="0.25">
      <c r="E13265"/>
    </row>
    <row r="13266" spans="5:5" x14ac:dyDescent="0.25">
      <c r="E13266"/>
    </row>
    <row r="13267" spans="5:5" x14ac:dyDescent="0.25">
      <c r="E13267"/>
    </row>
    <row r="13268" spans="5:5" x14ac:dyDescent="0.25">
      <c r="E13268"/>
    </row>
    <row r="13269" spans="5:5" x14ac:dyDescent="0.25">
      <c r="E13269"/>
    </row>
    <row r="13270" spans="5:5" x14ac:dyDescent="0.25">
      <c r="E13270"/>
    </row>
    <row r="13271" spans="5:5" x14ac:dyDescent="0.25">
      <c r="E13271"/>
    </row>
    <row r="13272" spans="5:5" x14ac:dyDescent="0.25">
      <c r="E13272"/>
    </row>
    <row r="13273" spans="5:5" x14ac:dyDescent="0.25">
      <c r="E13273"/>
    </row>
    <row r="13274" spans="5:5" x14ac:dyDescent="0.25">
      <c r="E13274"/>
    </row>
    <row r="13275" spans="5:5" x14ac:dyDescent="0.25">
      <c r="E13275"/>
    </row>
    <row r="13276" spans="5:5" x14ac:dyDescent="0.25">
      <c r="E13276"/>
    </row>
    <row r="13277" spans="5:5" x14ac:dyDescent="0.25">
      <c r="E13277"/>
    </row>
    <row r="13278" spans="5:5" x14ac:dyDescent="0.25">
      <c r="E13278"/>
    </row>
    <row r="13279" spans="5:5" x14ac:dyDescent="0.25">
      <c r="E13279"/>
    </row>
    <row r="13280" spans="5:5" x14ac:dyDescent="0.25">
      <c r="E13280"/>
    </row>
    <row r="13281" spans="5:5" x14ac:dyDescent="0.25">
      <c r="E13281"/>
    </row>
    <row r="13282" spans="5:5" x14ac:dyDescent="0.25">
      <c r="E13282"/>
    </row>
    <row r="13283" spans="5:5" x14ac:dyDescent="0.25">
      <c r="E13283"/>
    </row>
    <row r="13284" spans="5:5" x14ac:dyDescent="0.25">
      <c r="E13284"/>
    </row>
    <row r="13285" spans="5:5" x14ac:dyDescent="0.25">
      <c r="E13285"/>
    </row>
    <row r="13286" spans="5:5" x14ac:dyDescent="0.25">
      <c r="E13286"/>
    </row>
    <row r="13287" spans="5:5" x14ac:dyDescent="0.25">
      <c r="E13287"/>
    </row>
    <row r="13288" spans="5:5" x14ac:dyDescent="0.25">
      <c r="E13288"/>
    </row>
    <row r="13289" spans="5:5" x14ac:dyDescent="0.25">
      <c r="E13289"/>
    </row>
    <row r="13290" spans="5:5" x14ac:dyDescent="0.25">
      <c r="E13290"/>
    </row>
    <row r="13291" spans="5:5" x14ac:dyDescent="0.25">
      <c r="E13291"/>
    </row>
    <row r="13292" spans="5:5" x14ac:dyDescent="0.25">
      <c r="E13292"/>
    </row>
    <row r="13293" spans="5:5" x14ac:dyDescent="0.25">
      <c r="E13293"/>
    </row>
    <row r="13294" spans="5:5" x14ac:dyDescent="0.25">
      <c r="E13294"/>
    </row>
    <row r="13295" spans="5:5" x14ac:dyDescent="0.25">
      <c r="E13295"/>
    </row>
    <row r="13296" spans="5:5" x14ac:dyDescent="0.25">
      <c r="E13296"/>
    </row>
    <row r="13297" spans="5:5" x14ac:dyDescent="0.25">
      <c r="E13297"/>
    </row>
    <row r="13298" spans="5:5" x14ac:dyDescent="0.25">
      <c r="E13298"/>
    </row>
    <row r="13299" spans="5:5" x14ac:dyDescent="0.25">
      <c r="E13299"/>
    </row>
    <row r="13300" spans="5:5" x14ac:dyDescent="0.25">
      <c r="E13300"/>
    </row>
    <row r="13301" spans="5:5" x14ac:dyDescent="0.25">
      <c r="E13301"/>
    </row>
    <row r="13302" spans="5:5" x14ac:dyDescent="0.25">
      <c r="E13302"/>
    </row>
    <row r="13303" spans="5:5" x14ac:dyDescent="0.25">
      <c r="E13303"/>
    </row>
    <row r="13304" spans="5:5" x14ac:dyDescent="0.25">
      <c r="E13304"/>
    </row>
    <row r="13305" spans="5:5" x14ac:dyDescent="0.25">
      <c r="E13305"/>
    </row>
    <row r="13306" spans="5:5" x14ac:dyDescent="0.25">
      <c r="E13306"/>
    </row>
    <row r="13307" spans="5:5" x14ac:dyDescent="0.25">
      <c r="E13307"/>
    </row>
    <row r="13308" spans="5:5" x14ac:dyDescent="0.25">
      <c r="E13308"/>
    </row>
    <row r="13309" spans="5:5" x14ac:dyDescent="0.25">
      <c r="E13309"/>
    </row>
    <row r="13310" spans="5:5" x14ac:dyDescent="0.25">
      <c r="E13310"/>
    </row>
    <row r="13311" spans="5:5" x14ac:dyDescent="0.25">
      <c r="E13311"/>
    </row>
    <row r="13312" spans="5:5" x14ac:dyDescent="0.25">
      <c r="E13312"/>
    </row>
    <row r="13313" spans="5:5" x14ac:dyDescent="0.25">
      <c r="E13313"/>
    </row>
    <row r="13314" spans="5:5" x14ac:dyDescent="0.25">
      <c r="E13314"/>
    </row>
    <row r="13315" spans="5:5" x14ac:dyDescent="0.25">
      <c r="E13315"/>
    </row>
    <row r="13316" spans="5:5" x14ac:dyDescent="0.25">
      <c r="E13316"/>
    </row>
    <row r="13317" spans="5:5" x14ac:dyDescent="0.25">
      <c r="E13317"/>
    </row>
    <row r="13318" spans="5:5" x14ac:dyDescent="0.25">
      <c r="E13318"/>
    </row>
    <row r="13319" spans="5:5" x14ac:dyDescent="0.25">
      <c r="E13319"/>
    </row>
    <row r="13320" spans="5:5" x14ac:dyDescent="0.25">
      <c r="E13320"/>
    </row>
    <row r="13321" spans="5:5" x14ac:dyDescent="0.25">
      <c r="E13321"/>
    </row>
    <row r="13322" spans="5:5" x14ac:dyDescent="0.25">
      <c r="E13322"/>
    </row>
    <row r="13323" spans="5:5" x14ac:dyDescent="0.25">
      <c r="E13323"/>
    </row>
    <row r="13324" spans="5:5" x14ac:dyDescent="0.25">
      <c r="E13324"/>
    </row>
    <row r="13325" spans="5:5" x14ac:dyDescent="0.25">
      <c r="E13325"/>
    </row>
    <row r="13326" spans="5:5" x14ac:dyDescent="0.25">
      <c r="E13326"/>
    </row>
    <row r="13327" spans="5:5" x14ac:dyDescent="0.25">
      <c r="E13327"/>
    </row>
    <row r="13328" spans="5:5" x14ac:dyDescent="0.25">
      <c r="E13328"/>
    </row>
    <row r="13329" spans="5:5" x14ac:dyDescent="0.25">
      <c r="E13329"/>
    </row>
    <row r="13330" spans="5:5" x14ac:dyDescent="0.25">
      <c r="E13330"/>
    </row>
    <row r="13331" spans="5:5" x14ac:dyDescent="0.25">
      <c r="E13331"/>
    </row>
    <row r="13332" spans="5:5" x14ac:dyDescent="0.25">
      <c r="E13332"/>
    </row>
    <row r="13333" spans="5:5" x14ac:dyDescent="0.25">
      <c r="E13333"/>
    </row>
    <row r="13334" spans="5:5" x14ac:dyDescent="0.25">
      <c r="E13334"/>
    </row>
    <row r="13335" spans="5:5" x14ac:dyDescent="0.25">
      <c r="E13335"/>
    </row>
    <row r="13336" spans="5:5" x14ac:dyDescent="0.25">
      <c r="E13336"/>
    </row>
    <row r="13337" spans="5:5" x14ac:dyDescent="0.25">
      <c r="E13337"/>
    </row>
    <row r="13338" spans="5:5" x14ac:dyDescent="0.25">
      <c r="E13338"/>
    </row>
    <row r="13339" spans="5:5" x14ac:dyDescent="0.25">
      <c r="E13339"/>
    </row>
    <row r="13340" spans="5:5" x14ac:dyDescent="0.25">
      <c r="E13340"/>
    </row>
    <row r="13341" spans="5:5" x14ac:dyDescent="0.25">
      <c r="E13341"/>
    </row>
    <row r="13342" spans="5:5" x14ac:dyDescent="0.25">
      <c r="E13342"/>
    </row>
    <row r="13343" spans="5:5" x14ac:dyDescent="0.25">
      <c r="E13343"/>
    </row>
    <row r="13344" spans="5:5" x14ac:dyDescent="0.25">
      <c r="E13344"/>
    </row>
    <row r="13345" spans="5:5" x14ac:dyDescent="0.25">
      <c r="E13345"/>
    </row>
    <row r="13346" spans="5:5" x14ac:dyDescent="0.25">
      <c r="E13346"/>
    </row>
    <row r="13347" spans="5:5" x14ac:dyDescent="0.25">
      <c r="E13347"/>
    </row>
    <row r="13348" spans="5:5" x14ac:dyDescent="0.25">
      <c r="E13348"/>
    </row>
    <row r="13349" spans="5:5" x14ac:dyDescent="0.25">
      <c r="E13349"/>
    </row>
    <row r="13350" spans="5:5" x14ac:dyDescent="0.25">
      <c r="E13350"/>
    </row>
    <row r="13351" spans="5:5" x14ac:dyDescent="0.25">
      <c r="E13351"/>
    </row>
    <row r="13352" spans="5:5" x14ac:dyDescent="0.25">
      <c r="E13352"/>
    </row>
    <row r="13353" spans="5:5" x14ac:dyDescent="0.25">
      <c r="E13353"/>
    </row>
    <row r="13354" spans="5:5" x14ac:dyDescent="0.25">
      <c r="E13354"/>
    </row>
    <row r="13355" spans="5:5" x14ac:dyDescent="0.25">
      <c r="E13355"/>
    </row>
    <row r="13356" spans="5:5" x14ac:dyDescent="0.25">
      <c r="E13356"/>
    </row>
    <row r="13357" spans="5:5" x14ac:dyDescent="0.25">
      <c r="E13357"/>
    </row>
    <row r="13358" spans="5:5" x14ac:dyDescent="0.25">
      <c r="E13358"/>
    </row>
    <row r="13359" spans="5:5" x14ac:dyDescent="0.25">
      <c r="E13359"/>
    </row>
    <row r="13360" spans="5:5" x14ac:dyDescent="0.25">
      <c r="E13360"/>
    </row>
    <row r="13361" spans="5:5" x14ac:dyDescent="0.25">
      <c r="E13361"/>
    </row>
    <row r="13362" spans="5:5" x14ac:dyDescent="0.25">
      <c r="E13362"/>
    </row>
    <row r="13363" spans="5:5" x14ac:dyDescent="0.25">
      <c r="E13363"/>
    </row>
    <row r="13364" spans="5:5" x14ac:dyDescent="0.25">
      <c r="E13364"/>
    </row>
    <row r="13365" spans="5:5" x14ac:dyDescent="0.25">
      <c r="E13365"/>
    </row>
    <row r="13366" spans="5:5" x14ac:dyDescent="0.25">
      <c r="E13366"/>
    </row>
    <row r="13367" spans="5:5" x14ac:dyDescent="0.25">
      <c r="E13367"/>
    </row>
    <row r="13368" spans="5:5" x14ac:dyDescent="0.25">
      <c r="E13368"/>
    </row>
    <row r="13369" spans="5:5" x14ac:dyDescent="0.25">
      <c r="E13369"/>
    </row>
    <row r="13370" spans="5:5" x14ac:dyDescent="0.25">
      <c r="E13370"/>
    </row>
    <row r="13371" spans="5:5" x14ac:dyDescent="0.25">
      <c r="E13371"/>
    </row>
    <row r="13372" spans="5:5" x14ac:dyDescent="0.25">
      <c r="E13372"/>
    </row>
    <row r="13373" spans="5:5" x14ac:dyDescent="0.25">
      <c r="E13373"/>
    </row>
    <row r="13374" spans="5:5" x14ac:dyDescent="0.25">
      <c r="E13374"/>
    </row>
    <row r="13375" spans="5:5" x14ac:dyDescent="0.25">
      <c r="E13375"/>
    </row>
    <row r="13376" spans="5:5" x14ac:dyDescent="0.25">
      <c r="E13376"/>
    </row>
    <row r="13377" spans="5:5" x14ac:dyDescent="0.25">
      <c r="E13377"/>
    </row>
    <row r="13378" spans="5:5" x14ac:dyDescent="0.25">
      <c r="E13378"/>
    </row>
    <row r="13379" spans="5:5" x14ac:dyDescent="0.25">
      <c r="E13379"/>
    </row>
    <row r="13380" spans="5:5" x14ac:dyDescent="0.25">
      <c r="E13380"/>
    </row>
    <row r="13381" spans="5:5" x14ac:dyDescent="0.25">
      <c r="E13381"/>
    </row>
    <row r="13382" spans="5:5" x14ac:dyDescent="0.25">
      <c r="E13382"/>
    </row>
    <row r="13383" spans="5:5" x14ac:dyDescent="0.25">
      <c r="E13383"/>
    </row>
    <row r="13384" spans="5:5" x14ac:dyDescent="0.25">
      <c r="E13384"/>
    </row>
    <row r="13385" spans="5:5" x14ac:dyDescent="0.25">
      <c r="E13385"/>
    </row>
    <row r="13386" spans="5:5" x14ac:dyDescent="0.25">
      <c r="E13386"/>
    </row>
    <row r="13387" spans="5:5" x14ac:dyDescent="0.25">
      <c r="E13387"/>
    </row>
    <row r="13388" spans="5:5" x14ac:dyDescent="0.25">
      <c r="E13388"/>
    </row>
    <row r="13389" spans="5:5" x14ac:dyDescent="0.25">
      <c r="E13389"/>
    </row>
    <row r="13390" spans="5:5" x14ac:dyDescent="0.25">
      <c r="E13390"/>
    </row>
    <row r="13391" spans="5:5" x14ac:dyDescent="0.25">
      <c r="E13391"/>
    </row>
    <row r="13392" spans="5:5" x14ac:dyDescent="0.25">
      <c r="E13392"/>
    </row>
    <row r="13393" spans="5:5" x14ac:dyDescent="0.25">
      <c r="E13393"/>
    </row>
    <row r="13394" spans="5:5" x14ac:dyDescent="0.25">
      <c r="E13394"/>
    </row>
    <row r="13395" spans="5:5" x14ac:dyDescent="0.25">
      <c r="E13395"/>
    </row>
    <row r="13396" spans="5:5" x14ac:dyDescent="0.25">
      <c r="E13396"/>
    </row>
    <row r="13397" spans="5:5" x14ac:dyDescent="0.25">
      <c r="E13397"/>
    </row>
    <row r="13398" spans="5:5" x14ac:dyDescent="0.25">
      <c r="E13398"/>
    </row>
    <row r="13399" spans="5:5" x14ac:dyDescent="0.25">
      <c r="E13399"/>
    </row>
    <row r="13400" spans="5:5" x14ac:dyDescent="0.25">
      <c r="E13400"/>
    </row>
    <row r="13401" spans="5:5" x14ac:dyDescent="0.25">
      <c r="E13401"/>
    </row>
    <row r="13402" spans="5:5" x14ac:dyDescent="0.25">
      <c r="E13402"/>
    </row>
    <row r="13403" spans="5:5" x14ac:dyDescent="0.25">
      <c r="E13403"/>
    </row>
    <row r="13404" spans="5:5" x14ac:dyDescent="0.25">
      <c r="E13404"/>
    </row>
    <row r="13405" spans="5:5" x14ac:dyDescent="0.25">
      <c r="E13405"/>
    </row>
    <row r="13406" spans="5:5" x14ac:dyDescent="0.25">
      <c r="E13406"/>
    </row>
    <row r="13407" spans="5:5" x14ac:dyDescent="0.25">
      <c r="E13407"/>
    </row>
    <row r="13408" spans="5:5" x14ac:dyDescent="0.25">
      <c r="E13408"/>
    </row>
    <row r="13409" spans="5:5" x14ac:dyDescent="0.25">
      <c r="E13409"/>
    </row>
    <row r="13410" spans="5:5" x14ac:dyDescent="0.25">
      <c r="E13410"/>
    </row>
    <row r="13411" spans="5:5" x14ac:dyDescent="0.25">
      <c r="E13411"/>
    </row>
    <row r="13412" spans="5:5" x14ac:dyDescent="0.25">
      <c r="E13412"/>
    </row>
    <row r="13413" spans="5:5" x14ac:dyDescent="0.25">
      <c r="E13413"/>
    </row>
    <row r="13414" spans="5:5" x14ac:dyDescent="0.25">
      <c r="E13414"/>
    </row>
    <row r="13415" spans="5:5" x14ac:dyDescent="0.25">
      <c r="E13415"/>
    </row>
    <row r="13416" spans="5:5" x14ac:dyDescent="0.25">
      <c r="E13416"/>
    </row>
    <row r="13417" spans="5:5" x14ac:dyDescent="0.25">
      <c r="E13417"/>
    </row>
    <row r="13418" spans="5:5" x14ac:dyDescent="0.25">
      <c r="E13418"/>
    </row>
    <row r="13419" spans="5:5" x14ac:dyDescent="0.25">
      <c r="E13419"/>
    </row>
    <row r="13420" spans="5:5" x14ac:dyDescent="0.25">
      <c r="E13420"/>
    </row>
    <row r="13421" spans="5:5" x14ac:dyDescent="0.25">
      <c r="E13421"/>
    </row>
    <row r="13422" spans="5:5" x14ac:dyDescent="0.25">
      <c r="E13422"/>
    </row>
    <row r="13423" spans="5:5" x14ac:dyDescent="0.25">
      <c r="E13423"/>
    </row>
    <row r="13424" spans="5:5" x14ac:dyDescent="0.25">
      <c r="E13424"/>
    </row>
    <row r="13425" spans="5:5" x14ac:dyDescent="0.25">
      <c r="E13425"/>
    </row>
    <row r="13426" spans="5:5" x14ac:dyDescent="0.25">
      <c r="E13426"/>
    </row>
    <row r="13427" spans="5:5" x14ac:dyDescent="0.25">
      <c r="E13427"/>
    </row>
    <row r="13428" spans="5:5" x14ac:dyDescent="0.25">
      <c r="E13428"/>
    </row>
    <row r="13429" spans="5:5" x14ac:dyDescent="0.25">
      <c r="E13429"/>
    </row>
    <row r="13430" spans="5:5" x14ac:dyDescent="0.25">
      <c r="E13430"/>
    </row>
    <row r="13431" spans="5:5" x14ac:dyDescent="0.25">
      <c r="E13431"/>
    </row>
    <row r="13432" spans="5:5" x14ac:dyDescent="0.25">
      <c r="E13432"/>
    </row>
    <row r="13433" spans="5:5" x14ac:dyDescent="0.25">
      <c r="E13433"/>
    </row>
    <row r="13434" spans="5:5" x14ac:dyDescent="0.25">
      <c r="E13434"/>
    </row>
    <row r="13435" spans="5:5" x14ac:dyDescent="0.25">
      <c r="E13435"/>
    </row>
    <row r="13436" spans="5:5" x14ac:dyDescent="0.25">
      <c r="E13436"/>
    </row>
    <row r="13437" spans="5:5" x14ac:dyDescent="0.25">
      <c r="E13437"/>
    </row>
    <row r="13438" spans="5:5" x14ac:dyDescent="0.25">
      <c r="E13438"/>
    </row>
    <row r="13439" spans="5:5" x14ac:dyDescent="0.25">
      <c r="E13439"/>
    </row>
    <row r="13440" spans="5:5" x14ac:dyDescent="0.25">
      <c r="E13440"/>
    </row>
    <row r="13441" spans="5:5" x14ac:dyDescent="0.25">
      <c r="E13441"/>
    </row>
    <row r="13442" spans="5:5" x14ac:dyDescent="0.25">
      <c r="E13442"/>
    </row>
    <row r="13443" spans="5:5" x14ac:dyDescent="0.25">
      <c r="E13443"/>
    </row>
    <row r="13444" spans="5:5" x14ac:dyDescent="0.25">
      <c r="E13444"/>
    </row>
    <row r="13445" spans="5:5" x14ac:dyDescent="0.25">
      <c r="E13445"/>
    </row>
    <row r="13446" spans="5:5" x14ac:dyDescent="0.25">
      <c r="E13446"/>
    </row>
    <row r="13447" spans="5:5" x14ac:dyDescent="0.25">
      <c r="E13447"/>
    </row>
    <row r="13448" spans="5:5" x14ac:dyDescent="0.25">
      <c r="E13448"/>
    </row>
    <row r="13449" spans="5:5" x14ac:dyDescent="0.25">
      <c r="E13449"/>
    </row>
    <row r="13450" spans="5:5" x14ac:dyDescent="0.25">
      <c r="E13450"/>
    </row>
    <row r="13451" spans="5:5" x14ac:dyDescent="0.25">
      <c r="E13451"/>
    </row>
    <row r="13452" spans="5:5" x14ac:dyDescent="0.25">
      <c r="E13452"/>
    </row>
    <row r="13453" spans="5:5" x14ac:dyDescent="0.25">
      <c r="E13453"/>
    </row>
    <row r="13454" spans="5:5" x14ac:dyDescent="0.25">
      <c r="E13454"/>
    </row>
    <row r="13455" spans="5:5" x14ac:dyDescent="0.25">
      <c r="E13455"/>
    </row>
    <row r="13456" spans="5:5" x14ac:dyDescent="0.25">
      <c r="E13456"/>
    </row>
    <row r="13457" spans="5:5" x14ac:dyDescent="0.25">
      <c r="E13457"/>
    </row>
    <row r="13458" spans="5:5" x14ac:dyDescent="0.25">
      <c r="E13458"/>
    </row>
    <row r="13459" spans="5:5" x14ac:dyDescent="0.25">
      <c r="E13459"/>
    </row>
    <row r="13460" spans="5:5" x14ac:dyDescent="0.25">
      <c r="E13460"/>
    </row>
    <row r="13461" spans="5:5" x14ac:dyDescent="0.25">
      <c r="E13461"/>
    </row>
    <row r="13462" spans="5:5" x14ac:dyDescent="0.25">
      <c r="E13462"/>
    </row>
    <row r="13463" spans="5:5" x14ac:dyDescent="0.25">
      <c r="E13463"/>
    </row>
    <row r="13464" spans="5:5" x14ac:dyDescent="0.25">
      <c r="E13464"/>
    </row>
    <row r="13465" spans="5:5" x14ac:dyDescent="0.25">
      <c r="E13465"/>
    </row>
    <row r="13466" spans="5:5" x14ac:dyDescent="0.25">
      <c r="E13466"/>
    </row>
    <row r="13467" spans="5:5" x14ac:dyDescent="0.25">
      <c r="E13467"/>
    </row>
    <row r="13468" spans="5:5" x14ac:dyDescent="0.25">
      <c r="E13468"/>
    </row>
    <row r="13469" spans="5:5" x14ac:dyDescent="0.25">
      <c r="E13469"/>
    </row>
    <row r="13470" spans="5:5" x14ac:dyDescent="0.25">
      <c r="E13470"/>
    </row>
    <row r="13471" spans="5:5" x14ac:dyDescent="0.25">
      <c r="E13471"/>
    </row>
    <row r="13472" spans="5:5" x14ac:dyDescent="0.25">
      <c r="E13472"/>
    </row>
    <row r="13473" spans="5:5" x14ac:dyDescent="0.25">
      <c r="E13473"/>
    </row>
    <row r="13474" spans="5:5" x14ac:dyDescent="0.25">
      <c r="E13474"/>
    </row>
    <row r="13475" spans="5:5" x14ac:dyDescent="0.25">
      <c r="E13475"/>
    </row>
    <row r="13476" spans="5:5" x14ac:dyDescent="0.25">
      <c r="E13476"/>
    </row>
    <row r="13477" spans="5:5" x14ac:dyDescent="0.25">
      <c r="E13477"/>
    </row>
    <row r="13478" spans="5:5" x14ac:dyDescent="0.25">
      <c r="E13478"/>
    </row>
    <row r="13479" spans="5:5" x14ac:dyDescent="0.25">
      <c r="E13479"/>
    </row>
    <row r="13480" spans="5:5" x14ac:dyDescent="0.25">
      <c r="E13480"/>
    </row>
    <row r="13481" spans="5:5" x14ac:dyDescent="0.25">
      <c r="E13481"/>
    </row>
    <row r="13482" spans="5:5" x14ac:dyDescent="0.25">
      <c r="E13482"/>
    </row>
    <row r="13483" spans="5:5" x14ac:dyDescent="0.25">
      <c r="E13483"/>
    </row>
    <row r="13484" spans="5:5" x14ac:dyDescent="0.25">
      <c r="E13484"/>
    </row>
    <row r="13485" spans="5:5" x14ac:dyDescent="0.25">
      <c r="E13485"/>
    </row>
    <row r="13486" spans="5:5" x14ac:dyDescent="0.25">
      <c r="E13486"/>
    </row>
    <row r="13487" spans="5:5" x14ac:dyDescent="0.25">
      <c r="E13487"/>
    </row>
    <row r="13488" spans="5:5" x14ac:dyDescent="0.25">
      <c r="E13488"/>
    </row>
    <row r="13489" spans="5:5" x14ac:dyDescent="0.25">
      <c r="E13489"/>
    </row>
    <row r="13490" spans="5:5" x14ac:dyDescent="0.25">
      <c r="E13490"/>
    </row>
    <row r="13491" spans="5:5" x14ac:dyDescent="0.25">
      <c r="E13491"/>
    </row>
    <row r="13492" spans="5:5" x14ac:dyDescent="0.25">
      <c r="E13492"/>
    </row>
    <row r="13493" spans="5:5" x14ac:dyDescent="0.25">
      <c r="E13493"/>
    </row>
    <row r="13494" spans="5:5" x14ac:dyDescent="0.25">
      <c r="E13494"/>
    </row>
    <row r="13495" spans="5:5" x14ac:dyDescent="0.25">
      <c r="E13495"/>
    </row>
    <row r="13496" spans="5:5" x14ac:dyDescent="0.25">
      <c r="E13496"/>
    </row>
    <row r="13497" spans="5:5" x14ac:dyDescent="0.25">
      <c r="E13497"/>
    </row>
    <row r="13498" spans="5:5" x14ac:dyDescent="0.25">
      <c r="E13498"/>
    </row>
    <row r="13499" spans="5:5" x14ac:dyDescent="0.25">
      <c r="E13499"/>
    </row>
    <row r="13500" spans="5:5" x14ac:dyDescent="0.25">
      <c r="E13500"/>
    </row>
    <row r="13501" spans="5:5" x14ac:dyDescent="0.25">
      <c r="E13501"/>
    </row>
    <row r="13502" spans="5:5" x14ac:dyDescent="0.25">
      <c r="E13502"/>
    </row>
    <row r="13503" spans="5:5" x14ac:dyDescent="0.25">
      <c r="E13503"/>
    </row>
    <row r="13504" spans="5:5" x14ac:dyDescent="0.25">
      <c r="E13504"/>
    </row>
    <row r="13505" spans="5:5" x14ac:dyDescent="0.25">
      <c r="E13505"/>
    </row>
    <row r="13506" spans="5:5" x14ac:dyDescent="0.25">
      <c r="E13506"/>
    </row>
    <row r="13507" spans="5:5" x14ac:dyDescent="0.25">
      <c r="E13507"/>
    </row>
    <row r="13508" spans="5:5" x14ac:dyDescent="0.25">
      <c r="E13508"/>
    </row>
    <row r="13509" spans="5:5" x14ac:dyDescent="0.25">
      <c r="E13509"/>
    </row>
    <row r="13510" spans="5:5" x14ac:dyDescent="0.25">
      <c r="E13510"/>
    </row>
    <row r="13511" spans="5:5" x14ac:dyDescent="0.25">
      <c r="E13511"/>
    </row>
    <row r="13512" spans="5:5" x14ac:dyDescent="0.25">
      <c r="E13512"/>
    </row>
    <row r="13513" spans="5:5" x14ac:dyDescent="0.25">
      <c r="E13513"/>
    </row>
    <row r="13514" spans="5:5" x14ac:dyDescent="0.25">
      <c r="E13514"/>
    </row>
    <row r="13515" spans="5:5" x14ac:dyDescent="0.25">
      <c r="E13515"/>
    </row>
    <row r="13516" spans="5:5" x14ac:dyDescent="0.25">
      <c r="E13516"/>
    </row>
    <row r="13517" spans="5:5" x14ac:dyDescent="0.25">
      <c r="E13517"/>
    </row>
    <row r="13518" spans="5:5" x14ac:dyDescent="0.25">
      <c r="E13518"/>
    </row>
    <row r="13519" spans="5:5" x14ac:dyDescent="0.25">
      <c r="E13519"/>
    </row>
    <row r="13520" spans="5:5" x14ac:dyDescent="0.25">
      <c r="E13520"/>
    </row>
    <row r="13521" spans="5:5" x14ac:dyDescent="0.25">
      <c r="E13521"/>
    </row>
    <row r="13522" spans="5:5" x14ac:dyDescent="0.25">
      <c r="E13522"/>
    </row>
    <row r="13523" spans="5:5" x14ac:dyDescent="0.25">
      <c r="E13523"/>
    </row>
    <row r="13524" spans="5:5" x14ac:dyDescent="0.25">
      <c r="E13524"/>
    </row>
    <row r="13525" spans="5:5" x14ac:dyDescent="0.25">
      <c r="E13525"/>
    </row>
    <row r="13526" spans="5:5" x14ac:dyDescent="0.25">
      <c r="E13526"/>
    </row>
    <row r="13527" spans="5:5" x14ac:dyDescent="0.25">
      <c r="E13527"/>
    </row>
    <row r="13528" spans="5:5" x14ac:dyDescent="0.25">
      <c r="E13528"/>
    </row>
    <row r="13529" spans="5:5" x14ac:dyDescent="0.25">
      <c r="E13529"/>
    </row>
    <row r="13530" spans="5:5" x14ac:dyDescent="0.25">
      <c r="E13530"/>
    </row>
    <row r="13531" spans="5:5" x14ac:dyDescent="0.25">
      <c r="E13531"/>
    </row>
    <row r="13532" spans="5:5" x14ac:dyDescent="0.25">
      <c r="E13532"/>
    </row>
    <row r="13533" spans="5:5" x14ac:dyDescent="0.25">
      <c r="E13533"/>
    </row>
    <row r="13534" spans="5:5" x14ac:dyDescent="0.25">
      <c r="E13534"/>
    </row>
    <row r="13535" spans="5:5" x14ac:dyDescent="0.25">
      <c r="E13535"/>
    </row>
    <row r="13536" spans="5:5" x14ac:dyDescent="0.25">
      <c r="E13536"/>
    </row>
    <row r="13537" spans="5:5" x14ac:dyDescent="0.25">
      <c r="E13537"/>
    </row>
    <row r="13538" spans="5:5" x14ac:dyDescent="0.25">
      <c r="E13538"/>
    </row>
    <row r="13539" spans="5:5" x14ac:dyDescent="0.25">
      <c r="E13539"/>
    </row>
    <row r="13540" spans="5:5" x14ac:dyDescent="0.25">
      <c r="E13540"/>
    </row>
    <row r="13541" spans="5:5" x14ac:dyDescent="0.25">
      <c r="E13541"/>
    </row>
    <row r="13542" spans="5:5" x14ac:dyDescent="0.25">
      <c r="E13542"/>
    </row>
    <row r="13543" spans="5:5" x14ac:dyDescent="0.25">
      <c r="E13543"/>
    </row>
    <row r="13544" spans="5:5" x14ac:dyDescent="0.25">
      <c r="E13544"/>
    </row>
    <row r="13545" spans="5:5" x14ac:dyDescent="0.25">
      <c r="E13545"/>
    </row>
    <row r="13546" spans="5:5" x14ac:dyDescent="0.25">
      <c r="E13546"/>
    </row>
    <row r="13547" spans="5:5" x14ac:dyDescent="0.25">
      <c r="E13547"/>
    </row>
    <row r="13548" spans="5:5" x14ac:dyDescent="0.25">
      <c r="E13548"/>
    </row>
    <row r="13549" spans="5:5" x14ac:dyDescent="0.25">
      <c r="E13549"/>
    </row>
    <row r="13550" spans="5:5" x14ac:dyDescent="0.25">
      <c r="E13550"/>
    </row>
    <row r="13551" spans="5:5" x14ac:dyDescent="0.25">
      <c r="E13551"/>
    </row>
    <row r="13552" spans="5:5" x14ac:dyDescent="0.25">
      <c r="E13552"/>
    </row>
    <row r="13553" spans="5:5" x14ac:dyDescent="0.25">
      <c r="E13553"/>
    </row>
    <row r="13554" spans="5:5" x14ac:dyDescent="0.25">
      <c r="E13554"/>
    </row>
    <row r="13555" spans="5:5" x14ac:dyDescent="0.25">
      <c r="E13555"/>
    </row>
    <row r="13556" spans="5:5" x14ac:dyDescent="0.25">
      <c r="E13556"/>
    </row>
    <row r="13557" spans="5:5" x14ac:dyDescent="0.25">
      <c r="E13557"/>
    </row>
    <row r="13558" spans="5:5" x14ac:dyDescent="0.25">
      <c r="E13558"/>
    </row>
    <row r="13559" spans="5:5" x14ac:dyDescent="0.25">
      <c r="E13559"/>
    </row>
    <row r="13560" spans="5:5" x14ac:dyDescent="0.25">
      <c r="E13560"/>
    </row>
    <row r="13561" spans="5:5" x14ac:dyDescent="0.25">
      <c r="E13561"/>
    </row>
    <row r="13562" spans="5:5" x14ac:dyDescent="0.25">
      <c r="E13562"/>
    </row>
    <row r="13563" spans="5:5" x14ac:dyDescent="0.25">
      <c r="E13563"/>
    </row>
    <row r="13564" spans="5:5" x14ac:dyDescent="0.25">
      <c r="E13564"/>
    </row>
    <row r="13565" spans="5:5" x14ac:dyDescent="0.25">
      <c r="E13565"/>
    </row>
    <row r="13566" spans="5:5" x14ac:dyDescent="0.25">
      <c r="E13566"/>
    </row>
    <row r="13567" spans="5:5" x14ac:dyDescent="0.25">
      <c r="E13567"/>
    </row>
    <row r="13568" spans="5:5" x14ac:dyDescent="0.25">
      <c r="E13568"/>
    </row>
    <row r="13569" spans="5:5" x14ac:dyDescent="0.25">
      <c r="E13569"/>
    </row>
    <row r="13570" spans="5:5" x14ac:dyDescent="0.25">
      <c r="E13570"/>
    </row>
    <row r="13571" spans="5:5" x14ac:dyDescent="0.25">
      <c r="E13571"/>
    </row>
    <row r="13572" spans="5:5" x14ac:dyDescent="0.25">
      <c r="E13572"/>
    </row>
    <row r="13573" spans="5:5" x14ac:dyDescent="0.25">
      <c r="E13573"/>
    </row>
    <row r="13574" spans="5:5" x14ac:dyDescent="0.25">
      <c r="E13574"/>
    </row>
    <row r="13575" spans="5:5" x14ac:dyDescent="0.25">
      <c r="E13575"/>
    </row>
    <row r="13576" spans="5:5" x14ac:dyDescent="0.25">
      <c r="E13576"/>
    </row>
    <row r="13577" spans="5:5" x14ac:dyDescent="0.25">
      <c r="E13577"/>
    </row>
    <row r="13578" spans="5:5" x14ac:dyDescent="0.25">
      <c r="E13578"/>
    </row>
    <row r="13579" spans="5:5" x14ac:dyDescent="0.25">
      <c r="E13579"/>
    </row>
    <row r="13580" spans="5:5" x14ac:dyDescent="0.25">
      <c r="E13580"/>
    </row>
    <row r="13581" spans="5:5" x14ac:dyDescent="0.25">
      <c r="E13581"/>
    </row>
    <row r="13582" spans="5:5" x14ac:dyDescent="0.25">
      <c r="E13582"/>
    </row>
    <row r="13583" spans="5:5" x14ac:dyDescent="0.25">
      <c r="E13583"/>
    </row>
    <row r="13584" spans="5:5" x14ac:dyDescent="0.25">
      <c r="E13584"/>
    </row>
    <row r="13585" spans="5:5" x14ac:dyDescent="0.25">
      <c r="E13585"/>
    </row>
    <row r="13586" spans="5:5" x14ac:dyDescent="0.25">
      <c r="E13586"/>
    </row>
    <row r="13587" spans="5:5" x14ac:dyDescent="0.25">
      <c r="E13587"/>
    </row>
    <row r="13588" spans="5:5" x14ac:dyDescent="0.25">
      <c r="E13588"/>
    </row>
    <row r="13589" spans="5:5" x14ac:dyDescent="0.25">
      <c r="E13589"/>
    </row>
    <row r="13590" spans="5:5" x14ac:dyDescent="0.25">
      <c r="E13590"/>
    </row>
    <row r="13591" spans="5:5" x14ac:dyDescent="0.25">
      <c r="E13591"/>
    </row>
    <row r="13592" spans="5:5" x14ac:dyDescent="0.25">
      <c r="E13592"/>
    </row>
    <row r="13593" spans="5:5" x14ac:dyDescent="0.25">
      <c r="E13593"/>
    </row>
    <row r="13594" spans="5:5" x14ac:dyDescent="0.25">
      <c r="E13594"/>
    </row>
    <row r="13595" spans="5:5" x14ac:dyDescent="0.25">
      <c r="E13595"/>
    </row>
    <row r="13596" spans="5:5" x14ac:dyDescent="0.25">
      <c r="E13596"/>
    </row>
    <row r="13597" spans="5:5" x14ac:dyDescent="0.25">
      <c r="E13597"/>
    </row>
    <row r="13598" spans="5:5" x14ac:dyDescent="0.25">
      <c r="E13598"/>
    </row>
    <row r="13599" spans="5:5" x14ac:dyDescent="0.25">
      <c r="E13599"/>
    </row>
    <row r="13600" spans="5:5" x14ac:dyDescent="0.25">
      <c r="E13600"/>
    </row>
    <row r="13601" spans="5:5" x14ac:dyDescent="0.25">
      <c r="E13601"/>
    </row>
    <row r="13602" spans="5:5" x14ac:dyDescent="0.25">
      <c r="E13602"/>
    </row>
    <row r="13603" spans="5:5" x14ac:dyDescent="0.25">
      <c r="E13603"/>
    </row>
    <row r="13604" spans="5:5" x14ac:dyDescent="0.25">
      <c r="E13604"/>
    </row>
    <row r="13605" spans="5:5" x14ac:dyDescent="0.25">
      <c r="E13605"/>
    </row>
    <row r="13606" spans="5:5" x14ac:dyDescent="0.25">
      <c r="E13606"/>
    </row>
    <row r="13607" spans="5:5" x14ac:dyDescent="0.25">
      <c r="E13607"/>
    </row>
    <row r="13608" spans="5:5" x14ac:dyDescent="0.25">
      <c r="E13608"/>
    </row>
    <row r="13609" spans="5:5" x14ac:dyDescent="0.25">
      <c r="E13609"/>
    </row>
    <row r="13610" spans="5:5" x14ac:dyDescent="0.25">
      <c r="E13610"/>
    </row>
    <row r="13611" spans="5:5" x14ac:dyDescent="0.25">
      <c r="E13611"/>
    </row>
    <row r="13612" spans="5:5" x14ac:dyDescent="0.25">
      <c r="E13612"/>
    </row>
    <row r="13613" spans="5:5" x14ac:dyDescent="0.25">
      <c r="E13613"/>
    </row>
    <row r="13614" spans="5:5" x14ac:dyDescent="0.25">
      <c r="E13614"/>
    </row>
    <row r="13615" spans="5:5" x14ac:dyDescent="0.25">
      <c r="E13615"/>
    </row>
    <row r="13616" spans="5:5" x14ac:dyDescent="0.25">
      <c r="E13616"/>
    </row>
    <row r="13617" spans="5:5" x14ac:dyDescent="0.25">
      <c r="E13617"/>
    </row>
    <row r="13618" spans="5:5" x14ac:dyDescent="0.25">
      <c r="E13618"/>
    </row>
    <row r="13619" spans="5:5" x14ac:dyDescent="0.25">
      <c r="E13619"/>
    </row>
    <row r="13620" spans="5:5" x14ac:dyDescent="0.25">
      <c r="E13620"/>
    </row>
    <row r="13621" spans="5:5" x14ac:dyDescent="0.25">
      <c r="E13621"/>
    </row>
    <row r="13622" spans="5:5" x14ac:dyDescent="0.25">
      <c r="E13622"/>
    </row>
    <row r="13623" spans="5:5" x14ac:dyDescent="0.25">
      <c r="E13623"/>
    </row>
    <row r="13624" spans="5:5" x14ac:dyDescent="0.25">
      <c r="E13624"/>
    </row>
    <row r="13625" spans="5:5" x14ac:dyDescent="0.25">
      <c r="E13625"/>
    </row>
    <row r="13626" spans="5:5" x14ac:dyDescent="0.25">
      <c r="E13626"/>
    </row>
    <row r="13627" spans="5:5" x14ac:dyDescent="0.25">
      <c r="E13627"/>
    </row>
    <row r="13628" spans="5:5" x14ac:dyDescent="0.25">
      <c r="E13628"/>
    </row>
    <row r="13629" spans="5:5" x14ac:dyDescent="0.25">
      <c r="E13629"/>
    </row>
    <row r="13630" spans="5:5" x14ac:dyDescent="0.25">
      <c r="E13630"/>
    </row>
    <row r="13631" spans="5:5" x14ac:dyDescent="0.25">
      <c r="E13631"/>
    </row>
    <row r="13632" spans="5:5" x14ac:dyDescent="0.25">
      <c r="E13632"/>
    </row>
    <row r="13633" spans="5:5" x14ac:dyDescent="0.25">
      <c r="E13633"/>
    </row>
    <row r="13634" spans="5:5" x14ac:dyDescent="0.25">
      <c r="E13634"/>
    </row>
    <row r="13635" spans="5:5" x14ac:dyDescent="0.25">
      <c r="E13635"/>
    </row>
    <row r="13636" spans="5:5" x14ac:dyDescent="0.25">
      <c r="E13636"/>
    </row>
    <row r="13637" spans="5:5" x14ac:dyDescent="0.25">
      <c r="E13637"/>
    </row>
    <row r="13638" spans="5:5" x14ac:dyDescent="0.25">
      <c r="E13638"/>
    </row>
    <row r="13639" spans="5:5" x14ac:dyDescent="0.25">
      <c r="E13639"/>
    </row>
    <row r="13640" spans="5:5" x14ac:dyDescent="0.25">
      <c r="E13640"/>
    </row>
    <row r="13641" spans="5:5" x14ac:dyDescent="0.25">
      <c r="E13641"/>
    </row>
    <row r="13642" spans="5:5" x14ac:dyDescent="0.25">
      <c r="E13642"/>
    </row>
    <row r="13643" spans="5:5" x14ac:dyDescent="0.25">
      <c r="E13643"/>
    </row>
    <row r="13644" spans="5:5" x14ac:dyDescent="0.25">
      <c r="E13644"/>
    </row>
    <row r="13645" spans="5:5" x14ac:dyDescent="0.25">
      <c r="E13645"/>
    </row>
    <row r="13646" spans="5:5" x14ac:dyDescent="0.25">
      <c r="E13646"/>
    </row>
    <row r="13647" spans="5:5" x14ac:dyDescent="0.25">
      <c r="E13647"/>
    </row>
    <row r="13648" spans="5:5" x14ac:dyDescent="0.25">
      <c r="E13648"/>
    </row>
    <row r="13649" spans="5:5" x14ac:dyDescent="0.25">
      <c r="E13649"/>
    </row>
    <row r="13650" spans="5:5" x14ac:dyDescent="0.25">
      <c r="E13650"/>
    </row>
    <row r="13651" spans="5:5" x14ac:dyDescent="0.25">
      <c r="E13651"/>
    </row>
    <row r="13652" spans="5:5" x14ac:dyDescent="0.25">
      <c r="E13652"/>
    </row>
    <row r="13653" spans="5:5" x14ac:dyDescent="0.25">
      <c r="E13653"/>
    </row>
    <row r="13654" spans="5:5" x14ac:dyDescent="0.25">
      <c r="E13654"/>
    </row>
    <row r="13655" spans="5:5" x14ac:dyDescent="0.25">
      <c r="E13655"/>
    </row>
    <row r="13656" spans="5:5" x14ac:dyDescent="0.25">
      <c r="E13656"/>
    </row>
    <row r="13657" spans="5:5" x14ac:dyDescent="0.25">
      <c r="E13657"/>
    </row>
    <row r="13658" spans="5:5" x14ac:dyDescent="0.25">
      <c r="E13658"/>
    </row>
    <row r="13659" spans="5:5" x14ac:dyDescent="0.25">
      <c r="E13659"/>
    </row>
    <row r="13660" spans="5:5" x14ac:dyDescent="0.25">
      <c r="E13660"/>
    </row>
    <row r="13661" spans="5:5" x14ac:dyDescent="0.25">
      <c r="E13661"/>
    </row>
    <row r="13662" spans="5:5" x14ac:dyDescent="0.25">
      <c r="E13662"/>
    </row>
    <row r="13663" spans="5:5" x14ac:dyDescent="0.25">
      <c r="E13663"/>
    </row>
    <row r="13664" spans="5:5" x14ac:dyDescent="0.25">
      <c r="E13664"/>
    </row>
    <row r="13665" spans="5:5" x14ac:dyDescent="0.25">
      <c r="E13665"/>
    </row>
    <row r="13666" spans="5:5" x14ac:dyDescent="0.25">
      <c r="E13666"/>
    </row>
    <row r="13667" spans="5:5" x14ac:dyDescent="0.25">
      <c r="E13667"/>
    </row>
    <row r="13668" spans="5:5" x14ac:dyDescent="0.25">
      <c r="E13668"/>
    </row>
    <row r="13669" spans="5:5" x14ac:dyDescent="0.25">
      <c r="E13669"/>
    </row>
    <row r="13670" spans="5:5" x14ac:dyDescent="0.25">
      <c r="E13670"/>
    </row>
    <row r="13671" spans="5:5" x14ac:dyDescent="0.25">
      <c r="E13671"/>
    </row>
    <row r="13672" spans="5:5" x14ac:dyDescent="0.25">
      <c r="E13672"/>
    </row>
    <row r="13673" spans="5:5" x14ac:dyDescent="0.25">
      <c r="E13673"/>
    </row>
    <row r="13674" spans="5:5" x14ac:dyDescent="0.25">
      <c r="E13674"/>
    </row>
    <row r="13675" spans="5:5" x14ac:dyDescent="0.25">
      <c r="E13675"/>
    </row>
    <row r="13676" spans="5:5" x14ac:dyDescent="0.25">
      <c r="E13676"/>
    </row>
    <row r="13677" spans="5:5" x14ac:dyDescent="0.25">
      <c r="E13677"/>
    </row>
    <row r="13678" spans="5:5" x14ac:dyDescent="0.25">
      <c r="E13678"/>
    </row>
    <row r="13679" spans="5:5" x14ac:dyDescent="0.25">
      <c r="E13679"/>
    </row>
    <row r="13680" spans="5:5" x14ac:dyDescent="0.25">
      <c r="E13680"/>
    </row>
    <row r="13681" spans="5:5" x14ac:dyDescent="0.25">
      <c r="E13681"/>
    </row>
    <row r="13682" spans="5:5" x14ac:dyDescent="0.25">
      <c r="E13682"/>
    </row>
    <row r="13683" spans="5:5" x14ac:dyDescent="0.25">
      <c r="E13683"/>
    </row>
    <row r="13684" spans="5:5" x14ac:dyDescent="0.25">
      <c r="E13684"/>
    </row>
    <row r="13685" spans="5:5" x14ac:dyDescent="0.25">
      <c r="E13685"/>
    </row>
    <row r="13686" spans="5:5" x14ac:dyDescent="0.25">
      <c r="E13686"/>
    </row>
    <row r="13687" spans="5:5" x14ac:dyDescent="0.25">
      <c r="E13687"/>
    </row>
    <row r="13688" spans="5:5" x14ac:dyDescent="0.25">
      <c r="E13688"/>
    </row>
    <row r="13689" spans="5:5" x14ac:dyDescent="0.25">
      <c r="E13689"/>
    </row>
    <row r="13690" spans="5:5" x14ac:dyDescent="0.25">
      <c r="E13690"/>
    </row>
    <row r="13691" spans="5:5" x14ac:dyDescent="0.25">
      <c r="E13691"/>
    </row>
    <row r="13692" spans="5:5" x14ac:dyDescent="0.25">
      <c r="E13692"/>
    </row>
    <row r="13693" spans="5:5" x14ac:dyDescent="0.25">
      <c r="E13693"/>
    </row>
    <row r="13694" spans="5:5" x14ac:dyDescent="0.25">
      <c r="E13694"/>
    </row>
    <row r="13695" spans="5:5" x14ac:dyDescent="0.25">
      <c r="E13695"/>
    </row>
    <row r="13696" spans="5:5" x14ac:dyDescent="0.25">
      <c r="E13696"/>
    </row>
    <row r="13697" spans="5:5" x14ac:dyDescent="0.25">
      <c r="E13697"/>
    </row>
    <row r="13698" spans="5:5" x14ac:dyDescent="0.25">
      <c r="E13698"/>
    </row>
    <row r="13699" spans="5:5" x14ac:dyDescent="0.25">
      <c r="E13699"/>
    </row>
    <row r="13700" spans="5:5" x14ac:dyDescent="0.25">
      <c r="E13700"/>
    </row>
    <row r="13701" spans="5:5" x14ac:dyDescent="0.25">
      <c r="E13701"/>
    </row>
    <row r="13702" spans="5:5" x14ac:dyDescent="0.25">
      <c r="E13702"/>
    </row>
    <row r="13703" spans="5:5" x14ac:dyDescent="0.25">
      <c r="E13703"/>
    </row>
    <row r="13704" spans="5:5" x14ac:dyDescent="0.25">
      <c r="E13704"/>
    </row>
    <row r="13705" spans="5:5" x14ac:dyDescent="0.25">
      <c r="E13705"/>
    </row>
    <row r="13706" spans="5:5" x14ac:dyDescent="0.25">
      <c r="E13706"/>
    </row>
    <row r="13707" spans="5:5" x14ac:dyDescent="0.25">
      <c r="E13707"/>
    </row>
    <row r="13708" spans="5:5" x14ac:dyDescent="0.25">
      <c r="E13708"/>
    </row>
    <row r="13709" spans="5:5" x14ac:dyDescent="0.25">
      <c r="E13709"/>
    </row>
    <row r="13710" spans="5:5" x14ac:dyDescent="0.25">
      <c r="E13710"/>
    </row>
    <row r="13711" spans="5:5" x14ac:dyDescent="0.25">
      <c r="E13711"/>
    </row>
    <row r="13712" spans="5:5" x14ac:dyDescent="0.25">
      <c r="E13712"/>
    </row>
    <row r="13713" spans="5:5" x14ac:dyDescent="0.25">
      <c r="E13713"/>
    </row>
    <row r="13714" spans="5:5" x14ac:dyDescent="0.25">
      <c r="E13714"/>
    </row>
    <row r="13715" spans="5:5" x14ac:dyDescent="0.25">
      <c r="E13715"/>
    </row>
    <row r="13716" spans="5:5" x14ac:dyDescent="0.25">
      <c r="E13716"/>
    </row>
    <row r="13717" spans="5:5" x14ac:dyDescent="0.25">
      <c r="E13717"/>
    </row>
    <row r="13718" spans="5:5" x14ac:dyDescent="0.25">
      <c r="E13718"/>
    </row>
    <row r="13719" spans="5:5" x14ac:dyDescent="0.25">
      <c r="E13719"/>
    </row>
    <row r="13720" spans="5:5" x14ac:dyDescent="0.25">
      <c r="E13720"/>
    </row>
    <row r="13721" spans="5:5" x14ac:dyDescent="0.25">
      <c r="E13721"/>
    </row>
    <row r="13722" spans="5:5" x14ac:dyDescent="0.25">
      <c r="E13722"/>
    </row>
    <row r="13723" spans="5:5" x14ac:dyDescent="0.25">
      <c r="E13723"/>
    </row>
    <row r="13724" spans="5:5" x14ac:dyDescent="0.25">
      <c r="E13724"/>
    </row>
    <row r="13725" spans="5:5" x14ac:dyDescent="0.25">
      <c r="E13725"/>
    </row>
    <row r="13726" spans="5:5" x14ac:dyDescent="0.25">
      <c r="E13726"/>
    </row>
    <row r="13727" spans="5:5" x14ac:dyDescent="0.25">
      <c r="E13727"/>
    </row>
    <row r="13728" spans="5:5" x14ac:dyDescent="0.25">
      <c r="E13728"/>
    </row>
    <row r="13729" spans="5:5" x14ac:dyDescent="0.25">
      <c r="E13729"/>
    </row>
    <row r="13730" spans="5:5" x14ac:dyDescent="0.25">
      <c r="E13730"/>
    </row>
    <row r="13731" spans="5:5" x14ac:dyDescent="0.25">
      <c r="E13731"/>
    </row>
    <row r="13732" spans="5:5" x14ac:dyDescent="0.25">
      <c r="E13732"/>
    </row>
    <row r="13733" spans="5:5" x14ac:dyDescent="0.25">
      <c r="E13733"/>
    </row>
    <row r="13734" spans="5:5" x14ac:dyDescent="0.25">
      <c r="E13734"/>
    </row>
    <row r="13735" spans="5:5" x14ac:dyDescent="0.25">
      <c r="E13735"/>
    </row>
    <row r="13736" spans="5:5" x14ac:dyDescent="0.25">
      <c r="E13736"/>
    </row>
    <row r="13737" spans="5:5" x14ac:dyDescent="0.25">
      <c r="E13737"/>
    </row>
    <row r="13738" spans="5:5" x14ac:dyDescent="0.25">
      <c r="E13738"/>
    </row>
    <row r="13739" spans="5:5" x14ac:dyDescent="0.25">
      <c r="E13739"/>
    </row>
    <row r="13740" spans="5:5" x14ac:dyDescent="0.25">
      <c r="E13740"/>
    </row>
    <row r="13741" spans="5:5" x14ac:dyDescent="0.25">
      <c r="E13741"/>
    </row>
    <row r="13742" spans="5:5" x14ac:dyDescent="0.25">
      <c r="E13742"/>
    </row>
    <row r="13743" spans="5:5" x14ac:dyDescent="0.25">
      <c r="E13743"/>
    </row>
    <row r="13744" spans="5:5" x14ac:dyDescent="0.25">
      <c r="E13744"/>
    </row>
    <row r="13745" spans="5:5" x14ac:dyDescent="0.25">
      <c r="E13745"/>
    </row>
    <row r="13746" spans="5:5" x14ac:dyDescent="0.25">
      <c r="E13746"/>
    </row>
    <row r="13747" spans="5:5" x14ac:dyDescent="0.25">
      <c r="E13747"/>
    </row>
    <row r="13748" spans="5:5" x14ac:dyDescent="0.25">
      <c r="E13748"/>
    </row>
    <row r="13749" spans="5:5" x14ac:dyDescent="0.25">
      <c r="E13749"/>
    </row>
    <row r="13750" spans="5:5" x14ac:dyDescent="0.25">
      <c r="E13750"/>
    </row>
    <row r="13751" spans="5:5" x14ac:dyDescent="0.25">
      <c r="E13751"/>
    </row>
    <row r="13752" spans="5:5" x14ac:dyDescent="0.25">
      <c r="E13752"/>
    </row>
    <row r="13753" spans="5:5" x14ac:dyDescent="0.25">
      <c r="E13753"/>
    </row>
    <row r="13754" spans="5:5" x14ac:dyDescent="0.25">
      <c r="E13754"/>
    </row>
    <row r="13755" spans="5:5" x14ac:dyDescent="0.25">
      <c r="E13755"/>
    </row>
    <row r="13756" spans="5:5" x14ac:dyDescent="0.25">
      <c r="E13756"/>
    </row>
    <row r="13757" spans="5:5" x14ac:dyDescent="0.25">
      <c r="E13757"/>
    </row>
    <row r="13758" spans="5:5" x14ac:dyDescent="0.25">
      <c r="E13758"/>
    </row>
    <row r="13759" spans="5:5" x14ac:dyDescent="0.25">
      <c r="E13759"/>
    </row>
    <row r="13760" spans="5:5" x14ac:dyDescent="0.25">
      <c r="E13760"/>
    </row>
    <row r="13761" spans="5:5" x14ac:dyDescent="0.25">
      <c r="E13761"/>
    </row>
    <row r="13762" spans="5:5" x14ac:dyDescent="0.25">
      <c r="E13762"/>
    </row>
    <row r="13763" spans="5:5" x14ac:dyDescent="0.25">
      <c r="E13763"/>
    </row>
    <row r="13764" spans="5:5" x14ac:dyDescent="0.25">
      <c r="E13764"/>
    </row>
    <row r="13765" spans="5:5" x14ac:dyDescent="0.25">
      <c r="E13765"/>
    </row>
    <row r="13766" spans="5:5" x14ac:dyDescent="0.25">
      <c r="E13766"/>
    </row>
    <row r="13767" spans="5:5" x14ac:dyDescent="0.25">
      <c r="E13767"/>
    </row>
    <row r="13768" spans="5:5" x14ac:dyDescent="0.25">
      <c r="E13768"/>
    </row>
    <row r="13769" spans="5:5" x14ac:dyDescent="0.25">
      <c r="E13769"/>
    </row>
    <row r="13770" spans="5:5" x14ac:dyDescent="0.25">
      <c r="E13770"/>
    </row>
    <row r="13771" spans="5:5" x14ac:dyDescent="0.25">
      <c r="E13771"/>
    </row>
    <row r="13772" spans="5:5" x14ac:dyDescent="0.25">
      <c r="E13772"/>
    </row>
    <row r="13773" spans="5:5" x14ac:dyDescent="0.25">
      <c r="E13773"/>
    </row>
    <row r="13774" spans="5:5" x14ac:dyDescent="0.25">
      <c r="E13774"/>
    </row>
    <row r="13775" spans="5:5" x14ac:dyDescent="0.25">
      <c r="E13775"/>
    </row>
    <row r="13776" spans="5:5" x14ac:dyDescent="0.25">
      <c r="E13776"/>
    </row>
    <row r="13777" spans="5:5" x14ac:dyDescent="0.25">
      <c r="E13777"/>
    </row>
    <row r="13778" spans="5:5" x14ac:dyDescent="0.25">
      <c r="E13778"/>
    </row>
    <row r="13779" spans="5:5" x14ac:dyDescent="0.25">
      <c r="E13779"/>
    </row>
    <row r="13780" spans="5:5" x14ac:dyDescent="0.25">
      <c r="E13780"/>
    </row>
    <row r="13781" spans="5:5" x14ac:dyDescent="0.25">
      <c r="E13781"/>
    </row>
    <row r="13782" spans="5:5" x14ac:dyDescent="0.25">
      <c r="E13782"/>
    </row>
    <row r="13783" spans="5:5" x14ac:dyDescent="0.25">
      <c r="E13783"/>
    </row>
    <row r="13784" spans="5:5" x14ac:dyDescent="0.25">
      <c r="E13784"/>
    </row>
    <row r="13785" spans="5:5" x14ac:dyDescent="0.25">
      <c r="E13785"/>
    </row>
    <row r="13786" spans="5:5" x14ac:dyDescent="0.25">
      <c r="E13786"/>
    </row>
    <row r="13787" spans="5:5" x14ac:dyDescent="0.25">
      <c r="E13787"/>
    </row>
    <row r="13788" spans="5:5" x14ac:dyDescent="0.25">
      <c r="E13788"/>
    </row>
    <row r="13789" spans="5:5" x14ac:dyDescent="0.25">
      <c r="E13789"/>
    </row>
    <row r="13790" spans="5:5" x14ac:dyDescent="0.25">
      <c r="E13790"/>
    </row>
    <row r="13791" spans="5:5" x14ac:dyDescent="0.25">
      <c r="E13791"/>
    </row>
    <row r="13792" spans="5:5" x14ac:dyDescent="0.25">
      <c r="E13792"/>
    </row>
    <row r="13793" spans="5:5" x14ac:dyDescent="0.25">
      <c r="E13793"/>
    </row>
    <row r="13794" spans="5:5" x14ac:dyDescent="0.25">
      <c r="E13794"/>
    </row>
    <row r="13795" spans="5:5" x14ac:dyDescent="0.25">
      <c r="E13795"/>
    </row>
    <row r="13796" spans="5:5" x14ac:dyDescent="0.25">
      <c r="E13796"/>
    </row>
    <row r="13797" spans="5:5" x14ac:dyDescent="0.25">
      <c r="E13797"/>
    </row>
    <row r="13798" spans="5:5" x14ac:dyDescent="0.25">
      <c r="E13798"/>
    </row>
    <row r="13799" spans="5:5" x14ac:dyDescent="0.25">
      <c r="E13799"/>
    </row>
    <row r="13800" spans="5:5" x14ac:dyDescent="0.25">
      <c r="E13800"/>
    </row>
    <row r="13801" spans="5:5" x14ac:dyDescent="0.25">
      <c r="E13801"/>
    </row>
    <row r="13802" spans="5:5" x14ac:dyDescent="0.25">
      <c r="E13802"/>
    </row>
    <row r="13803" spans="5:5" x14ac:dyDescent="0.25">
      <c r="E13803"/>
    </row>
    <row r="13804" spans="5:5" x14ac:dyDescent="0.25">
      <c r="E13804"/>
    </row>
    <row r="13805" spans="5:5" x14ac:dyDescent="0.25">
      <c r="E13805"/>
    </row>
    <row r="13806" spans="5:5" x14ac:dyDescent="0.25">
      <c r="E13806"/>
    </row>
    <row r="13807" spans="5:5" x14ac:dyDescent="0.25">
      <c r="E13807"/>
    </row>
    <row r="13808" spans="5:5" x14ac:dyDescent="0.25">
      <c r="E13808"/>
    </row>
    <row r="13809" spans="5:5" x14ac:dyDescent="0.25">
      <c r="E13809"/>
    </row>
    <row r="13810" spans="5:5" x14ac:dyDescent="0.25">
      <c r="E13810"/>
    </row>
    <row r="13811" spans="5:5" x14ac:dyDescent="0.25">
      <c r="E13811"/>
    </row>
    <row r="13812" spans="5:5" x14ac:dyDescent="0.25">
      <c r="E13812"/>
    </row>
    <row r="13813" spans="5:5" x14ac:dyDescent="0.25">
      <c r="E13813"/>
    </row>
    <row r="13814" spans="5:5" x14ac:dyDescent="0.25">
      <c r="E13814"/>
    </row>
    <row r="13815" spans="5:5" x14ac:dyDescent="0.25">
      <c r="E13815"/>
    </row>
    <row r="13816" spans="5:5" x14ac:dyDescent="0.25">
      <c r="E13816"/>
    </row>
    <row r="13817" spans="5:5" x14ac:dyDescent="0.25">
      <c r="E13817"/>
    </row>
    <row r="13818" spans="5:5" x14ac:dyDescent="0.25">
      <c r="E13818"/>
    </row>
    <row r="13819" spans="5:5" x14ac:dyDescent="0.25">
      <c r="E13819"/>
    </row>
    <row r="13820" spans="5:5" x14ac:dyDescent="0.25">
      <c r="E13820"/>
    </row>
    <row r="13821" spans="5:5" x14ac:dyDescent="0.25">
      <c r="E13821"/>
    </row>
    <row r="13822" spans="5:5" x14ac:dyDescent="0.25">
      <c r="E13822"/>
    </row>
    <row r="13823" spans="5:5" x14ac:dyDescent="0.25">
      <c r="E13823"/>
    </row>
    <row r="13824" spans="5:5" x14ac:dyDescent="0.25">
      <c r="E13824"/>
    </row>
    <row r="13825" spans="5:5" x14ac:dyDescent="0.25">
      <c r="E13825"/>
    </row>
    <row r="13826" spans="5:5" x14ac:dyDescent="0.25">
      <c r="E13826"/>
    </row>
    <row r="13827" spans="5:5" x14ac:dyDescent="0.25">
      <c r="E13827"/>
    </row>
    <row r="13828" spans="5:5" x14ac:dyDescent="0.25">
      <c r="E13828"/>
    </row>
    <row r="13829" spans="5:5" x14ac:dyDescent="0.25">
      <c r="E13829"/>
    </row>
    <row r="13830" spans="5:5" x14ac:dyDescent="0.25">
      <c r="E13830"/>
    </row>
    <row r="13831" spans="5:5" x14ac:dyDescent="0.25">
      <c r="E13831"/>
    </row>
    <row r="13832" spans="5:5" x14ac:dyDescent="0.25">
      <c r="E13832"/>
    </row>
    <row r="13833" spans="5:5" x14ac:dyDescent="0.25">
      <c r="E13833"/>
    </row>
    <row r="13834" spans="5:5" x14ac:dyDescent="0.25">
      <c r="E13834"/>
    </row>
    <row r="13835" spans="5:5" x14ac:dyDescent="0.25">
      <c r="E13835"/>
    </row>
    <row r="13836" spans="5:5" x14ac:dyDescent="0.25">
      <c r="E13836"/>
    </row>
    <row r="13837" spans="5:5" x14ac:dyDescent="0.25">
      <c r="E13837"/>
    </row>
    <row r="13838" spans="5:5" x14ac:dyDescent="0.25">
      <c r="E13838"/>
    </row>
    <row r="13839" spans="5:5" x14ac:dyDescent="0.25">
      <c r="E13839"/>
    </row>
    <row r="13840" spans="5:5" x14ac:dyDescent="0.25">
      <c r="E13840"/>
    </row>
    <row r="13841" spans="5:5" x14ac:dyDescent="0.25">
      <c r="E13841"/>
    </row>
    <row r="13842" spans="5:5" x14ac:dyDescent="0.25">
      <c r="E13842"/>
    </row>
    <row r="13843" spans="5:5" x14ac:dyDescent="0.25">
      <c r="E13843"/>
    </row>
    <row r="13844" spans="5:5" x14ac:dyDescent="0.25">
      <c r="E13844"/>
    </row>
    <row r="13845" spans="5:5" x14ac:dyDescent="0.25">
      <c r="E13845"/>
    </row>
    <row r="13846" spans="5:5" x14ac:dyDescent="0.25">
      <c r="E13846"/>
    </row>
    <row r="13847" spans="5:5" x14ac:dyDescent="0.25">
      <c r="E13847"/>
    </row>
    <row r="13848" spans="5:5" x14ac:dyDescent="0.25">
      <c r="E13848"/>
    </row>
    <row r="13849" spans="5:5" x14ac:dyDescent="0.25">
      <c r="E13849"/>
    </row>
    <row r="13850" spans="5:5" x14ac:dyDescent="0.25">
      <c r="E13850"/>
    </row>
    <row r="13851" spans="5:5" x14ac:dyDescent="0.25">
      <c r="E13851"/>
    </row>
    <row r="13852" spans="5:5" x14ac:dyDescent="0.25">
      <c r="E13852"/>
    </row>
    <row r="13853" spans="5:5" x14ac:dyDescent="0.25">
      <c r="E13853"/>
    </row>
    <row r="13854" spans="5:5" x14ac:dyDescent="0.25">
      <c r="E13854"/>
    </row>
    <row r="13855" spans="5:5" x14ac:dyDescent="0.25">
      <c r="E13855"/>
    </row>
    <row r="13856" spans="5:5" x14ac:dyDescent="0.25">
      <c r="E13856"/>
    </row>
    <row r="13857" spans="5:5" x14ac:dyDescent="0.25">
      <c r="E13857"/>
    </row>
    <row r="13858" spans="5:5" x14ac:dyDescent="0.25">
      <c r="E13858"/>
    </row>
    <row r="13859" spans="5:5" x14ac:dyDescent="0.25">
      <c r="E13859"/>
    </row>
    <row r="13860" spans="5:5" x14ac:dyDescent="0.25">
      <c r="E13860"/>
    </row>
    <row r="13861" spans="5:5" x14ac:dyDescent="0.25">
      <c r="E13861"/>
    </row>
    <row r="13862" spans="5:5" x14ac:dyDescent="0.25">
      <c r="E13862"/>
    </row>
    <row r="13863" spans="5:5" x14ac:dyDescent="0.25">
      <c r="E13863"/>
    </row>
    <row r="13864" spans="5:5" x14ac:dyDescent="0.25">
      <c r="E13864"/>
    </row>
    <row r="13865" spans="5:5" x14ac:dyDescent="0.25">
      <c r="E13865"/>
    </row>
    <row r="13866" spans="5:5" x14ac:dyDescent="0.25">
      <c r="E13866"/>
    </row>
    <row r="13867" spans="5:5" x14ac:dyDescent="0.25">
      <c r="E13867"/>
    </row>
    <row r="13868" spans="5:5" x14ac:dyDescent="0.25">
      <c r="E13868"/>
    </row>
    <row r="13869" spans="5:5" x14ac:dyDescent="0.25">
      <c r="E13869"/>
    </row>
    <row r="13870" spans="5:5" x14ac:dyDescent="0.25">
      <c r="E13870"/>
    </row>
    <row r="13871" spans="5:5" x14ac:dyDescent="0.25">
      <c r="E13871"/>
    </row>
    <row r="13872" spans="5:5" x14ac:dyDescent="0.25">
      <c r="E13872"/>
    </row>
    <row r="13873" spans="5:5" x14ac:dyDescent="0.25">
      <c r="E13873"/>
    </row>
    <row r="13874" spans="5:5" x14ac:dyDescent="0.25">
      <c r="E13874"/>
    </row>
    <row r="13875" spans="5:5" x14ac:dyDescent="0.25">
      <c r="E13875"/>
    </row>
    <row r="13876" spans="5:5" x14ac:dyDescent="0.25">
      <c r="E13876"/>
    </row>
    <row r="13877" spans="5:5" x14ac:dyDescent="0.25">
      <c r="E13877"/>
    </row>
    <row r="13878" spans="5:5" x14ac:dyDescent="0.25">
      <c r="E13878"/>
    </row>
    <row r="13879" spans="5:5" x14ac:dyDescent="0.25">
      <c r="E13879"/>
    </row>
    <row r="13880" spans="5:5" x14ac:dyDescent="0.25">
      <c r="E13880"/>
    </row>
    <row r="13881" spans="5:5" x14ac:dyDescent="0.25">
      <c r="E13881"/>
    </row>
    <row r="13882" spans="5:5" x14ac:dyDescent="0.25">
      <c r="E13882"/>
    </row>
    <row r="13883" spans="5:5" x14ac:dyDescent="0.25">
      <c r="E13883"/>
    </row>
    <row r="13884" spans="5:5" x14ac:dyDescent="0.25">
      <c r="E13884"/>
    </row>
    <row r="13885" spans="5:5" x14ac:dyDescent="0.25">
      <c r="E13885"/>
    </row>
    <row r="13886" spans="5:5" x14ac:dyDescent="0.25">
      <c r="E13886"/>
    </row>
    <row r="13887" spans="5:5" x14ac:dyDescent="0.25">
      <c r="E13887"/>
    </row>
    <row r="13888" spans="5:5" x14ac:dyDescent="0.25">
      <c r="E13888"/>
    </row>
    <row r="13889" spans="5:5" x14ac:dyDescent="0.25">
      <c r="E13889"/>
    </row>
    <row r="13890" spans="5:5" x14ac:dyDescent="0.25">
      <c r="E13890"/>
    </row>
    <row r="13891" spans="5:5" x14ac:dyDescent="0.25">
      <c r="E13891"/>
    </row>
    <row r="13892" spans="5:5" x14ac:dyDescent="0.25">
      <c r="E13892"/>
    </row>
    <row r="13893" spans="5:5" x14ac:dyDescent="0.25">
      <c r="E13893"/>
    </row>
    <row r="13894" spans="5:5" x14ac:dyDescent="0.25">
      <c r="E13894"/>
    </row>
    <row r="13895" spans="5:5" x14ac:dyDescent="0.25">
      <c r="E13895"/>
    </row>
    <row r="13896" spans="5:5" x14ac:dyDescent="0.25">
      <c r="E13896"/>
    </row>
    <row r="13897" spans="5:5" x14ac:dyDescent="0.25">
      <c r="E13897"/>
    </row>
    <row r="13898" spans="5:5" x14ac:dyDescent="0.25">
      <c r="E13898"/>
    </row>
    <row r="13899" spans="5:5" x14ac:dyDescent="0.25">
      <c r="E13899"/>
    </row>
    <row r="13900" spans="5:5" x14ac:dyDescent="0.25">
      <c r="E13900"/>
    </row>
    <row r="13901" spans="5:5" x14ac:dyDescent="0.25">
      <c r="E13901"/>
    </row>
    <row r="13902" spans="5:5" x14ac:dyDescent="0.25">
      <c r="E13902"/>
    </row>
    <row r="13903" spans="5:5" x14ac:dyDescent="0.25">
      <c r="E13903"/>
    </row>
    <row r="13904" spans="5:5" x14ac:dyDescent="0.25">
      <c r="E13904"/>
    </row>
    <row r="13905" spans="5:5" x14ac:dyDescent="0.25">
      <c r="E13905"/>
    </row>
    <row r="13906" spans="5:5" x14ac:dyDescent="0.25">
      <c r="E13906"/>
    </row>
    <row r="13907" spans="5:5" x14ac:dyDescent="0.25">
      <c r="E13907"/>
    </row>
    <row r="13908" spans="5:5" x14ac:dyDescent="0.25">
      <c r="E13908"/>
    </row>
    <row r="13909" spans="5:5" x14ac:dyDescent="0.25">
      <c r="E13909"/>
    </row>
    <row r="13910" spans="5:5" x14ac:dyDescent="0.25">
      <c r="E13910"/>
    </row>
    <row r="13911" spans="5:5" x14ac:dyDescent="0.25">
      <c r="E13911"/>
    </row>
    <row r="13912" spans="5:5" x14ac:dyDescent="0.25">
      <c r="E13912"/>
    </row>
    <row r="13913" spans="5:5" x14ac:dyDescent="0.25">
      <c r="E13913"/>
    </row>
    <row r="13914" spans="5:5" x14ac:dyDescent="0.25">
      <c r="E13914"/>
    </row>
    <row r="13915" spans="5:5" x14ac:dyDescent="0.25">
      <c r="E13915"/>
    </row>
    <row r="13916" spans="5:5" x14ac:dyDescent="0.25">
      <c r="E13916"/>
    </row>
    <row r="13917" spans="5:5" x14ac:dyDescent="0.25">
      <c r="E13917"/>
    </row>
    <row r="13918" spans="5:5" x14ac:dyDescent="0.25">
      <c r="E13918"/>
    </row>
    <row r="13919" spans="5:5" x14ac:dyDescent="0.25">
      <c r="E13919"/>
    </row>
    <row r="13920" spans="5:5" x14ac:dyDescent="0.25">
      <c r="E13920"/>
    </row>
    <row r="13921" spans="5:5" x14ac:dyDescent="0.25">
      <c r="E13921"/>
    </row>
    <row r="13922" spans="5:5" x14ac:dyDescent="0.25">
      <c r="E13922"/>
    </row>
    <row r="13923" spans="5:5" x14ac:dyDescent="0.25">
      <c r="E13923"/>
    </row>
    <row r="13924" spans="5:5" x14ac:dyDescent="0.25">
      <c r="E13924"/>
    </row>
    <row r="13925" spans="5:5" x14ac:dyDescent="0.25">
      <c r="E13925"/>
    </row>
    <row r="13926" spans="5:5" x14ac:dyDescent="0.25">
      <c r="E13926"/>
    </row>
    <row r="13927" spans="5:5" x14ac:dyDescent="0.25">
      <c r="E13927"/>
    </row>
    <row r="13928" spans="5:5" x14ac:dyDescent="0.25">
      <c r="E13928"/>
    </row>
    <row r="13929" spans="5:5" x14ac:dyDescent="0.25">
      <c r="E13929"/>
    </row>
    <row r="13930" spans="5:5" x14ac:dyDescent="0.25">
      <c r="E13930"/>
    </row>
    <row r="13931" spans="5:5" x14ac:dyDescent="0.25">
      <c r="E13931"/>
    </row>
    <row r="13932" spans="5:5" x14ac:dyDescent="0.25">
      <c r="E13932"/>
    </row>
    <row r="13933" spans="5:5" x14ac:dyDescent="0.25">
      <c r="E13933"/>
    </row>
    <row r="13934" spans="5:5" x14ac:dyDescent="0.25">
      <c r="E13934"/>
    </row>
    <row r="13935" spans="5:5" x14ac:dyDescent="0.25">
      <c r="E13935"/>
    </row>
    <row r="13936" spans="5:5" x14ac:dyDescent="0.25">
      <c r="E13936"/>
    </row>
    <row r="13937" spans="5:5" x14ac:dyDescent="0.25">
      <c r="E13937"/>
    </row>
    <row r="13938" spans="5:5" x14ac:dyDescent="0.25">
      <c r="E13938"/>
    </row>
    <row r="13939" spans="5:5" x14ac:dyDescent="0.25">
      <c r="E13939"/>
    </row>
    <row r="13940" spans="5:5" x14ac:dyDescent="0.25">
      <c r="E13940"/>
    </row>
    <row r="13941" spans="5:5" x14ac:dyDescent="0.25">
      <c r="E13941"/>
    </row>
    <row r="13942" spans="5:5" x14ac:dyDescent="0.25">
      <c r="E13942"/>
    </row>
    <row r="13943" spans="5:5" x14ac:dyDescent="0.25">
      <c r="E13943"/>
    </row>
    <row r="13944" spans="5:5" x14ac:dyDescent="0.25">
      <c r="E13944"/>
    </row>
    <row r="13945" spans="5:5" x14ac:dyDescent="0.25">
      <c r="E13945"/>
    </row>
    <row r="13946" spans="5:5" x14ac:dyDescent="0.25">
      <c r="E13946"/>
    </row>
    <row r="13947" spans="5:5" x14ac:dyDescent="0.25">
      <c r="E13947"/>
    </row>
    <row r="13948" spans="5:5" x14ac:dyDescent="0.25">
      <c r="E13948"/>
    </row>
    <row r="13949" spans="5:5" x14ac:dyDescent="0.25">
      <c r="E13949"/>
    </row>
    <row r="13950" spans="5:5" x14ac:dyDescent="0.25">
      <c r="E13950"/>
    </row>
    <row r="13951" spans="5:5" x14ac:dyDescent="0.25">
      <c r="E13951"/>
    </row>
    <row r="13952" spans="5:5" x14ac:dyDescent="0.25">
      <c r="E13952"/>
    </row>
    <row r="13953" spans="5:5" x14ac:dyDescent="0.25">
      <c r="E13953"/>
    </row>
    <row r="13954" spans="5:5" x14ac:dyDescent="0.25">
      <c r="E13954"/>
    </row>
    <row r="13955" spans="5:5" x14ac:dyDescent="0.25">
      <c r="E13955"/>
    </row>
    <row r="13956" spans="5:5" x14ac:dyDescent="0.25">
      <c r="E13956"/>
    </row>
    <row r="13957" spans="5:5" x14ac:dyDescent="0.25">
      <c r="E13957"/>
    </row>
    <row r="13958" spans="5:5" x14ac:dyDescent="0.25">
      <c r="E13958"/>
    </row>
    <row r="13959" spans="5:5" x14ac:dyDescent="0.25">
      <c r="E13959"/>
    </row>
    <row r="13960" spans="5:5" x14ac:dyDescent="0.25">
      <c r="E13960"/>
    </row>
    <row r="13961" spans="5:5" x14ac:dyDescent="0.25">
      <c r="E13961"/>
    </row>
    <row r="13962" spans="5:5" x14ac:dyDescent="0.25">
      <c r="E13962"/>
    </row>
    <row r="13963" spans="5:5" x14ac:dyDescent="0.25">
      <c r="E13963"/>
    </row>
    <row r="13964" spans="5:5" x14ac:dyDescent="0.25">
      <c r="E13964"/>
    </row>
    <row r="13965" spans="5:5" x14ac:dyDescent="0.25">
      <c r="E13965"/>
    </row>
    <row r="13966" spans="5:5" x14ac:dyDescent="0.25">
      <c r="E13966"/>
    </row>
    <row r="13967" spans="5:5" x14ac:dyDescent="0.25">
      <c r="E13967"/>
    </row>
    <row r="13968" spans="5:5" x14ac:dyDescent="0.25">
      <c r="E13968"/>
    </row>
    <row r="13969" spans="5:5" x14ac:dyDescent="0.25">
      <c r="E13969"/>
    </row>
    <row r="13970" spans="5:5" x14ac:dyDescent="0.25">
      <c r="E13970"/>
    </row>
    <row r="13971" spans="5:5" x14ac:dyDescent="0.25">
      <c r="E13971"/>
    </row>
    <row r="13972" spans="5:5" x14ac:dyDescent="0.25">
      <c r="E13972"/>
    </row>
    <row r="13973" spans="5:5" x14ac:dyDescent="0.25">
      <c r="E13973"/>
    </row>
    <row r="13974" spans="5:5" x14ac:dyDescent="0.25">
      <c r="E13974"/>
    </row>
    <row r="13975" spans="5:5" x14ac:dyDescent="0.25">
      <c r="E13975"/>
    </row>
    <row r="13976" spans="5:5" x14ac:dyDescent="0.25">
      <c r="E13976"/>
    </row>
    <row r="13977" spans="5:5" x14ac:dyDescent="0.25">
      <c r="E13977"/>
    </row>
    <row r="13978" spans="5:5" x14ac:dyDescent="0.25">
      <c r="E13978"/>
    </row>
    <row r="13979" spans="5:5" x14ac:dyDescent="0.25">
      <c r="E13979"/>
    </row>
    <row r="13980" spans="5:5" x14ac:dyDescent="0.25">
      <c r="E13980"/>
    </row>
    <row r="13981" spans="5:5" x14ac:dyDescent="0.25">
      <c r="E13981"/>
    </row>
    <row r="13982" spans="5:5" x14ac:dyDescent="0.25">
      <c r="E13982"/>
    </row>
    <row r="13983" spans="5:5" x14ac:dyDescent="0.25">
      <c r="E13983"/>
    </row>
    <row r="13984" spans="5:5" x14ac:dyDescent="0.25">
      <c r="E13984"/>
    </row>
    <row r="13985" spans="5:5" x14ac:dyDescent="0.25">
      <c r="E13985"/>
    </row>
    <row r="13986" spans="5:5" x14ac:dyDescent="0.25">
      <c r="E13986"/>
    </row>
    <row r="13987" spans="5:5" x14ac:dyDescent="0.25">
      <c r="E13987"/>
    </row>
    <row r="13988" spans="5:5" x14ac:dyDescent="0.25">
      <c r="E13988"/>
    </row>
    <row r="13989" spans="5:5" x14ac:dyDescent="0.25">
      <c r="E13989"/>
    </row>
    <row r="13990" spans="5:5" x14ac:dyDescent="0.25">
      <c r="E13990"/>
    </row>
    <row r="13991" spans="5:5" x14ac:dyDescent="0.25">
      <c r="E13991"/>
    </row>
    <row r="13992" spans="5:5" x14ac:dyDescent="0.25">
      <c r="E13992"/>
    </row>
    <row r="13993" spans="5:5" x14ac:dyDescent="0.25">
      <c r="E13993"/>
    </row>
    <row r="13994" spans="5:5" x14ac:dyDescent="0.25">
      <c r="E13994"/>
    </row>
    <row r="13995" spans="5:5" x14ac:dyDescent="0.25">
      <c r="E13995"/>
    </row>
    <row r="13996" spans="5:5" x14ac:dyDescent="0.25">
      <c r="E13996"/>
    </row>
    <row r="13997" spans="5:5" x14ac:dyDescent="0.25">
      <c r="E13997"/>
    </row>
    <row r="13998" spans="5:5" x14ac:dyDescent="0.25">
      <c r="E13998"/>
    </row>
    <row r="13999" spans="5:5" x14ac:dyDescent="0.25">
      <c r="E13999"/>
    </row>
    <row r="14000" spans="5:5" x14ac:dyDescent="0.25">
      <c r="E14000"/>
    </row>
    <row r="14001" spans="5:5" x14ac:dyDescent="0.25">
      <c r="E14001"/>
    </row>
    <row r="14002" spans="5:5" x14ac:dyDescent="0.25">
      <c r="E14002"/>
    </row>
    <row r="14003" spans="5:5" x14ac:dyDescent="0.25">
      <c r="E14003"/>
    </row>
    <row r="14004" spans="5:5" x14ac:dyDescent="0.25">
      <c r="E14004"/>
    </row>
    <row r="14005" spans="5:5" x14ac:dyDescent="0.25">
      <c r="E14005"/>
    </row>
    <row r="14006" spans="5:5" x14ac:dyDescent="0.25">
      <c r="E14006"/>
    </row>
    <row r="14007" spans="5:5" x14ac:dyDescent="0.25">
      <c r="E14007"/>
    </row>
    <row r="14008" spans="5:5" x14ac:dyDescent="0.25">
      <c r="E14008"/>
    </row>
    <row r="14009" spans="5:5" x14ac:dyDescent="0.25">
      <c r="E14009"/>
    </row>
    <row r="14010" spans="5:5" x14ac:dyDescent="0.25">
      <c r="E14010"/>
    </row>
    <row r="14011" spans="5:5" x14ac:dyDescent="0.25">
      <c r="E14011"/>
    </row>
    <row r="14012" spans="5:5" x14ac:dyDescent="0.25">
      <c r="E14012"/>
    </row>
    <row r="14013" spans="5:5" x14ac:dyDescent="0.25">
      <c r="E14013"/>
    </row>
    <row r="14014" spans="5:5" x14ac:dyDescent="0.25">
      <c r="E14014"/>
    </row>
    <row r="14015" spans="5:5" x14ac:dyDescent="0.25">
      <c r="E14015"/>
    </row>
    <row r="14016" spans="5:5" x14ac:dyDescent="0.25">
      <c r="E14016"/>
    </row>
    <row r="14017" spans="5:5" x14ac:dyDescent="0.25">
      <c r="E14017"/>
    </row>
    <row r="14018" spans="5:5" x14ac:dyDescent="0.25">
      <c r="E14018"/>
    </row>
    <row r="14019" spans="5:5" x14ac:dyDescent="0.25">
      <c r="E14019"/>
    </row>
    <row r="14020" spans="5:5" x14ac:dyDescent="0.25">
      <c r="E14020"/>
    </row>
    <row r="14021" spans="5:5" x14ac:dyDescent="0.25">
      <c r="E14021"/>
    </row>
    <row r="14022" spans="5:5" x14ac:dyDescent="0.25">
      <c r="E14022"/>
    </row>
    <row r="14023" spans="5:5" x14ac:dyDescent="0.25">
      <c r="E14023"/>
    </row>
    <row r="14024" spans="5:5" x14ac:dyDescent="0.25">
      <c r="E14024"/>
    </row>
    <row r="14025" spans="5:5" x14ac:dyDescent="0.25">
      <c r="E14025"/>
    </row>
    <row r="14026" spans="5:5" x14ac:dyDescent="0.25">
      <c r="E14026"/>
    </row>
    <row r="14027" spans="5:5" x14ac:dyDescent="0.25">
      <c r="E14027"/>
    </row>
    <row r="14028" spans="5:5" x14ac:dyDescent="0.25">
      <c r="E14028"/>
    </row>
    <row r="14029" spans="5:5" x14ac:dyDescent="0.25">
      <c r="E14029"/>
    </row>
    <row r="14030" spans="5:5" x14ac:dyDescent="0.25">
      <c r="E14030"/>
    </row>
    <row r="14031" spans="5:5" x14ac:dyDescent="0.25">
      <c r="E14031"/>
    </row>
    <row r="14032" spans="5:5" x14ac:dyDescent="0.25">
      <c r="E14032"/>
    </row>
    <row r="14033" spans="5:5" x14ac:dyDescent="0.25">
      <c r="E14033"/>
    </row>
    <row r="14034" spans="5:5" x14ac:dyDescent="0.25">
      <c r="E14034"/>
    </row>
    <row r="14035" spans="5:5" x14ac:dyDescent="0.25">
      <c r="E14035"/>
    </row>
    <row r="14036" spans="5:5" x14ac:dyDescent="0.25">
      <c r="E14036"/>
    </row>
    <row r="14037" spans="5:5" x14ac:dyDescent="0.25">
      <c r="E14037"/>
    </row>
    <row r="14038" spans="5:5" x14ac:dyDescent="0.25">
      <c r="E14038"/>
    </row>
    <row r="14039" spans="5:5" x14ac:dyDescent="0.25">
      <c r="E14039"/>
    </row>
    <row r="14040" spans="5:5" x14ac:dyDescent="0.25">
      <c r="E14040"/>
    </row>
    <row r="14041" spans="5:5" x14ac:dyDescent="0.25">
      <c r="E14041"/>
    </row>
    <row r="14042" spans="5:5" x14ac:dyDescent="0.25">
      <c r="E14042"/>
    </row>
    <row r="14043" spans="5:5" x14ac:dyDescent="0.25">
      <c r="E14043"/>
    </row>
    <row r="14044" spans="5:5" x14ac:dyDescent="0.25">
      <c r="E14044"/>
    </row>
    <row r="14045" spans="5:5" x14ac:dyDescent="0.25">
      <c r="E14045"/>
    </row>
    <row r="14046" spans="5:5" x14ac:dyDescent="0.25">
      <c r="E14046"/>
    </row>
    <row r="14047" spans="5:5" x14ac:dyDescent="0.25">
      <c r="E14047"/>
    </row>
    <row r="14048" spans="5:5" x14ac:dyDescent="0.25">
      <c r="E14048"/>
    </row>
    <row r="14049" spans="5:5" x14ac:dyDescent="0.25">
      <c r="E14049"/>
    </row>
    <row r="14050" spans="5:5" x14ac:dyDescent="0.25">
      <c r="E14050"/>
    </row>
    <row r="14051" spans="5:5" x14ac:dyDescent="0.25">
      <c r="E14051"/>
    </row>
    <row r="14052" spans="5:5" x14ac:dyDescent="0.25">
      <c r="E14052"/>
    </row>
    <row r="14053" spans="5:5" x14ac:dyDescent="0.25">
      <c r="E14053"/>
    </row>
    <row r="14054" spans="5:5" x14ac:dyDescent="0.25">
      <c r="E14054"/>
    </row>
    <row r="14055" spans="5:5" x14ac:dyDescent="0.25">
      <c r="E14055"/>
    </row>
    <row r="14056" spans="5:5" x14ac:dyDescent="0.25">
      <c r="E14056"/>
    </row>
    <row r="14057" spans="5:5" x14ac:dyDescent="0.25">
      <c r="E14057"/>
    </row>
    <row r="14058" spans="5:5" x14ac:dyDescent="0.25">
      <c r="E14058"/>
    </row>
    <row r="14059" spans="5:5" x14ac:dyDescent="0.25">
      <c r="E14059"/>
    </row>
    <row r="14060" spans="5:5" x14ac:dyDescent="0.25">
      <c r="E14060"/>
    </row>
    <row r="14061" spans="5:5" x14ac:dyDescent="0.25">
      <c r="E14061"/>
    </row>
    <row r="14062" spans="5:5" x14ac:dyDescent="0.25">
      <c r="E14062"/>
    </row>
    <row r="14063" spans="5:5" x14ac:dyDescent="0.25">
      <c r="E14063"/>
    </row>
    <row r="14064" spans="5:5" x14ac:dyDescent="0.25">
      <c r="E14064"/>
    </row>
    <row r="14065" spans="5:5" x14ac:dyDescent="0.25">
      <c r="E14065"/>
    </row>
    <row r="14066" spans="5:5" x14ac:dyDescent="0.25">
      <c r="E14066"/>
    </row>
    <row r="14067" spans="5:5" x14ac:dyDescent="0.25">
      <c r="E14067"/>
    </row>
    <row r="14068" spans="5:5" x14ac:dyDescent="0.25">
      <c r="E14068"/>
    </row>
    <row r="14069" spans="5:5" x14ac:dyDescent="0.25">
      <c r="E14069"/>
    </row>
    <row r="14070" spans="5:5" x14ac:dyDescent="0.25">
      <c r="E14070"/>
    </row>
    <row r="14071" spans="5:5" x14ac:dyDescent="0.25">
      <c r="E14071"/>
    </row>
    <row r="14072" spans="5:5" x14ac:dyDescent="0.25">
      <c r="E14072"/>
    </row>
    <row r="14073" spans="5:5" x14ac:dyDescent="0.25">
      <c r="E14073"/>
    </row>
    <row r="14074" spans="5:5" x14ac:dyDescent="0.25">
      <c r="E14074"/>
    </row>
    <row r="14075" spans="5:5" x14ac:dyDescent="0.25">
      <c r="E14075"/>
    </row>
    <row r="14076" spans="5:5" x14ac:dyDescent="0.25">
      <c r="E14076"/>
    </row>
    <row r="14077" spans="5:5" x14ac:dyDescent="0.25">
      <c r="E14077"/>
    </row>
    <row r="14078" spans="5:5" x14ac:dyDescent="0.25">
      <c r="E14078"/>
    </row>
    <row r="14079" spans="5:5" x14ac:dyDescent="0.25">
      <c r="E14079"/>
    </row>
    <row r="14080" spans="5:5" x14ac:dyDescent="0.25">
      <c r="E14080"/>
    </row>
    <row r="14081" spans="5:5" x14ac:dyDescent="0.25">
      <c r="E14081"/>
    </row>
    <row r="14082" spans="5:5" x14ac:dyDescent="0.25">
      <c r="E14082"/>
    </row>
    <row r="14083" spans="5:5" x14ac:dyDescent="0.25">
      <c r="E14083"/>
    </row>
    <row r="14084" spans="5:5" x14ac:dyDescent="0.25">
      <c r="E14084"/>
    </row>
    <row r="14085" spans="5:5" x14ac:dyDescent="0.25">
      <c r="E14085"/>
    </row>
    <row r="14086" spans="5:5" x14ac:dyDescent="0.25">
      <c r="E14086"/>
    </row>
    <row r="14087" spans="5:5" x14ac:dyDescent="0.25">
      <c r="E14087"/>
    </row>
    <row r="14088" spans="5:5" x14ac:dyDescent="0.25">
      <c r="E14088"/>
    </row>
    <row r="14089" spans="5:5" x14ac:dyDescent="0.25">
      <c r="E14089"/>
    </row>
    <row r="14090" spans="5:5" x14ac:dyDescent="0.25">
      <c r="E14090"/>
    </row>
    <row r="14091" spans="5:5" x14ac:dyDescent="0.25">
      <c r="E14091"/>
    </row>
    <row r="14092" spans="5:5" x14ac:dyDescent="0.25">
      <c r="E14092"/>
    </row>
    <row r="14093" spans="5:5" x14ac:dyDescent="0.25">
      <c r="E14093"/>
    </row>
    <row r="14094" spans="5:5" x14ac:dyDescent="0.25">
      <c r="E14094"/>
    </row>
    <row r="14095" spans="5:5" x14ac:dyDescent="0.25">
      <c r="E14095"/>
    </row>
    <row r="14096" spans="5:5" x14ac:dyDescent="0.25">
      <c r="E14096"/>
    </row>
    <row r="14097" spans="5:5" x14ac:dyDescent="0.25">
      <c r="E14097"/>
    </row>
    <row r="14098" spans="5:5" x14ac:dyDescent="0.25">
      <c r="E14098"/>
    </row>
    <row r="14099" spans="5:5" x14ac:dyDescent="0.25">
      <c r="E14099"/>
    </row>
    <row r="14100" spans="5:5" x14ac:dyDescent="0.25">
      <c r="E14100"/>
    </row>
    <row r="14101" spans="5:5" x14ac:dyDescent="0.25">
      <c r="E14101"/>
    </row>
    <row r="14102" spans="5:5" x14ac:dyDescent="0.25">
      <c r="E14102"/>
    </row>
    <row r="14103" spans="5:5" x14ac:dyDescent="0.25">
      <c r="E14103"/>
    </row>
    <row r="14104" spans="5:5" x14ac:dyDescent="0.25">
      <c r="E14104"/>
    </row>
    <row r="14105" spans="5:5" x14ac:dyDescent="0.25">
      <c r="E14105"/>
    </row>
    <row r="14106" spans="5:5" x14ac:dyDescent="0.25">
      <c r="E14106"/>
    </row>
    <row r="14107" spans="5:5" x14ac:dyDescent="0.25">
      <c r="E14107"/>
    </row>
    <row r="14108" spans="5:5" x14ac:dyDescent="0.25">
      <c r="E14108"/>
    </row>
    <row r="14109" spans="5:5" x14ac:dyDescent="0.25">
      <c r="E14109"/>
    </row>
    <row r="14110" spans="5:5" x14ac:dyDescent="0.25">
      <c r="E14110"/>
    </row>
    <row r="14111" spans="5:5" x14ac:dyDescent="0.25">
      <c r="E14111"/>
    </row>
    <row r="14112" spans="5:5" x14ac:dyDescent="0.25">
      <c r="E14112"/>
    </row>
    <row r="14113" spans="5:5" x14ac:dyDescent="0.25">
      <c r="E14113"/>
    </row>
    <row r="14114" spans="5:5" x14ac:dyDescent="0.25">
      <c r="E14114"/>
    </row>
    <row r="14115" spans="5:5" x14ac:dyDescent="0.25">
      <c r="E14115"/>
    </row>
    <row r="14116" spans="5:5" x14ac:dyDescent="0.25">
      <c r="E14116"/>
    </row>
    <row r="14117" spans="5:5" x14ac:dyDescent="0.25">
      <c r="E14117"/>
    </row>
    <row r="14118" spans="5:5" x14ac:dyDescent="0.25">
      <c r="E14118"/>
    </row>
    <row r="14119" spans="5:5" x14ac:dyDescent="0.25">
      <c r="E14119"/>
    </row>
    <row r="14120" spans="5:5" x14ac:dyDescent="0.25">
      <c r="E14120"/>
    </row>
    <row r="14121" spans="5:5" x14ac:dyDescent="0.25">
      <c r="E14121"/>
    </row>
    <row r="14122" spans="5:5" x14ac:dyDescent="0.25">
      <c r="E14122"/>
    </row>
    <row r="14123" spans="5:5" x14ac:dyDescent="0.25">
      <c r="E14123"/>
    </row>
    <row r="14124" spans="5:5" x14ac:dyDescent="0.25">
      <c r="E14124"/>
    </row>
    <row r="14125" spans="5:5" x14ac:dyDescent="0.25">
      <c r="E14125"/>
    </row>
    <row r="14126" spans="5:5" x14ac:dyDescent="0.25">
      <c r="E14126"/>
    </row>
    <row r="14127" spans="5:5" x14ac:dyDescent="0.25">
      <c r="E14127"/>
    </row>
    <row r="14128" spans="5:5" x14ac:dyDescent="0.25">
      <c r="E14128"/>
    </row>
    <row r="14129" spans="5:5" x14ac:dyDescent="0.25">
      <c r="E14129"/>
    </row>
    <row r="14130" spans="5:5" x14ac:dyDescent="0.25">
      <c r="E14130"/>
    </row>
    <row r="14131" spans="5:5" x14ac:dyDescent="0.25">
      <c r="E14131"/>
    </row>
    <row r="14132" spans="5:5" x14ac:dyDescent="0.25">
      <c r="E14132"/>
    </row>
    <row r="14133" spans="5:5" x14ac:dyDescent="0.25">
      <c r="E14133"/>
    </row>
    <row r="14134" spans="5:5" x14ac:dyDescent="0.25">
      <c r="E14134"/>
    </row>
    <row r="14135" spans="5:5" x14ac:dyDescent="0.25">
      <c r="E14135"/>
    </row>
    <row r="14136" spans="5:5" x14ac:dyDescent="0.25">
      <c r="E14136"/>
    </row>
    <row r="14137" spans="5:5" x14ac:dyDescent="0.25">
      <c r="E14137"/>
    </row>
    <row r="14138" spans="5:5" x14ac:dyDescent="0.25">
      <c r="E14138"/>
    </row>
    <row r="14139" spans="5:5" x14ac:dyDescent="0.25">
      <c r="E14139"/>
    </row>
    <row r="14140" spans="5:5" x14ac:dyDescent="0.25">
      <c r="E14140"/>
    </row>
    <row r="14141" spans="5:5" x14ac:dyDescent="0.25">
      <c r="E14141"/>
    </row>
    <row r="14142" spans="5:5" x14ac:dyDescent="0.25">
      <c r="E14142"/>
    </row>
    <row r="14143" spans="5:5" x14ac:dyDescent="0.25">
      <c r="E14143"/>
    </row>
    <row r="14144" spans="5:5" x14ac:dyDescent="0.25">
      <c r="E14144"/>
    </row>
    <row r="14145" spans="5:5" x14ac:dyDescent="0.25">
      <c r="E14145"/>
    </row>
    <row r="14146" spans="5:5" x14ac:dyDescent="0.25">
      <c r="E14146"/>
    </row>
    <row r="14147" spans="5:5" x14ac:dyDescent="0.25">
      <c r="E14147"/>
    </row>
    <row r="14148" spans="5:5" x14ac:dyDescent="0.25">
      <c r="E14148"/>
    </row>
    <row r="14149" spans="5:5" x14ac:dyDescent="0.25">
      <c r="E14149"/>
    </row>
    <row r="14150" spans="5:5" x14ac:dyDescent="0.25">
      <c r="E14150"/>
    </row>
    <row r="14151" spans="5:5" x14ac:dyDescent="0.25">
      <c r="E14151"/>
    </row>
    <row r="14152" spans="5:5" x14ac:dyDescent="0.25">
      <c r="E14152"/>
    </row>
    <row r="14153" spans="5:5" x14ac:dyDescent="0.25">
      <c r="E14153"/>
    </row>
    <row r="14154" spans="5:5" x14ac:dyDescent="0.25">
      <c r="E14154"/>
    </row>
    <row r="14155" spans="5:5" x14ac:dyDescent="0.25">
      <c r="E14155"/>
    </row>
    <row r="14156" spans="5:5" x14ac:dyDescent="0.25">
      <c r="E14156"/>
    </row>
    <row r="14157" spans="5:5" x14ac:dyDescent="0.25">
      <c r="E14157"/>
    </row>
    <row r="14158" spans="5:5" x14ac:dyDescent="0.25">
      <c r="E14158"/>
    </row>
    <row r="14159" spans="5:5" x14ac:dyDescent="0.25">
      <c r="E14159"/>
    </row>
    <row r="14160" spans="5:5" x14ac:dyDescent="0.25">
      <c r="E14160"/>
    </row>
    <row r="14161" spans="5:5" x14ac:dyDescent="0.25">
      <c r="E14161"/>
    </row>
    <row r="14162" spans="5:5" x14ac:dyDescent="0.25">
      <c r="E14162"/>
    </row>
    <row r="14163" spans="5:5" x14ac:dyDescent="0.25">
      <c r="E14163"/>
    </row>
    <row r="14164" spans="5:5" x14ac:dyDescent="0.25">
      <c r="E14164"/>
    </row>
    <row r="14165" spans="5:5" x14ac:dyDescent="0.25">
      <c r="E14165"/>
    </row>
    <row r="14166" spans="5:5" x14ac:dyDescent="0.25">
      <c r="E14166"/>
    </row>
    <row r="14167" spans="5:5" x14ac:dyDescent="0.25">
      <c r="E14167"/>
    </row>
    <row r="14168" spans="5:5" x14ac:dyDescent="0.25">
      <c r="E14168"/>
    </row>
    <row r="14169" spans="5:5" x14ac:dyDescent="0.25">
      <c r="E14169"/>
    </row>
    <row r="14170" spans="5:5" x14ac:dyDescent="0.25">
      <c r="E14170"/>
    </row>
    <row r="14171" spans="5:5" x14ac:dyDescent="0.25">
      <c r="E14171"/>
    </row>
    <row r="14172" spans="5:5" x14ac:dyDescent="0.25">
      <c r="E14172"/>
    </row>
    <row r="14173" spans="5:5" x14ac:dyDescent="0.25">
      <c r="E14173"/>
    </row>
    <row r="14174" spans="5:5" x14ac:dyDescent="0.25">
      <c r="E14174"/>
    </row>
    <row r="14175" spans="5:5" x14ac:dyDescent="0.25">
      <c r="E14175"/>
    </row>
    <row r="14176" spans="5:5" x14ac:dyDescent="0.25">
      <c r="E14176"/>
    </row>
    <row r="14177" spans="5:5" x14ac:dyDescent="0.25">
      <c r="E14177"/>
    </row>
    <row r="14178" spans="5:5" x14ac:dyDescent="0.25">
      <c r="E14178"/>
    </row>
    <row r="14179" spans="5:5" x14ac:dyDescent="0.25">
      <c r="E14179"/>
    </row>
    <row r="14180" spans="5:5" x14ac:dyDescent="0.25">
      <c r="E14180"/>
    </row>
    <row r="14181" spans="5:5" x14ac:dyDescent="0.25">
      <c r="E14181"/>
    </row>
    <row r="14182" spans="5:5" x14ac:dyDescent="0.25">
      <c r="E14182"/>
    </row>
    <row r="14183" spans="5:5" x14ac:dyDescent="0.25">
      <c r="E14183"/>
    </row>
    <row r="14184" spans="5:5" x14ac:dyDescent="0.25">
      <c r="E14184"/>
    </row>
    <row r="14185" spans="5:5" x14ac:dyDescent="0.25">
      <c r="E14185"/>
    </row>
    <row r="14186" spans="5:5" x14ac:dyDescent="0.25">
      <c r="E14186"/>
    </row>
    <row r="14187" spans="5:5" x14ac:dyDescent="0.25">
      <c r="E14187"/>
    </row>
    <row r="14188" spans="5:5" x14ac:dyDescent="0.25">
      <c r="E14188"/>
    </row>
    <row r="14189" spans="5:5" x14ac:dyDescent="0.25">
      <c r="E14189"/>
    </row>
    <row r="14190" spans="5:5" x14ac:dyDescent="0.25">
      <c r="E14190"/>
    </row>
    <row r="14191" spans="5:5" x14ac:dyDescent="0.25">
      <c r="E14191"/>
    </row>
    <row r="14192" spans="5:5" x14ac:dyDescent="0.25">
      <c r="E14192"/>
    </row>
    <row r="14193" spans="5:5" x14ac:dyDescent="0.25">
      <c r="E14193"/>
    </row>
    <row r="14194" spans="5:5" x14ac:dyDescent="0.25">
      <c r="E14194"/>
    </row>
    <row r="14195" spans="5:5" x14ac:dyDescent="0.25">
      <c r="E14195"/>
    </row>
    <row r="14196" spans="5:5" x14ac:dyDescent="0.25">
      <c r="E14196"/>
    </row>
    <row r="14197" spans="5:5" x14ac:dyDescent="0.25">
      <c r="E14197"/>
    </row>
    <row r="14198" spans="5:5" x14ac:dyDescent="0.25">
      <c r="E14198"/>
    </row>
    <row r="14199" spans="5:5" x14ac:dyDescent="0.25">
      <c r="E14199"/>
    </row>
    <row r="14200" spans="5:5" x14ac:dyDescent="0.25">
      <c r="E14200"/>
    </row>
    <row r="14201" spans="5:5" x14ac:dyDescent="0.25">
      <c r="E14201"/>
    </row>
    <row r="14202" spans="5:5" x14ac:dyDescent="0.25">
      <c r="E14202"/>
    </row>
    <row r="14203" spans="5:5" x14ac:dyDescent="0.25">
      <c r="E14203"/>
    </row>
    <row r="14204" spans="5:5" x14ac:dyDescent="0.25">
      <c r="E14204"/>
    </row>
    <row r="14205" spans="5:5" x14ac:dyDescent="0.25">
      <c r="E14205"/>
    </row>
    <row r="14206" spans="5:5" x14ac:dyDescent="0.25">
      <c r="E14206"/>
    </row>
    <row r="14207" spans="5:5" x14ac:dyDescent="0.25">
      <c r="E14207"/>
    </row>
    <row r="14208" spans="5:5" x14ac:dyDescent="0.25">
      <c r="E14208"/>
    </row>
    <row r="14209" spans="5:5" x14ac:dyDescent="0.25">
      <c r="E14209"/>
    </row>
    <row r="14210" spans="5:5" x14ac:dyDescent="0.25">
      <c r="E14210"/>
    </row>
    <row r="14211" spans="5:5" x14ac:dyDescent="0.25">
      <c r="E14211"/>
    </row>
    <row r="14212" spans="5:5" x14ac:dyDescent="0.25">
      <c r="E14212"/>
    </row>
    <row r="14213" spans="5:5" x14ac:dyDescent="0.25">
      <c r="E14213"/>
    </row>
    <row r="14214" spans="5:5" x14ac:dyDescent="0.25">
      <c r="E14214"/>
    </row>
    <row r="14215" spans="5:5" x14ac:dyDescent="0.25">
      <c r="E14215"/>
    </row>
    <row r="14216" spans="5:5" x14ac:dyDescent="0.25">
      <c r="E14216"/>
    </row>
    <row r="14217" spans="5:5" x14ac:dyDescent="0.25">
      <c r="E14217"/>
    </row>
    <row r="14218" spans="5:5" x14ac:dyDescent="0.25">
      <c r="E14218"/>
    </row>
    <row r="14219" spans="5:5" x14ac:dyDescent="0.25">
      <c r="E14219"/>
    </row>
    <row r="14220" spans="5:5" x14ac:dyDescent="0.25">
      <c r="E14220"/>
    </row>
    <row r="14221" spans="5:5" x14ac:dyDescent="0.25">
      <c r="E14221"/>
    </row>
    <row r="14222" spans="5:5" x14ac:dyDescent="0.25">
      <c r="E14222"/>
    </row>
    <row r="14223" spans="5:5" x14ac:dyDescent="0.25">
      <c r="E14223"/>
    </row>
    <row r="14224" spans="5:5" x14ac:dyDescent="0.25">
      <c r="E14224"/>
    </row>
    <row r="14225" spans="5:5" x14ac:dyDescent="0.25">
      <c r="E14225"/>
    </row>
    <row r="14226" spans="5:5" x14ac:dyDescent="0.25">
      <c r="E14226"/>
    </row>
    <row r="14227" spans="5:5" x14ac:dyDescent="0.25">
      <c r="E14227"/>
    </row>
    <row r="14228" spans="5:5" x14ac:dyDescent="0.25">
      <c r="E14228"/>
    </row>
    <row r="14229" spans="5:5" x14ac:dyDescent="0.25">
      <c r="E14229"/>
    </row>
    <row r="14230" spans="5:5" x14ac:dyDescent="0.25">
      <c r="E14230"/>
    </row>
    <row r="14231" spans="5:5" x14ac:dyDescent="0.25">
      <c r="E14231"/>
    </row>
    <row r="14232" spans="5:5" x14ac:dyDescent="0.25">
      <c r="E14232"/>
    </row>
    <row r="14233" spans="5:5" x14ac:dyDescent="0.25">
      <c r="E14233"/>
    </row>
    <row r="14234" spans="5:5" x14ac:dyDescent="0.25">
      <c r="E14234"/>
    </row>
    <row r="14235" spans="5:5" x14ac:dyDescent="0.25">
      <c r="E14235"/>
    </row>
    <row r="14236" spans="5:5" x14ac:dyDescent="0.25">
      <c r="E14236"/>
    </row>
    <row r="14237" spans="5:5" x14ac:dyDescent="0.25">
      <c r="E14237"/>
    </row>
    <row r="14238" spans="5:5" x14ac:dyDescent="0.25">
      <c r="E14238"/>
    </row>
    <row r="14239" spans="5:5" x14ac:dyDescent="0.25">
      <c r="E14239"/>
    </row>
    <row r="14240" spans="5:5" x14ac:dyDescent="0.25">
      <c r="E14240"/>
    </row>
    <row r="14241" spans="5:5" x14ac:dyDescent="0.25">
      <c r="E14241"/>
    </row>
    <row r="14242" spans="5:5" x14ac:dyDescent="0.25">
      <c r="E14242"/>
    </row>
    <row r="14243" spans="5:5" x14ac:dyDescent="0.25">
      <c r="E14243"/>
    </row>
    <row r="14244" spans="5:5" x14ac:dyDescent="0.25">
      <c r="E14244"/>
    </row>
    <row r="14245" spans="5:5" x14ac:dyDescent="0.25">
      <c r="E14245"/>
    </row>
    <row r="14246" spans="5:5" x14ac:dyDescent="0.25">
      <c r="E14246"/>
    </row>
    <row r="14247" spans="5:5" x14ac:dyDescent="0.25">
      <c r="E14247"/>
    </row>
    <row r="14248" spans="5:5" x14ac:dyDescent="0.25">
      <c r="E14248"/>
    </row>
    <row r="14249" spans="5:5" x14ac:dyDescent="0.25">
      <c r="E14249"/>
    </row>
    <row r="14250" spans="5:5" x14ac:dyDescent="0.25">
      <c r="E14250"/>
    </row>
    <row r="14251" spans="5:5" x14ac:dyDescent="0.25">
      <c r="E14251"/>
    </row>
    <row r="14252" spans="5:5" x14ac:dyDescent="0.25">
      <c r="E14252"/>
    </row>
    <row r="14253" spans="5:5" x14ac:dyDescent="0.25">
      <c r="E14253"/>
    </row>
    <row r="14254" spans="5:5" x14ac:dyDescent="0.25">
      <c r="E14254"/>
    </row>
    <row r="14255" spans="5:5" x14ac:dyDescent="0.25">
      <c r="E14255"/>
    </row>
    <row r="14256" spans="5:5" x14ac:dyDescent="0.25">
      <c r="E14256"/>
    </row>
    <row r="14257" spans="5:5" x14ac:dyDescent="0.25">
      <c r="E14257"/>
    </row>
    <row r="14258" spans="5:5" x14ac:dyDescent="0.25">
      <c r="E14258"/>
    </row>
    <row r="14259" spans="5:5" x14ac:dyDescent="0.25">
      <c r="E14259"/>
    </row>
    <row r="14260" spans="5:5" x14ac:dyDescent="0.25">
      <c r="E14260"/>
    </row>
    <row r="14261" spans="5:5" x14ac:dyDescent="0.25">
      <c r="E14261"/>
    </row>
    <row r="14262" spans="5:5" x14ac:dyDescent="0.25">
      <c r="E14262"/>
    </row>
    <row r="14263" spans="5:5" x14ac:dyDescent="0.25">
      <c r="E14263"/>
    </row>
    <row r="14264" spans="5:5" x14ac:dyDescent="0.25">
      <c r="E14264"/>
    </row>
    <row r="14265" spans="5:5" x14ac:dyDescent="0.25">
      <c r="E14265"/>
    </row>
    <row r="14266" spans="5:5" x14ac:dyDescent="0.25">
      <c r="E14266"/>
    </row>
    <row r="14267" spans="5:5" x14ac:dyDescent="0.25">
      <c r="E14267"/>
    </row>
    <row r="14268" spans="5:5" x14ac:dyDescent="0.25">
      <c r="E14268"/>
    </row>
    <row r="14269" spans="5:5" x14ac:dyDescent="0.25">
      <c r="E14269"/>
    </row>
    <row r="14270" spans="5:5" x14ac:dyDescent="0.25">
      <c r="E14270"/>
    </row>
    <row r="14271" spans="5:5" x14ac:dyDescent="0.25">
      <c r="E14271"/>
    </row>
    <row r="14272" spans="5:5" x14ac:dyDescent="0.25">
      <c r="E14272"/>
    </row>
    <row r="14273" spans="5:5" x14ac:dyDescent="0.25">
      <c r="E14273"/>
    </row>
    <row r="14274" spans="5:5" x14ac:dyDescent="0.25">
      <c r="E14274"/>
    </row>
    <row r="14275" spans="5:5" x14ac:dyDescent="0.25">
      <c r="E14275"/>
    </row>
    <row r="14276" spans="5:5" x14ac:dyDescent="0.25">
      <c r="E14276"/>
    </row>
    <row r="14277" spans="5:5" x14ac:dyDescent="0.25">
      <c r="E14277"/>
    </row>
    <row r="14278" spans="5:5" x14ac:dyDescent="0.25">
      <c r="E14278"/>
    </row>
    <row r="14279" spans="5:5" x14ac:dyDescent="0.25">
      <c r="E14279"/>
    </row>
    <row r="14280" spans="5:5" x14ac:dyDescent="0.25">
      <c r="E14280"/>
    </row>
    <row r="14281" spans="5:5" x14ac:dyDescent="0.25">
      <c r="E14281"/>
    </row>
    <row r="14282" spans="5:5" x14ac:dyDescent="0.25">
      <c r="E14282"/>
    </row>
    <row r="14283" spans="5:5" x14ac:dyDescent="0.25">
      <c r="E14283"/>
    </row>
    <row r="14284" spans="5:5" x14ac:dyDescent="0.25">
      <c r="E14284"/>
    </row>
    <row r="14285" spans="5:5" x14ac:dyDescent="0.25">
      <c r="E14285"/>
    </row>
    <row r="14286" spans="5:5" x14ac:dyDescent="0.25">
      <c r="E14286"/>
    </row>
    <row r="14287" spans="5:5" x14ac:dyDescent="0.25">
      <c r="E14287"/>
    </row>
    <row r="14288" spans="5:5" x14ac:dyDescent="0.25">
      <c r="E14288"/>
    </row>
    <row r="14289" spans="5:5" x14ac:dyDescent="0.25">
      <c r="E14289"/>
    </row>
    <row r="14290" spans="5:5" x14ac:dyDescent="0.25">
      <c r="E14290"/>
    </row>
    <row r="14291" spans="5:5" x14ac:dyDescent="0.25">
      <c r="E14291"/>
    </row>
    <row r="14292" spans="5:5" x14ac:dyDescent="0.25">
      <c r="E14292"/>
    </row>
    <row r="14293" spans="5:5" x14ac:dyDescent="0.25">
      <c r="E14293"/>
    </row>
    <row r="14294" spans="5:5" x14ac:dyDescent="0.25">
      <c r="E14294"/>
    </row>
    <row r="14295" spans="5:5" x14ac:dyDescent="0.25">
      <c r="E14295"/>
    </row>
    <row r="14296" spans="5:5" x14ac:dyDescent="0.25">
      <c r="E14296"/>
    </row>
    <row r="14297" spans="5:5" x14ac:dyDescent="0.25">
      <c r="E14297"/>
    </row>
    <row r="14298" spans="5:5" x14ac:dyDescent="0.25">
      <c r="E14298"/>
    </row>
    <row r="14299" spans="5:5" x14ac:dyDescent="0.25">
      <c r="E14299"/>
    </row>
    <row r="14300" spans="5:5" x14ac:dyDescent="0.25">
      <c r="E14300"/>
    </row>
    <row r="14301" spans="5:5" x14ac:dyDescent="0.25">
      <c r="E14301"/>
    </row>
    <row r="14302" spans="5:5" x14ac:dyDescent="0.25">
      <c r="E14302"/>
    </row>
    <row r="14303" spans="5:5" x14ac:dyDescent="0.25">
      <c r="E14303"/>
    </row>
    <row r="14304" spans="5:5" x14ac:dyDescent="0.25">
      <c r="E14304"/>
    </row>
    <row r="14305" spans="5:5" x14ac:dyDescent="0.25">
      <c r="E14305"/>
    </row>
    <row r="14306" spans="5:5" x14ac:dyDescent="0.25">
      <c r="E14306"/>
    </row>
    <row r="14307" spans="5:5" x14ac:dyDescent="0.25">
      <c r="E14307"/>
    </row>
    <row r="14308" spans="5:5" x14ac:dyDescent="0.25">
      <c r="E14308"/>
    </row>
    <row r="14309" spans="5:5" x14ac:dyDescent="0.25">
      <c r="E14309"/>
    </row>
    <row r="14310" spans="5:5" x14ac:dyDescent="0.25">
      <c r="E14310"/>
    </row>
    <row r="14311" spans="5:5" x14ac:dyDescent="0.25">
      <c r="E14311"/>
    </row>
    <row r="14312" spans="5:5" x14ac:dyDescent="0.25">
      <c r="E14312"/>
    </row>
    <row r="14313" spans="5:5" x14ac:dyDescent="0.25">
      <c r="E14313"/>
    </row>
    <row r="14314" spans="5:5" x14ac:dyDescent="0.25">
      <c r="E14314"/>
    </row>
    <row r="14315" spans="5:5" x14ac:dyDescent="0.25">
      <c r="E14315"/>
    </row>
    <row r="14316" spans="5:5" x14ac:dyDescent="0.25">
      <c r="E14316"/>
    </row>
    <row r="14317" spans="5:5" x14ac:dyDescent="0.25">
      <c r="E14317"/>
    </row>
    <row r="14318" spans="5:5" x14ac:dyDescent="0.25">
      <c r="E14318"/>
    </row>
    <row r="14319" spans="5:5" x14ac:dyDescent="0.25">
      <c r="E14319"/>
    </row>
    <row r="14320" spans="5:5" x14ac:dyDescent="0.25">
      <c r="E14320"/>
    </row>
    <row r="14321" spans="5:5" x14ac:dyDescent="0.25">
      <c r="E14321"/>
    </row>
    <row r="14322" spans="5:5" x14ac:dyDescent="0.25">
      <c r="E14322"/>
    </row>
    <row r="14323" spans="5:5" x14ac:dyDescent="0.25">
      <c r="E14323"/>
    </row>
    <row r="14324" spans="5:5" x14ac:dyDescent="0.25">
      <c r="E14324"/>
    </row>
    <row r="14325" spans="5:5" x14ac:dyDescent="0.25">
      <c r="E14325"/>
    </row>
    <row r="14326" spans="5:5" x14ac:dyDescent="0.25">
      <c r="E14326"/>
    </row>
    <row r="14327" spans="5:5" x14ac:dyDescent="0.25">
      <c r="E14327"/>
    </row>
    <row r="14328" spans="5:5" x14ac:dyDescent="0.25">
      <c r="E14328"/>
    </row>
    <row r="14329" spans="5:5" x14ac:dyDescent="0.25">
      <c r="E14329"/>
    </row>
    <row r="14330" spans="5:5" x14ac:dyDescent="0.25">
      <c r="E14330"/>
    </row>
    <row r="14331" spans="5:5" x14ac:dyDescent="0.25">
      <c r="E14331"/>
    </row>
    <row r="14332" spans="5:5" x14ac:dyDescent="0.25">
      <c r="E14332"/>
    </row>
    <row r="14333" spans="5:5" x14ac:dyDescent="0.25">
      <c r="E14333"/>
    </row>
    <row r="14334" spans="5:5" x14ac:dyDescent="0.25">
      <c r="E14334"/>
    </row>
    <row r="14335" spans="5:5" x14ac:dyDescent="0.25">
      <c r="E14335"/>
    </row>
    <row r="14336" spans="5:5" x14ac:dyDescent="0.25">
      <c r="E14336"/>
    </row>
    <row r="14337" spans="5:5" x14ac:dyDescent="0.25">
      <c r="E14337"/>
    </row>
    <row r="14338" spans="5:5" x14ac:dyDescent="0.25">
      <c r="E14338"/>
    </row>
    <row r="14339" spans="5:5" x14ac:dyDescent="0.25">
      <c r="E14339"/>
    </row>
    <row r="14340" spans="5:5" x14ac:dyDescent="0.25">
      <c r="E14340"/>
    </row>
    <row r="14341" spans="5:5" x14ac:dyDescent="0.25">
      <c r="E14341"/>
    </row>
    <row r="14342" spans="5:5" x14ac:dyDescent="0.25">
      <c r="E14342"/>
    </row>
    <row r="14343" spans="5:5" x14ac:dyDescent="0.25">
      <c r="E14343"/>
    </row>
    <row r="14344" spans="5:5" x14ac:dyDescent="0.25">
      <c r="E14344"/>
    </row>
    <row r="14345" spans="5:5" x14ac:dyDescent="0.25">
      <c r="E14345"/>
    </row>
    <row r="14346" spans="5:5" x14ac:dyDescent="0.25">
      <c r="E14346"/>
    </row>
    <row r="14347" spans="5:5" x14ac:dyDescent="0.25">
      <c r="E14347"/>
    </row>
    <row r="14348" spans="5:5" x14ac:dyDescent="0.25">
      <c r="E14348"/>
    </row>
    <row r="14349" spans="5:5" x14ac:dyDescent="0.25">
      <c r="E14349"/>
    </row>
    <row r="14350" spans="5:5" x14ac:dyDescent="0.25">
      <c r="E14350"/>
    </row>
    <row r="14351" spans="5:5" x14ac:dyDescent="0.25">
      <c r="E14351"/>
    </row>
    <row r="14352" spans="5:5" x14ac:dyDescent="0.25">
      <c r="E14352"/>
    </row>
    <row r="14353" spans="5:5" x14ac:dyDescent="0.25">
      <c r="E14353"/>
    </row>
    <row r="14354" spans="5:5" x14ac:dyDescent="0.25">
      <c r="E14354"/>
    </row>
    <row r="14355" spans="5:5" x14ac:dyDescent="0.25">
      <c r="E14355"/>
    </row>
    <row r="14356" spans="5:5" x14ac:dyDescent="0.25">
      <c r="E14356"/>
    </row>
    <row r="14357" spans="5:5" x14ac:dyDescent="0.25">
      <c r="E14357"/>
    </row>
    <row r="14358" spans="5:5" x14ac:dyDescent="0.25">
      <c r="E14358"/>
    </row>
    <row r="14359" spans="5:5" x14ac:dyDescent="0.25">
      <c r="E14359"/>
    </row>
    <row r="14360" spans="5:5" x14ac:dyDescent="0.25">
      <c r="E14360"/>
    </row>
    <row r="14361" spans="5:5" x14ac:dyDescent="0.25">
      <c r="E14361"/>
    </row>
    <row r="14362" spans="5:5" x14ac:dyDescent="0.25">
      <c r="E14362"/>
    </row>
    <row r="14363" spans="5:5" x14ac:dyDescent="0.25">
      <c r="E14363"/>
    </row>
    <row r="14364" spans="5:5" x14ac:dyDescent="0.25">
      <c r="E14364"/>
    </row>
    <row r="14365" spans="5:5" x14ac:dyDescent="0.25">
      <c r="E14365"/>
    </row>
    <row r="14366" spans="5:5" x14ac:dyDescent="0.25">
      <c r="E14366"/>
    </row>
    <row r="14367" spans="5:5" x14ac:dyDescent="0.25">
      <c r="E14367"/>
    </row>
    <row r="14368" spans="5:5" x14ac:dyDescent="0.25">
      <c r="E14368"/>
    </row>
    <row r="14369" spans="5:5" x14ac:dyDescent="0.25">
      <c r="E14369"/>
    </row>
    <row r="14370" spans="5:5" x14ac:dyDescent="0.25">
      <c r="E14370"/>
    </row>
    <row r="14371" spans="5:5" x14ac:dyDescent="0.25">
      <c r="E14371"/>
    </row>
    <row r="14372" spans="5:5" x14ac:dyDescent="0.25">
      <c r="E14372"/>
    </row>
    <row r="14373" spans="5:5" x14ac:dyDescent="0.25">
      <c r="E14373"/>
    </row>
    <row r="14374" spans="5:5" x14ac:dyDescent="0.25">
      <c r="E14374"/>
    </row>
    <row r="14375" spans="5:5" x14ac:dyDescent="0.25">
      <c r="E14375"/>
    </row>
    <row r="14376" spans="5:5" x14ac:dyDescent="0.25">
      <c r="E14376"/>
    </row>
    <row r="14377" spans="5:5" x14ac:dyDescent="0.25">
      <c r="E14377"/>
    </row>
    <row r="14378" spans="5:5" x14ac:dyDescent="0.25">
      <c r="E14378"/>
    </row>
    <row r="14379" spans="5:5" x14ac:dyDescent="0.25">
      <c r="E14379"/>
    </row>
    <row r="14380" spans="5:5" x14ac:dyDescent="0.25">
      <c r="E14380"/>
    </row>
    <row r="14381" spans="5:5" x14ac:dyDescent="0.25">
      <c r="E14381"/>
    </row>
    <row r="14382" spans="5:5" x14ac:dyDescent="0.25">
      <c r="E14382"/>
    </row>
    <row r="14383" spans="5:5" x14ac:dyDescent="0.25">
      <c r="E14383"/>
    </row>
    <row r="14384" spans="5:5" x14ac:dyDescent="0.25">
      <c r="E14384"/>
    </row>
    <row r="14385" spans="5:5" x14ac:dyDescent="0.25">
      <c r="E14385"/>
    </row>
    <row r="14386" spans="5:5" x14ac:dyDescent="0.25">
      <c r="E14386"/>
    </row>
    <row r="14387" spans="5:5" x14ac:dyDescent="0.25">
      <c r="E14387"/>
    </row>
    <row r="14388" spans="5:5" x14ac:dyDescent="0.25">
      <c r="E14388"/>
    </row>
    <row r="14389" spans="5:5" x14ac:dyDescent="0.25">
      <c r="E14389"/>
    </row>
    <row r="14390" spans="5:5" x14ac:dyDescent="0.25">
      <c r="E14390"/>
    </row>
    <row r="14391" spans="5:5" x14ac:dyDescent="0.25">
      <c r="E14391"/>
    </row>
    <row r="14392" spans="5:5" x14ac:dyDescent="0.25">
      <c r="E14392"/>
    </row>
    <row r="14393" spans="5:5" x14ac:dyDescent="0.25">
      <c r="E14393"/>
    </row>
    <row r="14394" spans="5:5" x14ac:dyDescent="0.25">
      <c r="E14394"/>
    </row>
    <row r="14395" spans="5:5" x14ac:dyDescent="0.25">
      <c r="E14395"/>
    </row>
    <row r="14396" spans="5:5" x14ac:dyDescent="0.25">
      <c r="E14396"/>
    </row>
    <row r="14397" spans="5:5" x14ac:dyDescent="0.25">
      <c r="E14397"/>
    </row>
    <row r="14398" spans="5:5" x14ac:dyDescent="0.25">
      <c r="E14398"/>
    </row>
    <row r="14399" spans="5:5" x14ac:dyDescent="0.25">
      <c r="E14399"/>
    </row>
    <row r="14400" spans="5:5" x14ac:dyDescent="0.25">
      <c r="E14400"/>
    </row>
    <row r="14401" spans="5:5" x14ac:dyDescent="0.25">
      <c r="E14401"/>
    </row>
    <row r="14402" spans="5:5" x14ac:dyDescent="0.25">
      <c r="E14402"/>
    </row>
    <row r="14403" spans="5:5" x14ac:dyDescent="0.25">
      <c r="E14403"/>
    </row>
    <row r="14404" spans="5:5" x14ac:dyDescent="0.25">
      <c r="E14404"/>
    </row>
    <row r="14405" spans="5:5" x14ac:dyDescent="0.25">
      <c r="E14405"/>
    </row>
    <row r="14406" spans="5:5" x14ac:dyDescent="0.25">
      <c r="E14406"/>
    </row>
    <row r="14407" spans="5:5" x14ac:dyDescent="0.25">
      <c r="E14407"/>
    </row>
    <row r="14408" spans="5:5" x14ac:dyDescent="0.25">
      <c r="E14408"/>
    </row>
    <row r="14409" spans="5:5" x14ac:dyDescent="0.25">
      <c r="E14409"/>
    </row>
    <row r="14410" spans="5:5" x14ac:dyDescent="0.25">
      <c r="E14410"/>
    </row>
    <row r="14411" spans="5:5" x14ac:dyDescent="0.25">
      <c r="E14411"/>
    </row>
    <row r="14412" spans="5:5" x14ac:dyDescent="0.25">
      <c r="E14412"/>
    </row>
    <row r="14413" spans="5:5" x14ac:dyDescent="0.25">
      <c r="E14413"/>
    </row>
    <row r="14414" spans="5:5" x14ac:dyDescent="0.25">
      <c r="E14414"/>
    </row>
    <row r="14415" spans="5:5" x14ac:dyDescent="0.25">
      <c r="E14415"/>
    </row>
    <row r="14416" spans="5:5" x14ac:dyDescent="0.25">
      <c r="E14416"/>
    </row>
    <row r="14417" spans="5:5" x14ac:dyDescent="0.25">
      <c r="E14417"/>
    </row>
    <row r="14418" spans="5:5" x14ac:dyDescent="0.25">
      <c r="E14418"/>
    </row>
    <row r="14419" spans="5:5" x14ac:dyDescent="0.25">
      <c r="E14419"/>
    </row>
    <row r="14420" spans="5:5" x14ac:dyDescent="0.25">
      <c r="E14420"/>
    </row>
    <row r="14421" spans="5:5" x14ac:dyDescent="0.25">
      <c r="E14421"/>
    </row>
    <row r="14422" spans="5:5" x14ac:dyDescent="0.25">
      <c r="E14422"/>
    </row>
    <row r="14423" spans="5:5" x14ac:dyDescent="0.25">
      <c r="E14423"/>
    </row>
    <row r="14424" spans="5:5" x14ac:dyDescent="0.25">
      <c r="E14424"/>
    </row>
    <row r="14425" spans="5:5" x14ac:dyDescent="0.25">
      <c r="E14425"/>
    </row>
    <row r="14426" spans="5:5" x14ac:dyDescent="0.25">
      <c r="E14426"/>
    </row>
    <row r="14427" spans="5:5" x14ac:dyDescent="0.25">
      <c r="E14427"/>
    </row>
    <row r="14428" spans="5:5" x14ac:dyDescent="0.25">
      <c r="E14428"/>
    </row>
    <row r="14429" spans="5:5" x14ac:dyDescent="0.25">
      <c r="E14429"/>
    </row>
    <row r="14430" spans="5:5" x14ac:dyDescent="0.25">
      <c r="E14430"/>
    </row>
    <row r="14431" spans="5:5" x14ac:dyDescent="0.25">
      <c r="E14431"/>
    </row>
    <row r="14432" spans="5:5" x14ac:dyDescent="0.25">
      <c r="E14432"/>
    </row>
    <row r="14433" spans="5:5" x14ac:dyDescent="0.25">
      <c r="E14433"/>
    </row>
    <row r="14434" spans="5:5" x14ac:dyDescent="0.25">
      <c r="E14434"/>
    </row>
    <row r="14435" spans="5:5" x14ac:dyDescent="0.25">
      <c r="E14435"/>
    </row>
    <row r="14436" spans="5:5" x14ac:dyDescent="0.25">
      <c r="E14436"/>
    </row>
    <row r="14437" spans="5:5" x14ac:dyDescent="0.25">
      <c r="E14437"/>
    </row>
    <row r="14438" spans="5:5" x14ac:dyDescent="0.25">
      <c r="E14438"/>
    </row>
    <row r="14439" spans="5:5" x14ac:dyDescent="0.25">
      <c r="E14439"/>
    </row>
    <row r="14440" spans="5:5" x14ac:dyDescent="0.25">
      <c r="E14440"/>
    </row>
    <row r="14441" spans="5:5" x14ac:dyDescent="0.25">
      <c r="E14441"/>
    </row>
    <row r="14442" spans="5:5" x14ac:dyDescent="0.25">
      <c r="E14442"/>
    </row>
    <row r="14443" spans="5:5" x14ac:dyDescent="0.25">
      <c r="E14443"/>
    </row>
    <row r="14444" spans="5:5" x14ac:dyDescent="0.25">
      <c r="E14444"/>
    </row>
    <row r="14445" spans="5:5" x14ac:dyDescent="0.25">
      <c r="E14445"/>
    </row>
    <row r="14446" spans="5:5" x14ac:dyDescent="0.25">
      <c r="E14446"/>
    </row>
    <row r="14447" spans="5:5" x14ac:dyDescent="0.25">
      <c r="E14447"/>
    </row>
    <row r="14448" spans="5:5" x14ac:dyDescent="0.25">
      <c r="E14448"/>
    </row>
    <row r="14449" spans="5:5" x14ac:dyDescent="0.25">
      <c r="E14449"/>
    </row>
    <row r="14450" spans="5:5" x14ac:dyDescent="0.25">
      <c r="E14450"/>
    </row>
    <row r="14451" spans="5:5" x14ac:dyDescent="0.25">
      <c r="E14451"/>
    </row>
    <row r="14452" spans="5:5" x14ac:dyDescent="0.25">
      <c r="E14452"/>
    </row>
    <row r="14453" spans="5:5" x14ac:dyDescent="0.25">
      <c r="E14453"/>
    </row>
    <row r="14454" spans="5:5" x14ac:dyDescent="0.25">
      <c r="E14454"/>
    </row>
    <row r="14455" spans="5:5" x14ac:dyDescent="0.25">
      <c r="E14455"/>
    </row>
    <row r="14456" spans="5:5" x14ac:dyDescent="0.25">
      <c r="E14456"/>
    </row>
    <row r="14457" spans="5:5" x14ac:dyDescent="0.25">
      <c r="E14457"/>
    </row>
    <row r="14458" spans="5:5" x14ac:dyDescent="0.25">
      <c r="E14458"/>
    </row>
    <row r="14459" spans="5:5" x14ac:dyDescent="0.25">
      <c r="E14459"/>
    </row>
    <row r="14460" spans="5:5" x14ac:dyDescent="0.25">
      <c r="E14460"/>
    </row>
    <row r="14461" spans="5:5" x14ac:dyDescent="0.25">
      <c r="E14461"/>
    </row>
    <row r="14462" spans="5:5" x14ac:dyDescent="0.25">
      <c r="E14462"/>
    </row>
    <row r="14463" spans="5:5" x14ac:dyDescent="0.25">
      <c r="E14463"/>
    </row>
    <row r="14464" spans="5:5" x14ac:dyDescent="0.25">
      <c r="E14464"/>
    </row>
    <row r="14465" spans="5:5" x14ac:dyDescent="0.25">
      <c r="E14465"/>
    </row>
    <row r="14466" spans="5:5" x14ac:dyDescent="0.25">
      <c r="E14466"/>
    </row>
    <row r="14467" spans="5:5" x14ac:dyDescent="0.25">
      <c r="E14467"/>
    </row>
    <row r="14468" spans="5:5" x14ac:dyDescent="0.25">
      <c r="E14468"/>
    </row>
    <row r="14469" spans="5:5" x14ac:dyDescent="0.25">
      <c r="E14469"/>
    </row>
    <row r="14470" spans="5:5" x14ac:dyDescent="0.25">
      <c r="E14470"/>
    </row>
    <row r="14471" spans="5:5" x14ac:dyDescent="0.25">
      <c r="E14471"/>
    </row>
    <row r="14472" spans="5:5" x14ac:dyDescent="0.25">
      <c r="E14472"/>
    </row>
    <row r="14473" spans="5:5" x14ac:dyDescent="0.25">
      <c r="E14473"/>
    </row>
    <row r="14474" spans="5:5" x14ac:dyDescent="0.25">
      <c r="E14474"/>
    </row>
    <row r="14475" spans="5:5" x14ac:dyDescent="0.25">
      <c r="E14475"/>
    </row>
    <row r="14476" spans="5:5" x14ac:dyDescent="0.25">
      <c r="E14476"/>
    </row>
    <row r="14477" spans="5:5" x14ac:dyDescent="0.25">
      <c r="E14477"/>
    </row>
    <row r="14478" spans="5:5" x14ac:dyDescent="0.25">
      <c r="E14478"/>
    </row>
    <row r="14479" spans="5:5" x14ac:dyDescent="0.25">
      <c r="E14479"/>
    </row>
    <row r="14480" spans="5:5" x14ac:dyDescent="0.25">
      <c r="E14480"/>
    </row>
    <row r="14481" spans="5:5" x14ac:dyDescent="0.25">
      <c r="E14481"/>
    </row>
    <row r="14482" spans="5:5" x14ac:dyDescent="0.25">
      <c r="E14482"/>
    </row>
    <row r="14483" spans="5:5" x14ac:dyDescent="0.25">
      <c r="E14483"/>
    </row>
    <row r="14484" spans="5:5" x14ac:dyDescent="0.25">
      <c r="E14484"/>
    </row>
    <row r="14485" spans="5:5" x14ac:dyDescent="0.25">
      <c r="E14485"/>
    </row>
    <row r="14486" spans="5:5" x14ac:dyDescent="0.25">
      <c r="E14486"/>
    </row>
    <row r="14487" spans="5:5" x14ac:dyDescent="0.25">
      <c r="E14487"/>
    </row>
    <row r="14488" spans="5:5" x14ac:dyDescent="0.25">
      <c r="E14488"/>
    </row>
    <row r="14489" spans="5:5" x14ac:dyDescent="0.25">
      <c r="E14489"/>
    </row>
    <row r="14490" spans="5:5" x14ac:dyDescent="0.25">
      <c r="E14490"/>
    </row>
    <row r="14491" spans="5:5" x14ac:dyDescent="0.25">
      <c r="E14491"/>
    </row>
    <row r="14492" spans="5:5" x14ac:dyDescent="0.25">
      <c r="E14492"/>
    </row>
    <row r="14493" spans="5:5" x14ac:dyDescent="0.25">
      <c r="E14493"/>
    </row>
    <row r="14494" spans="5:5" x14ac:dyDescent="0.25">
      <c r="E14494"/>
    </row>
    <row r="14495" spans="5:5" x14ac:dyDescent="0.25">
      <c r="E14495"/>
    </row>
    <row r="14496" spans="5:5" x14ac:dyDescent="0.25">
      <c r="E14496"/>
    </row>
    <row r="14497" spans="5:5" x14ac:dyDescent="0.25">
      <c r="E14497"/>
    </row>
    <row r="14498" spans="5:5" x14ac:dyDescent="0.25">
      <c r="E14498"/>
    </row>
    <row r="14499" spans="5:5" x14ac:dyDescent="0.25">
      <c r="E14499"/>
    </row>
    <row r="14500" spans="5:5" x14ac:dyDescent="0.25">
      <c r="E14500"/>
    </row>
    <row r="14501" spans="5:5" x14ac:dyDescent="0.25">
      <c r="E14501"/>
    </row>
    <row r="14502" spans="5:5" x14ac:dyDescent="0.25">
      <c r="E14502"/>
    </row>
    <row r="14503" spans="5:5" x14ac:dyDescent="0.25">
      <c r="E14503"/>
    </row>
    <row r="14504" spans="5:5" x14ac:dyDescent="0.25">
      <c r="E14504"/>
    </row>
    <row r="14505" spans="5:5" x14ac:dyDescent="0.25">
      <c r="E14505"/>
    </row>
    <row r="14506" spans="5:5" x14ac:dyDescent="0.25">
      <c r="E14506"/>
    </row>
    <row r="14507" spans="5:5" x14ac:dyDescent="0.25">
      <c r="E14507"/>
    </row>
    <row r="14508" spans="5:5" x14ac:dyDescent="0.25">
      <c r="E14508"/>
    </row>
    <row r="14509" spans="5:5" x14ac:dyDescent="0.25">
      <c r="E14509"/>
    </row>
    <row r="14510" spans="5:5" x14ac:dyDescent="0.25">
      <c r="E14510"/>
    </row>
    <row r="14511" spans="5:5" x14ac:dyDescent="0.25">
      <c r="E14511"/>
    </row>
    <row r="14512" spans="5:5" x14ac:dyDescent="0.25">
      <c r="E14512"/>
    </row>
    <row r="14513" spans="5:5" x14ac:dyDescent="0.25">
      <c r="E14513"/>
    </row>
    <row r="14514" spans="5:5" x14ac:dyDescent="0.25">
      <c r="E14514"/>
    </row>
    <row r="14515" spans="5:5" x14ac:dyDescent="0.25">
      <c r="E14515"/>
    </row>
    <row r="14516" spans="5:5" x14ac:dyDescent="0.25">
      <c r="E14516"/>
    </row>
    <row r="14517" spans="5:5" x14ac:dyDescent="0.25">
      <c r="E14517"/>
    </row>
    <row r="14518" spans="5:5" x14ac:dyDescent="0.25">
      <c r="E14518"/>
    </row>
    <row r="14519" spans="5:5" x14ac:dyDescent="0.25">
      <c r="E14519"/>
    </row>
    <row r="14520" spans="5:5" x14ac:dyDescent="0.25">
      <c r="E14520"/>
    </row>
    <row r="14521" spans="5:5" x14ac:dyDescent="0.25">
      <c r="E14521"/>
    </row>
    <row r="14522" spans="5:5" x14ac:dyDescent="0.25">
      <c r="E14522"/>
    </row>
    <row r="14523" spans="5:5" x14ac:dyDescent="0.25">
      <c r="E14523"/>
    </row>
    <row r="14524" spans="5:5" x14ac:dyDescent="0.25">
      <c r="E14524"/>
    </row>
    <row r="14525" spans="5:5" x14ac:dyDescent="0.25">
      <c r="E14525"/>
    </row>
    <row r="14526" spans="5:5" x14ac:dyDescent="0.25">
      <c r="E14526"/>
    </row>
    <row r="14527" spans="5:5" x14ac:dyDescent="0.25">
      <c r="E14527"/>
    </row>
    <row r="14528" spans="5:5" x14ac:dyDescent="0.25">
      <c r="E14528"/>
    </row>
    <row r="14529" spans="5:5" x14ac:dyDescent="0.25">
      <c r="E14529"/>
    </row>
    <row r="14530" spans="5:5" x14ac:dyDescent="0.25">
      <c r="E14530"/>
    </row>
    <row r="14531" spans="5:5" x14ac:dyDescent="0.25">
      <c r="E14531"/>
    </row>
    <row r="14532" spans="5:5" x14ac:dyDescent="0.25">
      <c r="E14532"/>
    </row>
    <row r="14533" spans="5:5" x14ac:dyDescent="0.25">
      <c r="E14533"/>
    </row>
    <row r="14534" spans="5:5" x14ac:dyDescent="0.25">
      <c r="E14534"/>
    </row>
    <row r="14535" spans="5:5" x14ac:dyDescent="0.25">
      <c r="E14535"/>
    </row>
    <row r="14536" spans="5:5" x14ac:dyDescent="0.25">
      <c r="E14536"/>
    </row>
    <row r="14537" spans="5:5" x14ac:dyDescent="0.25">
      <c r="E14537"/>
    </row>
    <row r="14538" spans="5:5" x14ac:dyDescent="0.25">
      <c r="E14538"/>
    </row>
    <row r="14539" spans="5:5" x14ac:dyDescent="0.25">
      <c r="E14539"/>
    </row>
    <row r="14540" spans="5:5" x14ac:dyDescent="0.25">
      <c r="E14540"/>
    </row>
    <row r="14541" spans="5:5" x14ac:dyDescent="0.25">
      <c r="E14541"/>
    </row>
    <row r="14542" spans="5:5" x14ac:dyDescent="0.25">
      <c r="E14542"/>
    </row>
    <row r="14543" spans="5:5" x14ac:dyDescent="0.25">
      <c r="E14543"/>
    </row>
    <row r="14544" spans="5:5" x14ac:dyDescent="0.25">
      <c r="E14544"/>
    </row>
    <row r="14545" spans="5:5" x14ac:dyDescent="0.25">
      <c r="E14545"/>
    </row>
    <row r="14546" spans="5:5" x14ac:dyDescent="0.25">
      <c r="E14546"/>
    </row>
    <row r="14547" spans="5:5" x14ac:dyDescent="0.25">
      <c r="E14547"/>
    </row>
    <row r="14548" spans="5:5" x14ac:dyDescent="0.25">
      <c r="E14548"/>
    </row>
    <row r="14549" spans="5:5" x14ac:dyDescent="0.25">
      <c r="E14549"/>
    </row>
    <row r="14550" spans="5:5" x14ac:dyDescent="0.25">
      <c r="E14550"/>
    </row>
    <row r="14551" spans="5:5" x14ac:dyDescent="0.25">
      <c r="E14551"/>
    </row>
    <row r="14552" spans="5:5" x14ac:dyDescent="0.25">
      <c r="E14552"/>
    </row>
    <row r="14553" spans="5:5" x14ac:dyDescent="0.25">
      <c r="E14553"/>
    </row>
    <row r="14554" spans="5:5" x14ac:dyDescent="0.25">
      <c r="E14554"/>
    </row>
    <row r="14555" spans="5:5" x14ac:dyDescent="0.25">
      <c r="E14555"/>
    </row>
    <row r="14556" spans="5:5" x14ac:dyDescent="0.25">
      <c r="E14556"/>
    </row>
    <row r="14557" spans="5:5" x14ac:dyDescent="0.25">
      <c r="E14557"/>
    </row>
    <row r="14558" spans="5:5" x14ac:dyDescent="0.25">
      <c r="E14558"/>
    </row>
    <row r="14559" spans="5:5" x14ac:dyDescent="0.25">
      <c r="E14559"/>
    </row>
    <row r="14560" spans="5:5" x14ac:dyDescent="0.25">
      <c r="E14560"/>
    </row>
    <row r="14561" spans="5:5" x14ac:dyDescent="0.25">
      <c r="E14561"/>
    </row>
    <row r="14562" spans="5:5" x14ac:dyDescent="0.25">
      <c r="E14562"/>
    </row>
    <row r="14563" spans="5:5" x14ac:dyDescent="0.25">
      <c r="E14563"/>
    </row>
    <row r="14564" spans="5:5" x14ac:dyDescent="0.25">
      <c r="E14564"/>
    </row>
    <row r="14565" spans="5:5" x14ac:dyDescent="0.25">
      <c r="E14565"/>
    </row>
    <row r="14566" spans="5:5" x14ac:dyDescent="0.25">
      <c r="E14566"/>
    </row>
    <row r="14567" spans="5:5" x14ac:dyDescent="0.25">
      <c r="E14567"/>
    </row>
    <row r="14568" spans="5:5" x14ac:dyDescent="0.25">
      <c r="E14568"/>
    </row>
    <row r="14569" spans="5:5" x14ac:dyDescent="0.25">
      <c r="E14569"/>
    </row>
    <row r="14570" spans="5:5" x14ac:dyDescent="0.25">
      <c r="E14570"/>
    </row>
    <row r="14571" spans="5:5" x14ac:dyDescent="0.25">
      <c r="E14571"/>
    </row>
    <row r="14572" spans="5:5" x14ac:dyDescent="0.25">
      <c r="E14572"/>
    </row>
    <row r="14573" spans="5:5" x14ac:dyDescent="0.25">
      <c r="E14573"/>
    </row>
    <row r="14574" spans="5:5" x14ac:dyDescent="0.25">
      <c r="E14574"/>
    </row>
    <row r="14575" spans="5:5" x14ac:dyDescent="0.25">
      <c r="E14575"/>
    </row>
    <row r="14576" spans="5:5" x14ac:dyDescent="0.25">
      <c r="E14576"/>
    </row>
    <row r="14577" spans="5:5" x14ac:dyDescent="0.25">
      <c r="E14577"/>
    </row>
    <row r="14578" spans="5:5" x14ac:dyDescent="0.25">
      <c r="E14578"/>
    </row>
    <row r="14579" spans="5:5" x14ac:dyDescent="0.25">
      <c r="E14579"/>
    </row>
    <row r="14580" spans="5:5" x14ac:dyDescent="0.25">
      <c r="E14580"/>
    </row>
    <row r="14581" spans="5:5" x14ac:dyDescent="0.25">
      <c r="E14581"/>
    </row>
    <row r="14582" spans="5:5" x14ac:dyDescent="0.25">
      <c r="E14582"/>
    </row>
    <row r="14583" spans="5:5" x14ac:dyDescent="0.25">
      <c r="E14583"/>
    </row>
    <row r="14584" spans="5:5" x14ac:dyDescent="0.25">
      <c r="E14584"/>
    </row>
    <row r="14585" spans="5:5" x14ac:dyDescent="0.25">
      <c r="E14585"/>
    </row>
    <row r="14586" spans="5:5" x14ac:dyDescent="0.25">
      <c r="E14586"/>
    </row>
    <row r="14587" spans="5:5" x14ac:dyDescent="0.25">
      <c r="E14587"/>
    </row>
    <row r="14588" spans="5:5" x14ac:dyDescent="0.25">
      <c r="E14588"/>
    </row>
    <row r="14589" spans="5:5" x14ac:dyDescent="0.25">
      <c r="E14589"/>
    </row>
    <row r="14590" spans="5:5" x14ac:dyDescent="0.25">
      <c r="E14590"/>
    </row>
    <row r="14591" spans="5:5" x14ac:dyDescent="0.25">
      <c r="E14591"/>
    </row>
    <row r="14592" spans="5:5" x14ac:dyDescent="0.25">
      <c r="E14592"/>
    </row>
    <row r="14593" spans="5:5" x14ac:dyDescent="0.25">
      <c r="E14593"/>
    </row>
    <row r="14594" spans="5:5" x14ac:dyDescent="0.25">
      <c r="E14594"/>
    </row>
    <row r="14595" spans="5:5" x14ac:dyDescent="0.25">
      <c r="E14595"/>
    </row>
    <row r="14596" spans="5:5" x14ac:dyDescent="0.25">
      <c r="E14596"/>
    </row>
    <row r="14597" spans="5:5" x14ac:dyDescent="0.25">
      <c r="E14597"/>
    </row>
    <row r="14598" spans="5:5" x14ac:dyDescent="0.25">
      <c r="E14598"/>
    </row>
    <row r="14599" spans="5:5" x14ac:dyDescent="0.25">
      <c r="E14599"/>
    </row>
    <row r="14600" spans="5:5" x14ac:dyDescent="0.25">
      <c r="E14600"/>
    </row>
    <row r="14601" spans="5:5" x14ac:dyDescent="0.25">
      <c r="E14601"/>
    </row>
    <row r="14602" spans="5:5" x14ac:dyDescent="0.25">
      <c r="E14602"/>
    </row>
    <row r="14603" spans="5:5" x14ac:dyDescent="0.25">
      <c r="E14603"/>
    </row>
    <row r="14604" spans="5:5" x14ac:dyDescent="0.25">
      <c r="E14604"/>
    </row>
    <row r="14605" spans="5:5" x14ac:dyDescent="0.25">
      <c r="E14605"/>
    </row>
    <row r="14606" spans="5:5" x14ac:dyDescent="0.25">
      <c r="E14606"/>
    </row>
    <row r="14607" spans="5:5" x14ac:dyDescent="0.25">
      <c r="E14607"/>
    </row>
    <row r="14608" spans="5:5" x14ac:dyDescent="0.25">
      <c r="E14608"/>
    </row>
    <row r="14609" spans="5:5" x14ac:dyDescent="0.25">
      <c r="E14609"/>
    </row>
    <row r="14610" spans="5:5" x14ac:dyDescent="0.25">
      <c r="E14610"/>
    </row>
    <row r="14611" spans="5:5" x14ac:dyDescent="0.25">
      <c r="E14611"/>
    </row>
    <row r="14612" spans="5:5" x14ac:dyDescent="0.25">
      <c r="E14612"/>
    </row>
    <row r="14613" spans="5:5" x14ac:dyDescent="0.25">
      <c r="E14613"/>
    </row>
    <row r="14614" spans="5:5" x14ac:dyDescent="0.25">
      <c r="E14614"/>
    </row>
    <row r="14615" spans="5:5" x14ac:dyDescent="0.25">
      <c r="E14615"/>
    </row>
    <row r="14616" spans="5:5" x14ac:dyDescent="0.25">
      <c r="E14616"/>
    </row>
    <row r="14617" spans="5:5" x14ac:dyDescent="0.25">
      <c r="E14617"/>
    </row>
    <row r="14618" spans="5:5" x14ac:dyDescent="0.25">
      <c r="E14618"/>
    </row>
    <row r="14619" spans="5:5" x14ac:dyDescent="0.25">
      <c r="E14619"/>
    </row>
    <row r="14620" spans="5:5" x14ac:dyDescent="0.25">
      <c r="E14620"/>
    </row>
    <row r="14621" spans="5:5" x14ac:dyDescent="0.25">
      <c r="E14621"/>
    </row>
    <row r="14622" spans="5:5" x14ac:dyDescent="0.25">
      <c r="E14622"/>
    </row>
    <row r="14623" spans="5:5" x14ac:dyDescent="0.25">
      <c r="E14623"/>
    </row>
    <row r="14624" spans="5:5" x14ac:dyDescent="0.25">
      <c r="E14624"/>
    </row>
    <row r="14625" spans="5:5" x14ac:dyDescent="0.25">
      <c r="E14625"/>
    </row>
    <row r="14626" spans="5:5" x14ac:dyDescent="0.25">
      <c r="E14626"/>
    </row>
    <row r="14627" spans="5:5" x14ac:dyDescent="0.25">
      <c r="E14627"/>
    </row>
    <row r="14628" spans="5:5" x14ac:dyDescent="0.25">
      <c r="E14628"/>
    </row>
    <row r="14629" spans="5:5" x14ac:dyDescent="0.25">
      <c r="E14629"/>
    </row>
    <row r="14630" spans="5:5" x14ac:dyDescent="0.25">
      <c r="E14630"/>
    </row>
    <row r="14631" spans="5:5" x14ac:dyDescent="0.25">
      <c r="E14631"/>
    </row>
    <row r="14632" spans="5:5" x14ac:dyDescent="0.25">
      <c r="E14632"/>
    </row>
    <row r="14633" spans="5:5" x14ac:dyDescent="0.25">
      <c r="E14633"/>
    </row>
    <row r="14634" spans="5:5" x14ac:dyDescent="0.25">
      <c r="E14634"/>
    </row>
    <row r="14635" spans="5:5" x14ac:dyDescent="0.25">
      <c r="E14635"/>
    </row>
    <row r="14636" spans="5:5" x14ac:dyDescent="0.25">
      <c r="E14636"/>
    </row>
    <row r="14637" spans="5:5" x14ac:dyDescent="0.25">
      <c r="E14637"/>
    </row>
    <row r="14638" spans="5:5" x14ac:dyDescent="0.25">
      <c r="E14638"/>
    </row>
    <row r="14639" spans="5:5" x14ac:dyDescent="0.25">
      <c r="E14639"/>
    </row>
    <row r="14640" spans="5:5" x14ac:dyDescent="0.25">
      <c r="E14640"/>
    </row>
    <row r="14641" spans="5:5" x14ac:dyDescent="0.25">
      <c r="E14641"/>
    </row>
    <row r="14642" spans="5:5" x14ac:dyDescent="0.25">
      <c r="E14642"/>
    </row>
    <row r="14643" spans="5:5" x14ac:dyDescent="0.25">
      <c r="E14643"/>
    </row>
    <row r="14644" spans="5:5" x14ac:dyDescent="0.25">
      <c r="E14644"/>
    </row>
    <row r="14645" spans="5:5" x14ac:dyDescent="0.25">
      <c r="E14645"/>
    </row>
    <row r="14646" spans="5:5" x14ac:dyDescent="0.25">
      <c r="E14646"/>
    </row>
    <row r="14647" spans="5:5" x14ac:dyDescent="0.25">
      <c r="E14647"/>
    </row>
    <row r="14648" spans="5:5" x14ac:dyDescent="0.25">
      <c r="E14648"/>
    </row>
    <row r="14649" spans="5:5" x14ac:dyDescent="0.25">
      <c r="E14649"/>
    </row>
    <row r="14650" spans="5:5" x14ac:dyDescent="0.25">
      <c r="E14650"/>
    </row>
    <row r="14651" spans="5:5" x14ac:dyDescent="0.25">
      <c r="E14651"/>
    </row>
    <row r="14652" spans="5:5" x14ac:dyDescent="0.25">
      <c r="E14652"/>
    </row>
    <row r="14653" spans="5:5" x14ac:dyDescent="0.25">
      <c r="E14653"/>
    </row>
    <row r="14654" spans="5:5" x14ac:dyDescent="0.25">
      <c r="E14654"/>
    </row>
    <row r="14655" spans="5:5" x14ac:dyDescent="0.25">
      <c r="E14655"/>
    </row>
    <row r="14656" spans="5:5" x14ac:dyDescent="0.25">
      <c r="E14656"/>
    </row>
    <row r="14657" spans="5:5" x14ac:dyDescent="0.25">
      <c r="E14657"/>
    </row>
    <row r="14658" spans="5:5" x14ac:dyDescent="0.25">
      <c r="E14658"/>
    </row>
    <row r="14659" spans="5:5" x14ac:dyDescent="0.25">
      <c r="E14659"/>
    </row>
    <row r="14660" spans="5:5" x14ac:dyDescent="0.25">
      <c r="E14660"/>
    </row>
    <row r="14661" spans="5:5" x14ac:dyDescent="0.25">
      <c r="E14661"/>
    </row>
    <row r="14662" spans="5:5" x14ac:dyDescent="0.25">
      <c r="E14662"/>
    </row>
    <row r="14663" spans="5:5" x14ac:dyDescent="0.25">
      <c r="E14663"/>
    </row>
    <row r="14664" spans="5:5" x14ac:dyDescent="0.25">
      <c r="E14664"/>
    </row>
    <row r="14665" spans="5:5" x14ac:dyDescent="0.25">
      <c r="E14665"/>
    </row>
    <row r="14666" spans="5:5" x14ac:dyDescent="0.25">
      <c r="E14666"/>
    </row>
    <row r="14667" spans="5:5" x14ac:dyDescent="0.25">
      <c r="E14667"/>
    </row>
    <row r="14668" spans="5:5" x14ac:dyDescent="0.25">
      <c r="E14668"/>
    </row>
    <row r="14669" spans="5:5" x14ac:dyDescent="0.25">
      <c r="E14669"/>
    </row>
    <row r="14670" spans="5:5" x14ac:dyDescent="0.25">
      <c r="E14670"/>
    </row>
    <row r="14671" spans="5:5" x14ac:dyDescent="0.25">
      <c r="E14671"/>
    </row>
    <row r="14672" spans="5:5" x14ac:dyDescent="0.25">
      <c r="E14672"/>
    </row>
    <row r="14673" spans="5:5" x14ac:dyDescent="0.25">
      <c r="E14673"/>
    </row>
    <row r="14674" spans="5:5" x14ac:dyDescent="0.25">
      <c r="E14674"/>
    </row>
    <row r="14675" spans="5:5" x14ac:dyDescent="0.25">
      <c r="E14675"/>
    </row>
    <row r="14676" spans="5:5" x14ac:dyDescent="0.25">
      <c r="E14676"/>
    </row>
    <row r="14677" spans="5:5" x14ac:dyDescent="0.25">
      <c r="E14677"/>
    </row>
    <row r="14678" spans="5:5" x14ac:dyDescent="0.25">
      <c r="E14678"/>
    </row>
    <row r="14679" spans="5:5" x14ac:dyDescent="0.25">
      <c r="E14679"/>
    </row>
    <row r="14680" spans="5:5" x14ac:dyDescent="0.25">
      <c r="E14680"/>
    </row>
    <row r="14681" spans="5:5" x14ac:dyDescent="0.25">
      <c r="E14681"/>
    </row>
    <row r="14682" spans="5:5" x14ac:dyDescent="0.25">
      <c r="E14682"/>
    </row>
    <row r="14683" spans="5:5" x14ac:dyDescent="0.25">
      <c r="E14683"/>
    </row>
    <row r="14684" spans="5:5" x14ac:dyDescent="0.25">
      <c r="E14684"/>
    </row>
    <row r="14685" spans="5:5" x14ac:dyDescent="0.25">
      <c r="E14685"/>
    </row>
    <row r="14686" spans="5:5" x14ac:dyDescent="0.25">
      <c r="E14686"/>
    </row>
    <row r="14687" spans="5:5" x14ac:dyDescent="0.25">
      <c r="E14687"/>
    </row>
    <row r="14688" spans="5:5" x14ac:dyDescent="0.25">
      <c r="E14688"/>
    </row>
    <row r="14689" spans="5:5" x14ac:dyDescent="0.25">
      <c r="E14689"/>
    </row>
    <row r="14690" spans="5:5" x14ac:dyDescent="0.25">
      <c r="E14690"/>
    </row>
    <row r="14691" spans="5:5" x14ac:dyDescent="0.25">
      <c r="E14691"/>
    </row>
    <row r="14692" spans="5:5" x14ac:dyDescent="0.25">
      <c r="E14692"/>
    </row>
    <row r="14693" spans="5:5" x14ac:dyDescent="0.25">
      <c r="E14693"/>
    </row>
    <row r="14694" spans="5:5" x14ac:dyDescent="0.25">
      <c r="E14694"/>
    </row>
    <row r="14695" spans="5:5" x14ac:dyDescent="0.25">
      <c r="E14695"/>
    </row>
    <row r="14696" spans="5:5" x14ac:dyDescent="0.25">
      <c r="E14696"/>
    </row>
    <row r="14697" spans="5:5" x14ac:dyDescent="0.25">
      <c r="E14697"/>
    </row>
    <row r="14698" spans="5:5" x14ac:dyDescent="0.25">
      <c r="E14698"/>
    </row>
    <row r="14699" spans="5:5" x14ac:dyDescent="0.25">
      <c r="E14699"/>
    </row>
    <row r="14700" spans="5:5" x14ac:dyDescent="0.25">
      <c r="E14700"/>
    </row>
    <row r="14701" spans="5:5" x14ac:dyDescent="0.25">
      <c r="E14701"/>
    </row>
    <row r="14702" spans="5:5" x14ac:dyDescent="0.25">
      <c r="E14702"/>
    </row>
    <row r="14703" spans="5:5" x14ac:dyDescent="0.25">
      <c r="E14703"/>
    </row>
    <row r="14704" spans="5:5" x14ac:dyDescent="0.25">
      <c r="E14704"/>
    </row>
    <row r="14705" spans="5:5" x14ac:dyDescent="0.25">
      <c r="E14705"/>
    </row>
    <row r="14706" spans="5:5" x14ac:dyDescent="0.25">
      <c r="E14706"/>
    </row>
    <row r="14707" spans="5:5" x14ac:dyDescent="0.25">
      <c r="E14707"/>
    </row>
    <row r="14708" spans="5:5" x14ac:dyDescent="0.25">
      <c r="E14708"/>
    </row>
    <row r="14709" spans="5:5" x14ac:dyDescent="0.25">
      <c r="E14709"/>
    </row>
    <row r="14710" spans="5:5" x14ac:dyDescent="0.25">
      <c r="E14710"/>
    </row>
    <row r="14711" spans="5:5" x14ac:dyDescent="0.25">
      <c r="E14711"/>
    </row>
    <row r="14712" spans="5:5" x14ac:dyDescent="0.25">
      <c r="E14712"/>
    </row>
    <row r="14713" spans="5:5" x14ac:dyDescent="0.25">
      <c r="E14713"/>
    </row>
    <row r="14714" spans="5:5" x14ac:dyDescent="0.25">
      <c r="E14714"/>
    </row>
    <row r="14715" spans="5:5" x14ac:dyDescent="0.25">
      <c r="E14715"/>
    </row>
    <row r="14716" spans="5:5" x14ac:dyDescent="0.25">
      <c r="E14716"/>
    </row>
    <row r="14717" spans="5:5" x14ac:dyDescent="0.25">
      <c r="E14717"/>
    </row>
    <row r="14718" spans="5:5" x14ac:dyDescent="0.25">
      <c r="E14718"/>
    </row>
    <row r="14719" spans="5:5" x14ac:dyDescent="0.25">
      <c r="E14719"/>
    </row>
    <row r="14720" spans="5:5" x14ac:dyDescent="0.25">
      <c r="E14720"/>
    </row>
    <row r="14721" spans="5:5" x14ac:dyDescent="0.25">
      <c r="E14721"/>
    </row>
    <row r="14722" spans="5:5" x14ac:dyDescent="0.25">
      <c r="E14722"/>
    </row>
    <row r="14723" spans="5:5" x14ac:dyDescent="0.25">
      <c r="E14723"/>
    </row>
    <row r="14724" spans="5:5" x14ac:dyDescent="0.25">
      <c r="E14724"/>
    </row>
    <row r="14725" spans="5:5" x14ac:dyDescent="0.25">
      <c r="E14725"/>
    </row>
    <row r="14726" spans="5:5" x14ac:dyDescent="0.25">
      <c r="E14726"/>
    </row>
    <row r="14727" spans="5:5" x14ac:dyDescent="0.25">
      <c r="E14727"/>
    </row>
    <row r="14728" spans="5:5" x14ac:dyDescent="0.25">
      <c r="E14728"/>
    </row>
    <row r="14729" spans="5:5" x14ac:dyDescent="0.25">
      <c r="E14729"/>
    </row>
    <row r="14730" spans="5:5" x14ac:dyDescent="0.25">
      <c r="E14730"/>
    </row>
    <row r="14731" spans="5:5" x14ac:dyDescent="0.25">
      <c r="E14731"/>
    </row>
    <row r="14732" spans="5:5" x14ac:dyDescent="0.25">
      <c r="E14732"/>
    </row>
    <row r="14733" spans="5:5" x14ac:dyDescent="0.25">
      <c r="E14733"/>
    </row>
    <row r="14734" spans="5:5" x14ac:dyDescent="0.25">
      <c r="E14734"/>
    </row>
    <row r="14735" spans="5:5" x14ac:dyDescent="0.25">
      <c r="E14735"/>
    </row>
    <row r="14736" spans="5:5" x14ac:dyDescent="0.25">
      <c r="E14736"/>
    </row>
    <row r="14737" spans="5:5" x14ac:dyDescent="0.25">
      <c r="E14737"/>
    </row>
    <row r="14738" spans="5:5" x14ac:dyDescent="0.25">
      <c r="E14738"/>
    </row>
    <row r="14739" spans="5:5" x14ac:dyDescent="0.25">
      <c r="E14739"/>
    </row>
    <row r="14740" spans="5:5" x14ac:dyDescent="0.25">
      <c r="E14740"/>
    </row>
    <row r="14741" spans="5:5" x14ac:dyDescent="0.25">
      <c r="E14741"/>
    </row>
    <row r="14742" spans="5:5" x14ac:dyDescent="0.25">
      <c r="E14742"/>
    </row>
    <row r="14743" spans="5:5" x14ac:dyDescent="0.25">
      <c r="E14743"/>
    </row>
    <row r="14744" spans="5:5" x14ac:dyDescent="0.25">
      <c r="E14744"/>
    </row>
    <row r="14745" spans="5:5" x14ac:dyDescent="0.25">
      <c r="E14745"/>
    </row>
    <row r="14746" spans="5:5" x14ac:dyDescent="0.25">
      <c r="E14746"/>
    </row>
    <row r="14747" spans="5:5" x14ac:dyDescent="0.25">
      <c r="E14747"/>
    </row>
    <row r="14748" spans="5:5" x14ac:dyDescent="0.25">
      <c r="E14748"/>
    </row>
    <row r="14749" spans="5:5" x14ac:dyDescent="0.25">
      <c r="E14749"/>
    </row>
    <row r="14750" spans="5:5" x14ac:dyDescent="0.25">
      <c r="E14750"/>
    </row>
    <row r="14751" spans="5:5" x14ac:dyDescent="0.25">
      <c r="E14751"/>
    </row>
    <row r="14752" spans="5:5" x14ac:dyDescent="0.25">
      <c r="E14752"/>
    </row>
    <row r="14753" spans="5:5" x14ac:dyDescent="0.25">
      <c r="E14753"/>
    </row>
    <row r="14754" spans="5:5" x14ac:dyDescent="0.25">
      <c r="E14754"/>
    </row>
    <row r="14755" spans="5:5" x14ac:dyDescent="0.25">
      <c r="E14755"/>
    </row>
    <row r="14756" spans="5:5" x14ac:dyDescent="0.25">
      <c r="E14756"/>
    </row>
    <row r="14757" spans="5:5" x14ac:dyDescent="0.25">
      <c r="E14757"/>
    </row>
    <row r="14758" spans="5:5" x14ac:dyDescent="0.25">
      <c r="E14758"/>
    </row>
    <row r="14759" spans="5:5" x14ac:dyDescent="0.25">
      <c r="E14759"/>
    </row>
    <row r="14760" spans="5:5" x14ac:dyDescent="0.25">
      <c r="E14760"/>
    </row>
    <row r="14761" spans="5:5" x14ac:dyDescent="0.25">
      <c r="E14761"/>
    </row>
    <row r="14762" spans="5:5" x14ac:dyDescent="0.25">
      <c r="E14762"/>
    </row>
    <row r="14763" spans="5:5" x14ac:dyDescent="0.25">
      <c r="E14763"/>
    </row>
    <row r="14764" spans="5:5" x14ac:dyDescent="0.25">
      <c r="E14764"/>
    </row>
    <row r="14765" spans="5:5" x14ac:dyDescent="0.25">
      <c r="E14765"/>
    </row>
    <row r="14766" spans="5:5" x14ac:dyDescent="0.25">
      <c r="E14766"/>
    </row>
    <row r="14767" spans="5:5" x14ac:dyDescent="0.25">
      <c r="E14767"/>
    </row>
    <row r="14768" spans="5:5" x14ac:dyDescent="0.25">
      <c r="E14768"/>
    </row>
    <row r="14769" spans="5:5" x14ac:dyDescent="0.25">
      <c r="E14769"/>
    </row>
    <row r="14770" spans="5:5" x14ac:dyDescent="0.25">
      <c r="E14770"/>
    </row>
    <row r="14771" spans="5:5" x14ac:dyDescent="0.25">
      <c r="E14771"/>
    </row>
    <row r="14772" spans="5:5" x14ac:dyDescent="0.25">
      <c r="E14772"/>
    </row>
    <row r="14773" spans="5:5" x14ac:dyDescent="0.25">
      <c r="E14773"/>
    </row>
    <row r="14774" spans="5:5" x14ac:dyDescent="0.25">
      <c r="E14774"/>
    </row>
    <row r="14775" spans="5:5" x14ac:dyDescent="0.25">
      <c r="E14775"/>
    </row>
    <row r="14776" spans="5:5" x14ac:dyDescent="0.25">
      <c r="E14776"/>
    </row>
    <row r="14777" spans="5:5" x14ac:dyDescent="0.25">
      <c r="E14777"/>
    </row>
    <row r="14778" spans="5:5" x14ac:dyDescent="0.25">
      <c r="E14778"/>
    </row>
    <row r="14779" spans="5:5" x14ac:dyDescent="0.25">
      <c r="E14779"/>
    </row>
    <row r="14780" spans="5:5" x14ac:dyDescent="0.25">
      <c r="E14780"/>
    </row>
    <row r="14781" spans="5:5" x14ac:dyDescent="0.25">
      <c r="E14781"/>
    </row>
    <row r="14782" spans="5:5" x14ac:dyDescent="0.25">
      <c r="E14782"/>
    </row>
    <row r="14783" spans="5:5" x14ac:dyDescent="0.25">
      <c r="E14783"/>
    </row>
    <row r="14784" spans="5:5" x14ac:dyDescent="0.25">
      <c r="E14784"/>
    </row>
    <row r="14785" spans="5:5" x14ac:dyDescent="0.25">
      <c r="E14785"/>
    </row>
    <row r="14786" spans="5:5" x14ac:dyDescent="0.25">
      <c r="E14786"/>
    </row>
    <row r="14787" spans="5:5" x14ac:dyDescent="0.25">
      <c r="E14787"/>
    </row>
    <row r="14788" spans="5:5" x14ac:dyDescent="0.25">
      <c r="E14788"/>
    </row>
    <row r="14789" spans="5:5" x14ac:dyDescent="0.25">
      <c r="E14789"/>
    </row>
    <row r="14790" spans="5:5" x14ac:dyDescent="0.25">
      <c r="E14790"/>
    </row>
    <row r="14791" spans="5:5" x14ac:dyDescent="0.25">
      <c r="E14791"/>
    </row>
    <row r="14792" spans="5:5" x14ac:dyDescent="0.25">
      <c r="E14792"/>
    </row>
    <row r="14793" spans="5:5" x14ac:dyDescent="0.25">
      <c r="E14793"/>
    </row>
    <row r="14794" spans="5:5" x14ac:dyDescent="0.25">
      <c r="E14794"/>
    </row>
    <row r="14795" spans="5:5" x14ac:dyDescent="0.25">
      <c r="E14795"/>
    </row>
    <row r="14796" spans="5:5" x14ac:dyDescent="0.25">
      <c r="E14796"/>
    </row>
    <row r="14797" spans="5:5" x14ac:dyDescent="0.25">
      <c r="E14797"/>
    </row>
    <row r="14798" spans="5:5" x14ac:dyDescent="0.25">
      <c r="E14798"/>
    </row>
    <row r="14799" spans="5:5" x14ac:dyDescent="0.25">
      <c r="E14799"/>
    </row>
    <row r="14800" spans="5:5" x14ac:dyDescent="0.25">
      <c r="E14800"/>
    </row>
    <row r="14801" spans="5:5" x14ac:dyDescent="0.25">
      <c r="E14801"/>
    </row>
    <row r="14802" spans="5:5" x14ac:dyDescent="0.25">
      <c r="E14802"/>
    </row>
    <row r="14803" spans="5:5" x14ac:dyDescent="0.25">
      <c r="E14803"/>
    </row>
    <row r="14804" spans="5:5" x14ac:dyDescent="0.25">
      <c r="E14804"/>
    </row>
    <row r="14805" spans="5:5" x14ac:dyDescent="0.25">
      <c r="E14805"/>
    </row>
    <row r="14806" spans="5:5" x14ac:dyDescent="0.25">
      <c r="E14806"/>
    </row>
    <row r="14807" spans="5:5" x14ac:dyDescent="0.25">
      <c r="E14807"/>
    </row>
    <row r="14808" spans="5:5" x14ac:dyDescent="0.25">
      <c r="E14808"/>
    </row>
    <row r="14809" spans="5:5" x14ac:dyDescent="0.25">
      <c r="E14809"/>
    </row>
    <row r="14810" spans="5:5" x14ac:dyDescent="0.25">
      <c r="E14810"/>
    </row>
    <row r="14811" spans="5:5" x14ac:dyDescent="0.25">
      <c r="E14811"/>
    </row>
    <row r="14812" spans="5:5" x14ac:dyDescent="0.25">
      <c r="E14812"/>
    </row>
    <row r="14813" spans="5:5" x14ac:dyDescent="0.25">
      <c r="E14813"/>
    </row>
    <row r="14814" spans="5:5" x14ac:dyDescent="0.25">
      <c r="E14814"/>
    </row>
    <row r="14815" spans="5:5" x14ac:dyDescent="0.25">
      <c r="E14815"/>
    </row>
    <row r="14816" spans="5:5" x14ac:dyDescent="0.25">
      <c r="E14816"/>
    </row>
    <row r="14817" spans="5:5" x14ac:dyDescent="0.25">
      <c r="E14817"/>
    </row>
    <row r="14818" spans="5:5" x14ac:dyDescent="0.25">
      <c r="E14818"/>
    </row>
    <row r="14819" spans="5:5" x14ac:dyDescent="0.25">
      <c r="E14819"/>
    </row>
    <row r="14820" spans="5:5" x14ac:dyDescent="0.25">
      <c r="E14820"/>
    </row>
    <row r="14821" spans="5:5" x14ac:dyDescent="0.25">
      <c r="E14821"/>
    </row>
    <row r="14822" spans="5:5" x14ac:dyDescent="0.25">
      <c r="E14822"/>
    </row>
    <row r="14823" spans="5:5" x14ac:dyDescent="0.25">
      <c r="E14823"/>
    </row>
    <row r="14824" spans="5:5" x14ac:dyDescent="0.25">
      <c r="E14824"/>
    </row>
    <row r="14825" spans="5:5" x14ac:dyDescent="0.25">
      <c r="E14825"/>
    </row>
    <row r="14826" spans="5:5" x14ac:dyDescent="0.25">
      <c r="E14826"/>
    </row>
    <row r="14827" spans="5:5" x14ac:dyDescent="0.25">
      <c r="E14827"/>
    </row>
    <row r="14828" spans="5:5" x14ac:dyDescent="0.25">
      <c r="E14828"/>
    </row>
    <row r="14829" spans="5:5" x14ac:dyDescent="0.25">
      <c r="E14829"/>
    </row>
    <row r="14830" spans="5:5" x14ac:dyDescent="0.25">
      <c r="E14830"/>
    </row>
    <row r="14831" spans="5:5" x14ac:dyDescent="0.25">
      <c r="E14831"/>
    </row>
    <row r="14832" spans="5:5" x14ac:dyDescent="0.25">
      <c r="E14832"/>
    </row>
    <row r="14833" spans="5:5" x14ac:dyDescent="0.25">
      <c r="E14833"/>
    </row>
    <row r="14834" spans="5:5" x14ac:dyDescent="0.25">
      <c r="E14834"/>
    </row>
    <row r="14835" spans="5:5" x14ac:dyDescent="0.25">
      <c r="E14835"/>
    </row>
    <row r="14836" spans="5:5" x14ac:dyDescent="0.25">
      <c r="E14836"/>
    </row>
    <row r="14837" spans="5:5" x14ac:dyDescent="0.25">
      <c r="E14837"/>
    </row>
    <row r="14838" spans="5:5" x14ac:dyDescent="0.25">
      <c r="E14838"/>
    </row>
    <row r="14839" spans="5:5" x14ac:dyDescent="0.25">
      <c r="E14839"/>
    </row>
    <row r="14840" spans="5:5" x14ac:dyDescent="0.25">
      <c r="E14840"/>
    </row>
    <row r="14841" spans="5:5" x14ac:dyDescent="0.25">
      <c r="E14841"/>
    </row>
    <row r="14842" spans="5:5" x14ac:dyDescent="0.25">
      <c r="E14842"/>
    </row>
    <row r="14843" spans="5:5" x14ac:dyDescent="0.25">
      <c r="E14843"/>
    </row>
    <row r="14844" spans="5:5" x14ac:dyDescent="0.25">
      <c r="E14844"/>
    </row>
    <row r="14845" spans="5:5" x14ac:dyDescent="0.25">
      <c r="E14845"/>
    </row>
    <row r="14846" spans="5:5" x14ac:dyDescent="0.25">
      <c r="E14846"/>
    </row>
    <row r="14847" spans="5:5" x14ac:dyDescent="0.25">
      <c r="E14847"/>
    </row>
    <row r="14848" spans="5:5" x14ac:dyDescent="0.25">
      <c r="E14848"/>
    </row>
    <row r="14849" spans="5:5" x14ac:dyDescent="0.25">
      <c r="E14849"/>
    </row>
    <row r="14850" spans="5:5" x14ac:dyDescent="0.25">
      <c r="E14850"/>
    </row>
    <row r="14851" spans="5:5" x14ac:dyDescent="0.25">
      <c r="E14851"/>
    </row>
    <row r="14852" spans="5:5" x14ac:dyDescent="0.25">
      <c r="E14852"/>
    </row>
    <row r="14853" spans="5:5" x14ac:dyDescent="0.25">
      <c r="E14853"/>
    </row>
    <row r="14854" spans="5:5" x14ac:dyDescent="0.25">
      <c r="E14854"/>
    </row>
    <row r="14855" spans="5:5" x14ac:dyDescent="0.25">
      <c r="E14855"/>
    </row>
    <row r="14856" spans="5:5" x14ac:dyDescent="0.25">
      <c r="E14856"/>
    </row>
    <row r="14857" spans="5:5" x14ac:dyDescent="0.25">
      <c r="E14857"/>
    </row>
    <row r="14858" spans="5:5" x14ac:dyDescent="0.25">
      <c r="E14858"/>
    </row>
    <row r="14859" spans="5:5" x14ac:dyDescent="0.25">
      <c r="E14859"/>
    </row>
    <row r="14860" spans="5:5" x14ac:dyDescent="0.25">
      <c r="E14860"/>
    </row>
    <row r="14861" spans="5:5" x14ac:dyDescent="0.25">
      <c r="E14861"/>
    </row>
    <row r="14862" spans="5:5" x14ac:dyDescent="0.25">
      <c r="E14862"/>
    </row>
    <row r="14863" spans="5:5" x14ac:dyDescent="0.25">
      <c r="E14863"/>
    </row>
    <row r="14864" spans="5:5" x14ac:dyDescent="0.25">
      <c r="E14864"/>
    </row>
    <row r="14865" spans="5:5" x14ac:dyDescent="0.25">
      <c r="E14865"/>
    </row>
    <row r="14866" spans="5:5" x14ac:dyDescent="0.25">
      <c r="E14866"/>
    </row>
    <row r="14867" spans="5:5" x14ac:dyDescent="0.25">
      <c r="E14867"/>
    </row>
    <row r="14868" spans="5:5" x14ac:dyDescent="0.25">
      <c r="E14868"/>
    </row>
    <row r="14869" spans="5:5" x14ac:dyDescent="0.25">
      <c r="E14869"/>
    </row>
    <row r="14870" spans="5:5" x14ac:dyDescent="0.25">
      <c r="E14870"/>
    </row>
    <row r="14871" spans="5:5" x14ac:dyDescent="0.25">
      <c r="E14871"/>
    </row>
    <row r="14872" spans="5:5" x14ac:dyDescent="0.25">
      <c r="E14872"/>
    </row>
    <row r="14873" spans="5:5" x14ac:dyDescent="0.25">
      <c r="E14873"/>
    </row>
    <row r="14874" spans="5:5" x14ac:dyDescent="0.25">
      <c r="E14874"/>
    </row>
    <row r="14875" spans="5:5" x14ac:dyDescent="0.25">
      <c r="E14875"/>
    </row>
    <row r="14876" spans="5:5" x14ac:dyDescent="0.25">
      <c r="E14876"/>
    </row>
    <row r="14877" spans="5:5" x14ac:dyDescent="0.25">
      <c r="E14877"/>
    </row>
    <row r="14878" spans="5:5" x14ac:dyDescent="0.25">
      <c r="E14878"/>
    </row>
    <row r="14879" spans="5:5" x14ac:dyDescent="0.25">
      <c r="E14879"/>
    </row>
    <row r="14880" spans="5:5" x14ac:dyDescent="0.25">
      <c r="E14880"/>
    </row>
    <row r="14881" spans="5:5" x14ac:dyDescent="0.25">
      <c r="E14881"/>
    </row>
    <row r="14882" spans="5:5" x14ac:dyDescent="0.25">
      <c r="E14882"/>
    </row>
    <row r="14883" spans="5:5" x14ac:dyDescent="0.25">
      <c r="E14883"/>
    </row>
    <row r="14884" spans="5:5" x14ac:dyDescent="0.25">
      <c r="E14884"/>
    </row>
    <row r="14885" spans="5:5" x14ac:dyDescent="0.25">
      <c r="E14885"/>
    </row>
    <row r="14886" spans="5:5" x14ac:dyDescent="0.25">
      <c r="E14886"/>
    </row>
    <row r="14887" spans="5:5" x14ac:dyDescent="0.25">
      <c r="E14887"/>
    </row>
    <row r="14888" spans="5:5" x14ac:dyDescent="0.25">
      <c r="E14888"/>
    </row>
    <row r="14889" spans="5:5" x14ac:dyDescent="0.25">
      <c r="E14889"/>
    </row>
    <row r="14890" spans="5:5" x14ac:dyDescent="0.25">
      <c r="E14890"/>
    </row>
    <row r="14891" spans="5:5" x14ac:dyDescent="0.25">
      <c r="E14891"/>
    </row>
    <row r="14892" spans="5:5" x14ac:dyDescent="0.25">
      <c r="E14892"/>
    </row>
    <row r="14893" spans="5:5" x14ac:dyDescent="0.25">
      <c r="E14893"/>
    </row>
    <row r="14894" spans="5:5" x14ac:dyDescent="0.25">
      <c r="E14894"/>
    </row>
    <row r="14895" spans="5:5" x14ac:dyDescent="0.25">
      <c r="E14895"/>
    </row>
    <row r="14896" spans="5:5" x14ac:dyDescent="0.25">
      <c r="E14896"/>
    </row>
    <row r="14897" spans="5:5" x14ac:dyDescent="0.25">
      <c r="E14897"/>
    </row>
    <row r="14898" spans="5:5" x14ac:dyDescent="0.25">
      <c r="E14898"/>
    </row>
    <row r="14899" spans="5:5" x14ac:dyDescent="0.25">
      <c r="E14899"/>
    </row>
    <row r="14900" spans="5:5" x14ac:dyDescent="0.25">
      <c r="E14900"/>
    </row>
    <row r="14901" spans="5:5" x14ac:dyDescent="0.25">
      <c r="E14901"/>
    </row>
    <row r="14902" spans="5:5" x14ac:dyDescent="0.25">
      <c r="E14902"/>
    </row>
    <row r="14903" spans="5:5" x14ac:dyDescent="0.25">
      <c r="E14903"/>
    </row>
    <row r="14904" spans="5:5" x14ac:dyDescent="0.25">
      <c r="E14904"/>
    </row>
    <row r="14905" spans="5:5" x14ac:dyDescent="0.25">
      <c r="E14905"/>
    </row>
    <row r="14906" spans="5:5" x14ac:dyDescent="0.25">
      <c r="E14906"/>
    </row>
    <row r="14907" spans="5:5" x14ac:dyDescent="0.25">
      <c r="E14907"/>
    </row>
    <row r="14908" spans="5:5" x14ac:dyDescent="0.25">
      <c r="E14908"/>
    </row>
    <row r="14909" spans="5:5" x14ac:dyDescent="0.25">
      <c r="E14909"/>
    </row>
    <row r="14910" spans="5:5" x14ac:dyDescent="0.25">
      <c r="E14910"/>
    </row>
    <row r="14911" spans="5:5" x14ac:dyDescent="0.25">
      <c r="E14911"/>
    </row>
    <row r="14912" spans="5:5" x14ac:dyDescent="0.25">
      <c r="E14912"/>
    </row>
    <row r="14913" spans="5:5" x14ac:dyDescent="0.25">
      <c r="E14913"/>
    </row>
    <row r="14914" spans="5:5" x14ac:dyDescent="0.25">
      <c r="E14914"/>
    </row>
    <row r="14915" spans="5:5" x14ac:dyDescent="0.25">
      <c r="E14915"/>
    </row>
    <row r="14916" spans="5:5" x14ac:dyDescent="0.25">
      <c r="E14916"/>
    </row>
    <row r="14917" spans="5:5" x14ac:dyDescent="0.25">
      <c r="E14917"/>
    </row>
    <row r="14918" spans="5:5" x14ac:dyDescent="0.25">
      <c r="E14918"/>
    </row>
    <row r="14919" spans="5:5" x14ac:dyDescent="0.25">
      <c r="E14919"/>
    </row>
    <row r="14920" spans="5:5" x14ac:dyDescent="0.25">
      <c r="E14920"/>
    </row>
    <row r="14921" spans="5:5" x14ac:dyDescent="0.25">
      <c r="E14921"/>
    </row>
    <row r="14922" spans="5:5" x14ac:dyDescent="0.25">
      <c r="E14922"/>
    </row>
    <row r="14923" spans="5:5" x14ac:dyDescent="0.25">
      <c r="E14923"/>
    </row>
    <row r="14924" spans="5:5" x14ac:dyDescent="0.25">
      <c r="E14924"/>
    </row>
    <row r="14925" spans="5:5" x14ac:dyDescent="0.25">
      <c r="E14925"/>
    </row>
    <row r="14926" spans="5:5" x14ac:dyDescent="0.25">
      <c r="E14926"/>
    </row>
    <row r="14927" spans="5:5" x14ac:dyDescent="0.25">
      <c r="E14927"/>
    </row>
    <row r="14928" spans="5:5" x14ac:dyDescent="0.25">
      <c r="E14928"/>
    </row>
    <row r="14929" spans="5:5" x14ac:dyDescent="0.25">
      <c r="E14929"/>
    </row>
    <row r="14930" spans="5:5" x14ac:dyDescent="0.25">
      <c r="E14930"/>
    </row>
    <row r="14931" spans="5:5" x14ac:dyDescent="0.25">
      <c r="E14931"/>
    </row>
    <row r="14932" spans="5:5" x14ac:dyDescent="0.25">
      <c r="E14932"/>
    </row>
    <row r="14933" spans="5:5" x14ac:dyDescent="0.25">
      <c r="E14933"/>
    </row>
    <row r="14934" spans="5:5" x14ac:dyDescent="0.25">
      <c r="E14934"/>
    </row>
    <row r="14935" spans="5:5" x14ac:dyDescent="0.25">
      <c r="E14935"/>
    </row>
    <row r="14936" spans="5:5" x14ac:dyDescent="0.25">
      <c r="E14936"/>
    </row>
    <row r="14937" spans="5:5" x14ac:dyDescent="0.25">
      <c r="E14937"/>
    </row>
    <row r="14938" spans="5:5" x14ac:dyDescent="0.25">
      <c r="E14938"/>
    </row>
    <row r="14939" spans="5:5" x14ac:dyDescent="0.25">
      <c r="E14939"/>
    </row>
    <row r="14940" spans="5:5" x14ac:dyDescent="0.25">
      <c r="E14940"/>
    </row>
    <row r="14941" spans="5:5" x14ac:dyDescent="0.25">
      <c r="E14941"/>
    </row>
    <row r="14942" spans="5:5" x14ac:dyDescent="0.25">
      <c r="E14942"/>
    </row>
    <row r="14943" spans="5:5" x14ac:dyDescent="0.25">
      <c r="E14943"/>
    </row>
    <row r="14944" spans="5:5" x14ac:dyDescent="0.25">
      <c r="E14944"/>
    </row>
    <row r="14945" spans="5:5" x14ac:dyDescent="0.25">
      <c r="E14945"/>
    </row>
    <row r="14946" spans="5:5" x14ac:dyDescent="0.25">
      <c r="E14946"/>
    </row>
    <row r="14947" spans="5:5" x14ac:dyDescent="0.25">
      <c r="E14947"/>
    </row>
    <row r="14948" spans="5:5" x14ac:dyDescent="0.25">
      <c r="E14948"/>
    </row>
    <row r="14949" spans="5:5" x14ac:dyDescent="0.25">
      <c r="E14949"/>
    </row>
    <row r="14950" spans="5:5" x14ac:dyDescent="0.25">
      <c r="E14950"/>
    </row>
    <row r="14951" spans="5:5" x14ac:dyDescent="0.25">
      <c r="E14951"/>
    </row>
    <row r="14952" spans="5:5" x14ac:dyDescent="0.25">
      <c r="E14952"/>
    </row>
    <row r="14953" spans="5:5" x14ac:dyDescent="0.25">
      <c r="E14953"/>
    </row>
    <row r="14954" spans="5:5" x14ac:dyDescent="0.25">
      <c r="E14954"/>
    </row>
    <row r="14955" spans="5:5" x14ac:dyDescent="0.25">
      <c r="E14955"/>
    </row>
    <row r="14956" spans="5:5" x14ac:dyDescent="0.25">
      <c r="E14956"/>
    </row>
    <row r="14957" spans="5:5" x14ac:dyDescent="0.25">
      <c r="E14957"/>
    </row>
    <row r="14958" spans="5:5" x14ac:dyDescent="0.25">
      <c r="E14958"/>
    </row>
    <row r="14959" spans="5:5" x14ac:dyDescent="0.25">
      <c r="E14959"/>
    </row>
    <row r="14960" spans="5:5" x14ac:dyDescent="0.25">
      <c r="E14960"/>
    </row>
    <row r="14961" spans="5:5" x14ac:dyDescent="0.25">
      <c r="E14961"/>
    </row>
    <row r="14962" spans="5:5" x14ac:dyDescent="0.25">
      <c r="E14962"/>
    </row>
    <row r="14963" spans="5:5" x14ac:dyDescent="0.25">
      <c r="E14963"/>
    </row>
    <row r="14964" spans="5:5" x14ac:dyDescent="0.25">
      <c r="E14964"/>
    </row>
    <row r="14965" spans="5:5" x14ac:dyDescent="0.25">
      <c r="E14965"/>
    </row>
    <row r="14966" spans="5:5" x14ac:dyDescent="0.25">
      <c r="E14966"/>
    </row>
    <row r="14967" spans="5:5" x14ac:dyDescent="0.25">
      <c r="E14967"/>
    </row>
    <row r="14968" spans="5:5" x14ac:dyDescent="0.25">
      <c r="E14968"/>
    </row>
    <row r="14969" spans="5:5" x14ac:dyDescent="0.25">
      <c r="E14969"/>
    </row>
    <row r="14970" spans="5:5" x14ac:dyDescent="0.25">
      <c r="E14970"/>
    </row>
    <row r="14971" spans="5:5" x14ac:dyDescent="0.25">
      <c r="E14971"/>
    </row>
    <row r="14972" spans="5:5" x14ac:dyDescent="0.25">
      <c r="E14972"/>
    </row>
    <row r="14973" spans="5:5" x14ac:dyDescent="0.25">
      <c r="E14973"/>
    </row>
    <row r="14974" spans="5:5" x14ac:dyDescent="0.25">
      <c r="E14974"/>
    </row>
    <row r="14975" spans="5:5" x14ac:dyDescent="0.25">
      <c r="E14975"/>
    </row>
    <row r="14976" spans="5:5" x14ac:dyDescent="0.25">
      <c r="E14976"/>
    </row>
    <row r="14977" spans="5:5" x14ac:dyDescent="0.25">
      <c r="E14977"/>
    </row>
    <row r="14978" spans="5:5" x14ac:dyDescent="0.25">
      <c r="E14978"/>
    </row>
    <row r="14979" spans="5:5" x14ac:dyDescent="0.25">
      <c r="E14979"/>
    </row>
    <row r="14980" spans="5:5" x14ac:dyDescent="0.25">
      <c r="E14980"/>
    </row>
    <row r="14981" spans="5:5" x14ac:dyDescent="0.25">
      <c r="E14981"/>
    </row>
    <row r="14982" spans="5:5" x14ac:dyDescent="0.25">
      <c r="E14982"/>
    </row>
    <row r="14983" spans="5:5" x14ac:dyDescent="0.25">
      <c r="E14983"/>
    </row>
    <row r="14984" spans="5:5" x14ac:dyDescent="0.25">
      <c r="E14984"/>
    </row>
    <row r="14985" spans="5:5" x14ac:dyDescent="0.25">
      <c r="E14985"/>
    </row>
    <row r="14986" spans="5:5" x14ac:dyDescent="0.25">
      <c r="E14986"/>
    </row>
    <row r="14987" spans="5:5" x14ac:dyDescent="0.25">
      <c r="E14987"/>
    </row>
    <row r="14988" spans="5:5" x14ac:dyDescent="0.25">
      <c r="E14988"/>
    </row>
    <row r="14989" spans="5:5" x14ac:dyDescent="0.25">
      <c r="E14989"/>
    </row>
    <row r="14990" spans="5:5" x14ac:dyDescent="0.25">
      <c r="E14990"/>
    </row>
    <row r="14991" spans="5:5" x14ac:dyDescent="0.25">
      <c r="E14991"/>
    </row>
    <row r="14992" spans="5:5" x14ac:dyDescent="0.25">
      <c r="E14992"/>
    </row>
    <row r="14993" spans="5:5" x14ac:dyDescent="0.25">
      <c r="E14993"/>
    </row>
    <row r="14994" spans="5:5" x14ac:dyDescent="0.25">
      <c r="E14994"/>
    </row>
    <row r="14995" spans="5:5" x14ac:dyDescent="0.25">
      <c r="E14995"/>
    </row>
    <row r="14996" spans="5:5" x14ac:dyDescent="0.25">
      <c r="E14996"/>
    </row>
    <row r="14997" spans="5:5" x14ac:dyDescent="0.25">
      <c r="E14997"/>
    </row>
    <row r="14998" spans="5:5" x14ac:dyDescent="0.25">
      <c r="E14998"/>
    </row>
    <row r="14999" spans="5:5" x14ac:dyDescent="0.25">
      <c r="E14999"/>
    </row>
    <row r="15000" spans="5:5" x14ac:dyDescent="0.25">
      <c r="E15000"/>
    </row>
    <row r="15001" spans="5:5" x14ac:dyDescent="0.25">
      <c r="E15001"/>
    </row>
    <row r="15002" spans="5:5" x14ac:dyDescent="0.25">
      <c r="E15002"/>
    </row>
    <row r="15003" spans="5:5" x14ac:dyDescent="0.25">
      <c r="E15003"/>
    </row>
    <row r="15004" spans="5:5" x14ac:dyDescent="0.25">
      <c r="E15004"/>
    </row>
    <row r="15005" spans="5:5" x14ac:dyDescent="0.25">
      <c r="E15005"/>
    </row>
    <row r="15006" spans="5:5" x14ac:dyDescent="0.25">
      <c r="E15006"/>
    </row>
    <row r="15007" spans="5:5" x14ac:dyDescent="0.25">
      <c r="E15007"/>
    </row>
    <row r="15008" spans="5:5" x14ac:dyDescent="0.25">
      <c r="E15008"/>
    </row>
    <row r="15009" spans="5:5" x14ac:dyDescent="0.25">
      <c r="E15009"/>
    </row>
    <row r="15010" spans="5:5" x14ac:dyDescent="0.25">
      <c r="E15010"/>
    </row>
    <row r="15011" spans="5:5" x14ac:dyDescent="0.25">
      <c r="E15011"/>
    </row>
    <row r="15012" spans="5:5" x14ac:dyDescent="0.25">
      <c r="E15012"/>
    </row>
    <row r="15013" spans="5:5" x14ac:dyDescent="0.25">
      <c r="E15013"/>
    </row>
    <row r="15014" spans="5:5" x14ac:dyDescent="0.25">
      <c r="E15014"/>
    </row>
    <row r="15015" spans="5:5" x14ac:dyDescent="0.25">
      <c r="E15015"/>
    </row>
    <row r="15016" spans="5:5" x14ac:dyDescent="0.25">
      <c r="E15016"/>
    </row>
    <row r="15017" spans="5:5" x14ac:dyDescent="0.25">
      <c r="E15017"/>
    </row>
    <row r="15018" spans="5:5" x14ac:dyDescent="0.25">
      <c r="E15018"/>
    </row>
    <row r="15019" spans="5:5" x14ac:dyDescent="0.25">
      <c r="E15019"/>
    </row>
    <row r="15020" spans="5:5" x14ac:dyDescent="0.25">
      <c r="E15020"/>
    </row>
    <row r="15021" spans="5:5" x14ac:dyDescent="0.25">
      <c r="E15021"/>
    </row>
    <row r="15022" spans="5:5" x14ac:dyDescent="0.25">
      <c r="E15022"/>
    </row>
    <row r="15023" spans="5:5" x14ac:dyDescent="0.25">
      <c r="E15023"/>
    </row>
    <row r="15024" spans="5:5" x14ac:dyDescent="0.25">
      <c r="E15024"/>
    </row>
    <row r="15025" spans="5:5" x14ac:dyDescent="0.25">
      <c r="E15025"/>
    </row>
    <row r="15026" spans="5:5" x14ac:dyDescent="0.25">
      <c r="E15026"/>
    </row>
    <row r="15027" spans="5:5" x14ac:dyDescent="0.25">
      <c r="E15027"/>
    </row>
    <row r="15028" spans="5:5" x14ac:dyDescent="0.25">
      <c r="E15028"/>
    </row>
    <row r="15029" spans="5:5" x14ac:dyDescent="0.25">
      <c r="E15029"/>
    </row>
    <row r="15030" spans="5:5" x14ac:dyDescent="0.25">
      <c r="E15030"/>
    </row>
    <row r="15031" spans="5:5" x14ac:dyDescent="0.25">
      <c r="E15031"/>
    </row>
    <row r="15032" spans="5:5" x14ac:dyDescent="0.25">
      <c r="E15032"/>
    </row>
    <row r="15033" spans="5:5" x14ac:dyDescent="0.25">
      <c r="E15033"/>
    </row>
    <row r="15034" spans="5:5" x14ac:dyDescent="0.25">
      <c r="E15034"/>
    </row>
    <row r="15035" spans="5:5" x14ac:dyDescent="0.25">
      <c r="E15035"/>
    </row>
    <row r="15036" spans="5:5" x14ac:dyDescent="0.25">
      <c r="E15036"/>
    </row>
    <row r="15037" spans="5:5" x14ac:dyDescent="0.25">
      <c r="E15037"/>
    </row>
    <row r="15038" spans="5:5" x14ac:dyDescent="0.25">
      <c r="E15038"/>
    </row>
    <row r="15039" spans="5:5" x14ac:dyDescent="0.25">
      <c r="E15039"/>
    </row>
    <row r="15040" spans="5:5" x14ac:dyDescent="0.25">
      <c r="E15040"/>
    </row>
    <row r="15041" spans="5:5" x14ac:dyDescent="0.25">
      <c r="E15041"/>
    </row>
    <row r="15042" spans="5:5" x14ac:dyDescent="0.25">
      <c r="E15042"/>
    </row>
    <row r="15043" spans="5:5" x14ac:dyDescent="0.25">
      <c r="E15043"/>
    </row>
    <row r="15044" spans="5:5" x14ac:dyDescent="0.25">
      <c r="E15044"/>
    </row>
    <row r="15045" spans="5:5" x14ac:dyDescent="0.25">
      <c r="E15045"/>
    </row>
    <row r="15046" spans="5:5" x14ac:dyDescent="0.25">
      <c r="E15046"/>
    </row>
    <row r="15047" spans="5:5" x14ac:dyDescent="0.25">
      <c r="E15047"/>
    </row>
    <row r="15048" spans="5:5" x14ac:dyDescent="0.25">
      <c r="E15048"/>
    </row>
    <row r="15049" spans="5:5" x14ac:dyDescent="0.25">
      <c r="E15049"/>
    </row>
    <row r="15050" spans="5:5" x14ac:dyDescent="0.25">
      <c r="E15050"/>
    </row>
    <row r="15051" spans="5:5" x14ac:dyDescent="0.25">
      <c r="E15051"/>
    </row>
    <row r="15052" spans="5:5" x14ac:dyDescent="0.25">
      <c r="E15052"/>
    </row>
    <row r="15053" spans="5:5" x14ac:dyDescent="0.25">
      <c r="E15053"/>
    </row>
    <row r="15054" spans="5:5" x14ac:dyDescent="0.25">
      <c r="E15054"/>
    </row>
    <row r="15055" spans="5:5" x14ac:dyDescent="0.25">
      <c r="E15055"/>
    </row>
    <row r="15056" spans="5:5" x14ac:dyDescent="0.25">
      <c r="E15056"/>
    </row>
    <row r="15057" spans="5:5" x14ac:dyDescent="0.25">
      <c r="E15057"/>
    </row>
    <row r="15058" spans="5:5" x14ac:dyDescent="0.25">
      <c r="E15058"/>
    </row>
    <row r="15059" spans="5:5" x14ac:dyDescent="0.25">
      <c r="E15059"/>
    </row>
    <row r="15060" spans="5:5" x14ac:dyDescent="0.25">
      <c r="E15060"/>
    </row>
    <row r="15061" spans="5:5" x14ac:dyDescent="0.25">
      <c r="E15061"/>
    </row>
    <row r="15062" spans="5:5" x14ac:dyDescent="0.25">
      <c r="E15062"/>
    </row>
    <row r="15063" spans="5:5" x14ac:dyDescent="0.25">
      <c r="E15063"/>
    </row>
    <row r="15064" spans="5:5" x14ac:dyDescent="0.25">
      <c r="E15064"/>
    </row>
    <row r="15065" spans="5:5" x14ac:dyDescent="0.25">
      <c r="E15065"/>
    </row>
    <row r="15066" spans="5:5" x14ac:dyDescent="0.25">
      <c r="E15066"/>
    </row>
    <row r="15067" spans="5:5" x14ac:dyDescent="0.25">
      <c r="E15067"/>
    </row>
    <row r="15068" spans="5:5" x14ac:dyDescent="0.25">
      <c r="E15068"/>
    </row>
    <row r="15069" spans="5:5" x14ac:dyDescent="0.25">
      <c r="E15069"/>
    </row>
    <row r="15070" spans="5:5" x14ac:dyDescent="0.25">
      <c r="E15070"/>
    </row>
    <row r="15071" spans="5:5" x14ac:dyDescent="0.25">
      <c r="E15071"/>
    </row>
    <row r="15072" spans="5:5" x14ac:dyDescent="0.25">
      <c r="E15072"/>
    </row>
    <row r="15073" spans="5:5" x14ac:dyDescent="0.25">
      <c r="E15073"/>
    </row>
    <row r="15074" spans="5:5" x14ac:dyDescent="0.25">
      <c r="E15074"/>
    </row>
    <row r="15075" spans="5:5" x14ac:dyDescent="0.25">
      <c r="E15075"/>
    </row>
    <row r="15076" spans="5:5" x14ac:dyDescent="0.25">
      <c r="E15076"/>
    </row>
    <row r="15077" spans="5:5" x14ac:dyDescent="0.25">
      <c r="E15077"/>
    </row>
    <row r="15078" spans="5:5" x14ac:dyDescent="0.25">
      <c r="E15078"/>
    </row>
    <row r="15079" spans="5:5" x14ac:dyDescent="0.25">
      <c r="E15079"/>
    </row>
    <row r="15080" spans="5:5" x14ac:dyDescent="0.25">
      <c r="E15080"/>
    </row>
    <row r="15081" spans="5:5" x14ac:dyDescent="0.25">
      <c r="E15081"/>
    </row>
    <row r="15082" spans="5:5" x14ac:dyDescent="0.25">
      <c r="E15082"/>
    </row>
    <row r="15083" spans="5:5" x14ac:dyDescent="0.25">
      <c r="E15083"/>
    </row>
    <row r="15084" spans="5:5" x14ac:dyDescent="0.25">
      <c r="E15084"/>
    </row>
    <row r="15085" spans="5:5" x14ac:dyDescent="0.25">
      <c r="E15085"/>
    </row>
    <row r="15086" spans="5:5" x14ac:dyDescent="0.25">
      <c r="E15086"/>
    </row>
    <row r="15087" spans="5:5" x14ac:dyDescent="0.25">
      <c r="E15087"/>
    </row>
    <row r="15088" spans="5:5" x14ac:dyDescent="0.25">
      <c r="E15088"/>
    </row>
    <row r="15089" spans="5:5" x14ac:dyDescent="0.25">
      <c r="E15089"/>
    </row>
    <row r="15090" spans="5:5" x14ac:dyDescent="0.25">
      <c r="E15090"/>
    </row>
    <row r="15091" spans="5:5" x14ac:dyDescent="0.25">
      <c r="E15091"/>
    </row>
    <row r="15092" spans="5:5" x14ac:dyDescent="0.25">
      <c r="E15092"/>
    </row>
    <row r="15093" spans="5:5" x14ac:dyDescent="0.25">
      <c r="E15093"/>
    </row>
    <row r="15094" spans="5:5" x14ac:dyDescent="0.25">
      <c r="E15094"/>
    </row>
    <row r="15095" spans="5:5" x14ac:dyDescent="0.25">
      <c r="E15095"/>
    </row>
    <row r="15096" spans="5:5" x14ac:dyDescent="0.25">
      <c r="E15096"/>
    </row>
    <row r="15097" spans="5:5" x14ac:dyDescent="0.25">
      <c r="E15097"/>
    </row>
    <row r="15098" spans="5:5" x14ac:dyDescent="0.25">
      <c r="E15098"/>
    </row>
    <row r="15099" spans="5:5" x14ac:dyDescent="0.25">
      <c r="E15099"/>
    </row>
    <row r="15100" spans="5:5" x14ac:dyDescent="0.25">
      <c r="E15100"/>
    </row>
    <row r="15101" spans="5:5" x14ac:dyDescent="0.25">
      <c r="E15101"/>
    </row>
    <row r="15102" spans="5:5" x14ac:dyDescent="0.25">
      <c r="E15102"/>
    </row>
    <row r="15103" spans="5:5" x14ac:dyDescent="0.25">
      <c r="E15103"/>
    </row>
    <row r="15104" spans="5:5" x14ac:dyDescent="0.25">
      <c r="E15104"/>
    </row>
    <row r="15105" spans="5:5" x14ac:dyDescent="0.25">
      <c r="E15105"/>
    </row>
    <row r="15106" spans="5:5" x14ac:dyDescent="0.25">
      <c r="E15106"/>
    </row>
    <row r="15107" spans="5:5" x14ac:dyDescent="0.25">
      <c r="E15107"/>
    </row>
    <row r="15108" spans="5:5" x14ac:dyDescent="0.25">
      <c r="E15108"/>
    </row>
    <row r="15109" spans="5:5" x14ac:dyDescent="0.25">
      <c r="E15109"/>
    </row>
    <row r="15110" spans="5:5" x14ac:dyDescent="0.25">
      <c r="E15110"/>
    </row>
    <row r="15111" spans="5:5" x14ac:dyDescent="0.25">
      <c r="E15111"/>
    </row>
    <row r="15112" spans="5:5" x14ac:dyDescent="0.25">
      <c r="E15112"/>
    </row>
    <row r="15113" spans="5:5" x14ac:dyDescent="0.25">
      <c r="E15113"/>
    </row>
    <row r="15114" spans="5:5" x14ac:dyDescent="0.25">
      <c r="E15114"/>
    </row>
    <row r="15115" spans="5:5" x14ac:dyDescent="0.25">
      <c r="E15115"/>
    </row>
    <row r="15116" spans="5:5" x14ac:dyDescent="0.25">
      <c r="E15116"/>
    </row>
    <row r="15117" spans="5:5" x14ac:dyDescent="0.25">
      <c r="E15117"/>
    </row>
    <row r="15118" spans="5:5" x14ac:dyDescent="0.25">
      <c r="E15118"/>
    </row>
    <row r="15119" spans="5:5" x14ac:dyDescent="0.25">
      <c r="E15119"/>
    </row>
    <row r="15120" spans="5:5" x14ac:dyDescent="0.25">
      <c r="E15120"/>
    </row>
    <row r="15121" spans="5:5" x14ac:dyDescent="0.25">
      <c r="E15121"/>
    </row>
    <row r="15122" spans="5:5" x14ac:dyDescent="0.25">
      <c r="E15122"/>
    </row>
    <row r="15123" spans="5:5" x14ac:dyDescent="0.25">
      <c r="E15123"/>
    </row>
    <row r="15124" spans="5:5" x14ac:dyDescent="0.25">
      <c r="E15124"/>
    </row>
    <row r="15125" spans="5:5" x14ac:dyDescent="0.25">
      <c r="E15125"/>
    </row>
    <row r="15126" spans="5:5" x14ac:dyDescent="0.25">
      <c r="E15126"/>
    </row>
    <row r="15127" spans="5:5" x14ac:dyDescent="0.25">
      <c r="E15127"/>
    </row>
    <row r="15128" spans="5:5" x14ac:dyDescent="0.25">
      <c r="E15128"/>
    </row>
    <row r="15129" spans="5:5" x14ac:dyDescent="0.25">
      <c r="E15129"/>
    </row>
    <row r="15130" spans="5:5" x14ac:dyDescent="0.25">
      <c r="E15130"/>
    </row>
    <row r="15131" spans="5:5" x14ac:dyDescent="0.25">
      <c r="E15131"/>
    </row>
    <row r="15132" spans="5:5" x14ac:dyDescent="0.25">
      <c r="E15132"/>
    </row>
    <row r="15133" spans="5:5" x14ac:dyDescent="0.25">
      <c r="E15133"/>
    </row>
    <row r="15134" spans="5:5" x14ac:dyDescent="0.25">
      <c r="E15134"/>
    </row>
    <row r="15135" spans="5:5" x14ac:dyDescent="0.25">
      <c r="E15135"/>
    </row>
    <row r="15136" spans="5:5" x14ac:dyDescent="0.25">
      <c r="E15136"/>
    </row>
    <row r="15137" spans="5:5" x14ac:dyDescent="0.25">
      <c r="E15137"/>
    </row>
    <row r="15138" spans="5:5" x14ac:dyDescent="0.25">
      <c r="E15138"/>
    </row>
    <row r="15139" spans="5:5" x14ac:dyDescent="0.25">
      <c r="E15139"/>
    </row>
    <row r="15140" spans="5:5" x14ac:dyDescent="0.25">
      <c r="E15140"/>
    </row>
    <row r="15141" spans="5:5" x14ac:dyDescent="0.25">
      <c r="E15141"/>
    </row>
    <row r="15142" spans="5:5" x14ac:dyDescent="0.25">
      <c r="E15142"/>
    </row>
    <row r="15143" spans="5:5" x14ac:dyDescent="0.25">
      <c r="E15143"/>
    </row>
    <row r="15144" spans="5:5" x14ac:dyDescent="0.25">
      <c r="E15144"/>
    </row>
    <row r="15145" spans="5:5" x14ac:dyDescent="0.25">
      <c r="E15145"/>
    </row>
    <row r="15146" spans="5:5" x14ac:dyDescent="0.25">
      <c r="E15146"/>
    </row>
    <row r="15147" spans="5:5" x14ac:dyDescent="0.25">
      <c r="E15147"/>
    </row>
    <row r="15148" spans="5:5" x14ac:dyDescent="0.25">
      <c r="E15148"/>
    </row>
    <row r="15149" spans="5:5" x14ac:dyDescent="0.25">
      <c r="E15149"/>
    </row>
    <row r="15150" spans="5:5" x14ac:dyDescent="0.25">
      <c r="E15150"/>
    </row>
    <row r="15151" spans="5:5" x14ac:dyDescent="0.25">
      <c r="E15151"/>
    </row>
    <row r="15152" spans="5:5" x14ac:dyDescent="0.25">
      <c r="E15152"/>
    </row>
    <row r="15153" spans="5:5" x14ac:dyDescent="0.25">
      <c r="E15153"/>
    </row>
    <row r="15154" spans="5:5" x14ac:dyDescent="0.25">
      <c r="E15154"/>
    </row>
    <row r="15155" spans="5:5" x14ac:dyDescent="0.25">
      <c r="E15155"/>
    </row>
    <row r="15156" spans="5:5" x14ac:dyDescent="0.25">
      <c r="E15156"/>
    </row>
    <row r="15157" spans="5:5" x14ac:dyDescent="0.25">
      <c r="E15157"/>
    </row>
    <row r="15158" spans="5:5" x14ac:dyDescent="0.25">
      <c r="E15158"/>
    </row>
    <row r="15159" spans="5:5" x14ac:dyDescent="0.25">
      <c r="E15159"/>
    </row>
    <row r="15160" spans="5:5" x14ac:dyDescent="0.25">
      <c r="E15160"/>
    </row>
    <row r="15161" spans="5:5" x14ac:dyDescent="0.25">
      <c r="E15161"/>
    </row>
    <row r="15162" spans="5:5" x14ac:dyDescent="0.25">
      <c r="E15162"/>
    </row>
    <row r="15163" spans="5:5" x14ac:dyDescent="0.25">
      <c r="E15163"/>
    </row>
    <row r="15164" spans="5:5" x14ac:dyDescent="0.25">
      <c r="E15164"/>
    </row>
    <row r="15165" spans="5:5" x14ac:dyDescent="0.25">
      <c r="E15165"/>
    </row>
    <row r="15166" spans="5:5" x14ac:dyDescent="0.25">
      <c r="E15166"/>
    </row>
    <row r="15167" spans="5:5" x14ac:dyDescent="0.25">
      <c r="E15167"/>
    </row>
    <row r="15168" spans="5:5" x14ac:dyDescent="0.25">
      <c r="E15168"/>
    </row>
    <row r="15169" spans="5:5" x14ac:dyDescent="0.25">
      <c r="E15169"/>
    </row>
    <row r="15170" spans="5:5" x14ac:dyDescent="0.25">
      <c r="E15170"/>
    </row>
    <row r="15171" spans="5:5" x14ac:dyDescent="0.25">
      <c r="E15171"/>
    </row>
    <row r="15172" spans="5:5" x14ac:dyDescent="0.25">
      <c r="E15172"/>
    </row>
    <row r="15173" spans="5:5" x14ac:dyDescent="0.25">
      <c r="E15173"/>
    </row>
    <row r="15174" spans="5:5" x14ac:dyDescent="0.25">
      <c r="E15174"/>
    </row>
    <row r="15175" spans="5:5" x14ac:dyDescent="0.25">
      <c r="E15175"/>
    </row>
    <row r="15176" spans="5:5" x14ac:dyDescent="0.25">
      <c r="E15176"/>
    </row>
    <row r="15177" spans="5:5" x14ac:dyDescent="0.25">
      <c r="E15177"/>
    </row>
    <row r="15178" spans="5:5" x14ac:dyDescent="0.25">
      <c r="E15178"/>
    </row>
    <row r="15179" spans="5:5" x14ac:dyDescent="0.25">
      <c r="E15179"/>
    </row>
    <row r="15180" spans="5:5" x14ac:dyDescent="0.25">
      <c r="E15180"/>
    </row>
    <row r="15181" spans="5:5" x14ac:dyDescent="0.25">
      <c r="E15181"/>
    </row>
    <row r="15182" spans="5:5" x14ac:dyDescent="0.25">
      <c r="E15182"/>
    </row>
    <row r="15183" spans="5:5" x14ac:dyDescent="0.25">
      <c r="E15183"/>
    </row>
    <row r="15184" spans="5:5" x14ac:dyDescent="0.25">
      <c r="E15184"/>
    </row>
    <row r="15185" spans="5:5" x14ac:dyDescent="0.25">
      <c r="E15185"/>
    </row>
    <row r="15186" spans="5:5" x14ac:dyDescent="0.25">
      <c r="E15186"/>
    </row>
    <row r="15187" spans="5:5" x14ac:dyDescent="0.25">
      <c r="E15187"/>
    </row>
    <row r="15188" spans="5:5" x14ac:dyDescent="0.25">
      <c r="E15188"/>
    </row>
    <row r="15189" spans="5:5" x14ac:dyDescent="0.25">
      <c r="E15189"/>
    </row>
    <row r="15190" spans="5:5" x14ac:dyDescent="0.25">
      <c r="E15190"/>
    </row>
    <row r="15191" spans="5:5" x14ac:dyDescent="0.25">
      <c r="E15191"/>
    </row>
    <row r="15192" spans="5:5" x14ac:dyDescent="0.25">
      <c r="E15192"/>
    </row>
    <row r="15193" spans="5:5" x14ac:dyDescent="0.25">
      <c r="E15193"/>
    </row>
    <row r="15194" spans="5:5" x14ac:dyDescent="0.25">
      <c r="E15194"/>
    </row>
    <row r="15195" spans="5:5" x14ac:dyDescent="0.25">
      <c r="E15195"/>
    </row>
    <row r="15196" spans="5:5" x14ac:dyDescent="0.25">
      <c r="E15196"/>
    </row>
    <row r="15197" spans="5:5" x14ac:dyDescent="0.25">
      <c r="E15197"/>
    </row>
    <row r="15198" spans="5:5" x14ac:dyDescent="0.25">
      <c r="E15198"/>
    </row>
    <row r="15199" spans="5:5" x14ac:dyDescent="0.25">
      <c r="E15199"/>
    </row>
    <row r="15200" spans="5:5" x14ac:dyDescent="0.25">
      <c r="E15200"/>
    </row>
    <row r="15201" spans="5:5" x14ac:dyDescent="0.25">
      <c r="E15201"/>
    </row>
    <row r="15202" spans="5:5" x14ac:dyDescent="0.25">
      <c r="E15202"/>
    </row>
    <row r="15203" spans="5:5" x14ac:dyDescent="0.25">
      <c r="E15203"/>
    </row>
    <row r="15204" spans="5:5" x14ac:dyDescent="0.25">
      <c r="E15204"/>
    </row>
    <row r="15205" spans="5:5" x14ac:dyDescent="0.25">
      <c r="E15205"/>
    </row>
    <row r="15206" spans="5:5" x14ac:dyDescent="0.25">
      <c r="E15206"/>
    </row>
    <row r="15207" spans="5:5" x14ac:dyDescent="0.25">
      <c r="E15207"/>
    </row>
    <row r="15208" spans="5:5" x14ac:dyDescent="0.25">
      <c r="E15208"/>
    </row>
    <row r="15209" spans="5:5" x14ac:dyDescent="0.25">
      <c r="E15209"/>
    </row>
    <row r="15210" spans="5:5" x14ac:dyDescent="0.25">
      <c r="E15210"/>
    </row>
    <row r="15211" spans="5:5" x14ac:dyDescent="0.25">
      <c r="E15211"/>
    </row>
    <row r="15212" spans="5:5" x14ac:dyDescent="0.25">
      <c r="E15212"/>
    </row>
    <row r="15213" spans="5:5" x14ac:dyDescent="0.25">
      <c r="E15213"/>
    </row>
    <row r="15214" spans="5:5" x14ac:dyDescent="0.25">
      <c r="E15214"/>
    </row>
    <row r="15215" spans="5:5" x14ac:dyDescent="0.25">
      <c r="E15215"/>
    </row>
    <row r="15216" spans="5:5" x14ac:dyDescent="0.25">
      <c r="E15216"/>
    </row>
    <row r="15217" spans="5:5" x14ac:dyDescent="0.25">
      <c r="E15217"/>
    </row>
    <row r="15218" spans="5:5" x14ac:dyDescent="0.25">
      <c r="E15218"/>
    </row>
    <row r="15219" spans="5:5" x14ac:dyDescent="0.25">
      <c r="E15219"/>
    </row>
    <row r="15220" spans="5:5" x14ac:dyDescent="0.25">
      <c r="E15220"/>
    </row>
    <row r="15221" spans="5:5" x14ac:dyDescent="0.25">
      <c r="E15221"/>
    </row>
    <row r="15222" spans="5:5" x14ac:dyDescent="0.25">
      <c r="E15222"/>
    </row>
    <row r="15223" spans="5:5" x14ac:dyDescent="0.25">
      <c r="E15223"/>
    </row>
    <row r="15224" spans="5:5" x14ac:dyDescent="0.25">
      <c r="E15224"/>
    </row>
    <row r="15225" spans="5:5" x14ac:dyDescent="0.25">
      <c r="E15225"/>
    </row>
    <row r="15226" spans="5:5" x14ac:dyDescent="0.25">
      <c r="E15226"/>
    </row>
    <row r="15227" spans="5:5" x14ac:dyDescent="0.25">
      <c r="E15227"/>
    </row>
    <row r="15228" spans="5:5" x14ac:dyDescent="0.25">
      <c r="E15228"/>
    </row>
    <row r="15229" spans="5:5" x14ac:dyDescent="0.25">
      <c r="E15229"/>
    </row>
    <row r="15230" spans="5:5" x14ac:dyDescent="0.25">
      <c r="E15230"/>
    </row>
    <row r="15231" spans="5:5" x14ac:dyDescent="0.25">
      <c r="E15231"/>
    </row>
    <row r="15232" spans="5:5" x14ac:dyDescent="0.25">
      <c r="E15232"/>
    </row>
    <row r="15233" spans="5:5" x14ac:dyDescent="0.25">
      <c r="E15233"/>
    </row>
    <row r="15234" spans="5:5" x14ac:dyDescent="0.25">
      <c r="E15234"/>
    </row>
    <row r="15235" spans="5:5" x14ac:dyDescent="0.25">
      <c r="E15235"/>
    </row>
    <row r="15236" spans="5:5" x14ac:dyDescent="0.25">
      <c r="E15236"/>
    </row>
    <row r="15237" spans="5:5" x14ac:dyDescent="0.25">
      <c r="E15237"/>
    </row>
    <row r="15238" spans="5:5" x14ac:dyDescent="0.25">
      <c r="E15238"/>
    </row>
    <row r="15239" spans="5:5" x14ac:dyDescent="0.25">
      <c r="E15239"/>
    </row>
    <row r="15240" spans="5:5" x14ac:dyDescent="0.25">
      <c r="E15240"/>
    </row>
    <row r="15241" spans="5:5" x14ac:dyDescent="0.25">
      <c r="E15241"/>
    </row>
    <row r="15242" spans="5:5" x14ac:dyDescent="0.25">
      <c r="E15242"/>
    </row>
    <row r="15243" spans="5:5" x14ac:dyDescent="0.25">
      <c r="E15243"/>
    </row>
    <row r="15244" spans="5:5" x14ac:dyDescent="0.25">
      <c r="E15244"/>
    </row>
    <row r="15245" spans="5:5" x14ac:dyDescent="0.25">
      <c r="E15245"/>
    </row>
    <row r="15246" spans="5:5" x14ac:dyDescent="0.25">
      <c r="E15246"/>
    </row>
    <row r="15247" spans="5:5" x14ac:dyDescent="0.25">
      <c r="E15247"/>
    </row>
    <row r="15248" spans="5:5" x14ac:dyDescent="0.25">
      <c r="E15248"/>
    </row>
    <row r="15249" spans="5:5" x14ac:dyDescent="0.25">
      <c r="E15249"/>
    </row>
    <row r="15250" spans="5:5" x14ac:dyDescent="0.25">
      <c r="E15250"/>
    </row>
    <row r="15251" spans="5:5" x14ac:dyDescent="0.25">
      <c r="E15251"/>
    </row>
    <row r="15252" spans="5:5" x14ac:dyDescent="0.25">
      <c r="E15252"/>
    </row>
    <row r="15253" spans="5:5" x14ac:dyDescent="0.25">
      <c r="E15253"/>
    </row>
    <row r="15254" spans="5:5" x14ac:dyDescent="0.25">
      <c r="E15254"/>
    </row>
    <row r="15255" spans="5:5" x14ac:dyDescent="0.25">
      <c r="E15255"/>
    </row>
    <row r="15256" spans="5:5" x14ac:dyDescent="0.25">
      <c r="E15256"/>
    </row>
    <row r="15257" spans="5:5" x14ac:dyDescent="0.25">
      <c r="E15257"/>
    </row>
    <row r="15258" spans="5:5" x14ac:dyDescent="0.25">
      <c r="E15258"/>
    </row>
    <row r="15259" spans="5:5" x14ac:dyDescent="0.25">
      <c r="E15259"/>
    </row>
    <row r="15260" spans="5:5" x14ac:dyDescent="0.25">
      <c r="E15260"/>
    </row>
    <row r="15261" spans="5:5" x14ac:dyDescent="0.25">
      <c r="E15261"/>
    </row>
    <row r="15262" spans="5:5" x14ac:dyDescent="0.25">
      <c r="E15262"/>
    </row>
    <row r="15263" spans="5:5" x14ac:dyDescent="0.25">
      <c r="E15263"/>
    </row>
    <row r="15264" spans="5:5" x14ac:dyDescent="0.25">
      <c r="E15264"/>
    </row>
    <row r="15265" spans="5:5" x14ac:dyDescent="0.25">
      <c r="E15265"/>
    </row>
    <row r="15266" spans="5:5" x14ac:dyDescent="0.25">
      <c r="E15266"/>
    </row>
    <row r="15267" spans="5:5" x14ac:dyDescent="0.25">
      <c r="E15267"/>
    </row>
    <row r="15268" spans="5:5" x14ac:dyDescent="0.25">
      <c r="E15268"/>
    </row>
    <row r="15269" spans="5:5" x14ac:dyDescent="0.25">
      <c r="E15269"/>
    </row>
    <row r="15270" spans="5:5" x14ac:dyDescent="0.25">
      <c r="E15270"/>
    </row>
    <row r="15271" spans="5:5" x14ac:dyDescent="0.25">
      <c r="E15271"/>
    </row>
    <row r="15272" spans="5:5" x14ac:dyDescent="0.25">
      <c r="E15272"/>
    </row>
    <row r="15273" spans="5:5" x14ac:dyDescent="0.25">
      <c r="E15273"/>
    </row>
    <row r="15274" spans="5:5" x14ac:dyDescent="0.25">
      <c r="E15274"/>
    </row>
    <row r="15275" spans="5:5" x14ac:dyDescent="0.25">
      <c r="E15275"/>
    </row>
    <row r="15276" spans="5:5" x14ac:dyDescent="0.25">
      <c r="E15276"/>
    </row>
    <row r="15277" spans="5:5" x14ac:dyDescent="0.25">
      <c r="E15277"/>
    </row>
    <row r="15278" spans="5:5" x14ac:dyDescent="0.25">
      <c r="E15278"/>
    </row>
    <row r="15279" spans="5:5" x14ac:dyDescent="0.25">
      <c r="E15279"/>
    </row>
    <row r="15280" spans="5:5" x14ac:dyDescent="0.25">
      <c r="E15280"/>
    </row>
    <row r="15281" spans="5:5" x14ac:dyDescent="0.25">
      <c r="E15281"/>
    </row>
    <row r="15282" spans="5:5" x14ac:dyDescent="0.25">
      <c r="E15282"/>
    </row>
    <row r="15283" spans="5:5" x14ac:dyDescent="0.25">
      <c r="E15283"/>
    </row>
    <row r="15284" spans="5:5" x14ac:dyDescent="0.25">
      <c r="E15284"/>
    </row>
    <row r="15285" spans="5:5" x14ac:dyDescent="0.25">
      <c r="E15285"/>
    </row>
    <row r="15286" spans="5:5" x14ac:dyDescent="0.25">
      <c r="E15286"/>
    </row>
    <row r="15287" spans="5:5" x14ac:dyDescent="0.25">
      <c r="E15287"/>
    </row>
    <row r="15288" spans="5:5" x14ac:dyDescent="0.25">
      <c r="E15288"/>
    </row>
    <row r="15289" spans="5:5" x14ac:dyDescent="0.25">
      <c r="E15289"/>
    </row>
    <row r="15290" spans="5:5" x14ac:dyDescent="0.25">
      <c r="E15290"/>
    </row>
    <row r="15291" spans="5:5" x14ac:dyDescent="0.25">
      <c r="E15291"/>
    </row>
    <row r="15292" spans="5:5" x14ac:dyDescent="0.25">
      <c r="E15292"/>
    </row>
    <row r="15293" spans="5:5" x14ac:dyDescent="0.25">
      <c r="E15293"/>
    </row>
    <row r="15294" spans="5:5" x14ac:dyDescent="0.25">
      <c r="E15294"/>
    </row>
    <row r="15295" spans="5:5" x14ac:dyDescent="0.25">
      <c r="E15295"/>
    </row>
    <row r="15296" spans="5:5" x14ac:dyDescent="0.25">
      <c r="E15296"/>
    </row>
    <row r="15297" spans="5:5" x14ac:dyDescent="0.25">
      <c r="E15297"/>
    </row>
    <row r="15298" spans="5:5" x14ac:dyDescent="0.25">
      <c r="E15298"/>
    </row>
    <row r="15299" spans="5:5" x14ac:dyDescent="0.25">
      <c r="E15299"/>
    </row>
    <row r="15300" spans="5:5" x14ac:dyDescent="0.25">
      <c r="E15300"/>
    </row>
    <row r="15301" spans="5:5" x14ac:dyDescent="0.25">
      <c r="E15301"/>
    </row>
    <row r="15302" spans="5:5" x14ac:dyDescent="0.25">
      <c r="E15302"/>
    </row>
    <row r="15303" spans="5:5" x14ac:dyDescent="0.25">
      <c r="E15303"/>
    </row>
    <row r="15304" spans="5:5" x14ac:dyDescent="0.25">
      <c r="E15304"/>
    </row>
    <row r="15305" spans="5:5" x14ac:dyDescent="0.25">
      <c r="E15305"/>
    </row>
    <row r="15306" spans="5:5" x14ac:dyDescent="0.25">
      <c r="E15306"/>
    </row>
    <row r="15307" spans="5:5" x14ac:dyDescent="0.25">
      <c r="E15307"/>
    </row>
    <row r="15308" spans="5:5" x14ac:dyDescent="0.25">
      <c r="E15308"/>
    </row>
    <row r="15309" spans="5:5" x14ac:dyDescent="0.25">
      <c r="E15309"/>
    </row>
    <row r="15310" spans="5:5" x14ac:dyDescent="0.25">
      <c r="E15310"/>
    </row>
    <row r="15311" spans="5:5" x14ac:dyDescent="0.25">
      <c r="E15311"/>
    </row>
    <row r="15312" spans="5:5" x14ac:dyDescent="0.25">
      <c r="E15312"/>
    </row>
    <row r="15313" spans="5:5" x14ac:dyDescent="0.25">
      <c r="E15313"/>
    </row>
    <row r="15314" spans="5:5" x14ac:dyDescent="0.25">
      <c r="E15314"/>
    </row>
    <row r="15315" spans="5:5" x14ac:dyDescent="0.25">
      <c r="E15315"/>
    </row>
    <row r="15316" spans="5:5" x14ac:dyDescent="0.25">
      <c r="E15316"/>
    </row>
    <row r="15317" spans="5:5" x14ac:dyDescent="0.25">
      <c r="E15317"/>
    </row>
    <row r="15318" spans="5:5" x14ac:dyDescent="0.25">
      <c r="E15318"/>
    </row>
    <row r="15319" spans="5:5" x14ac:dyDescent="0.25">
      <c r="E15319"/>
    </row>
    <row r="15320" spans="5:5" x14ac:dyDescent="0.25">
      <c r="E15320"/>
    </row>
    <row r="15321" spans="5:5" x14ac:dyDescent="0.25">
      <c r="E15321"/>
    </row>
    <row r="15322" spans="5:5" x14ac:dyDescent="0.25">
      <c r="E15322"/>
    </row>
    <row r="15323" spans="5:5" x14ac:dyDescent="0.25">
      <c r="E15323"/>
    </row>
    <row r="15324" spans="5:5" x14ac:dyDescent="0.25">
      <c r="E15324"/>
    </row>
    <row r="15325" spans="5:5" x14ac:dyDescent="0.25">
      <c r="E15325"/>
    </row>
    <row r="15326" spans="5:5" x14ac:dyDescent="0.25">
      <c r="E15326"/>
    </row>
    <row r="15327" spans="5:5" x14ac:dyDescent="0.25">
      <c r="E15327"/>
    </row>
    <row r="15328" spans="5:5" x14ac:dyDescent="0.25">
      <c r="E15328"/>
    </row>
    <row r="15329" spans="5:5" x14ac:dyDescent="0.25">
      <c r="E15329"/>
    </row>
    <row r="15330" spans="5:5" x14ac:dyDescent="0.25">
      <c r="E15330"/>
    </row>
    <row r="15331" spans="5:5" x14ac:dyDescent="0.25">
      <c r="E15331"/>
    </row>
    <row r="15332" spans="5:5" x14ac:dyDescent="0.25">
      <c r="E15332"/>
    </row>
    <row r="15333" spans="5:5" x14ac:dyDescent="0.25">
      <c r="E15333"/>
    </row>
    <row r="15334" spans="5:5" x14ac:dyDescent="0.25">
      <c r="E15334"/>
    </row>
    <row r="15335" spans="5:5" x14ac:dyDescent="0.25">
      <c r="E15335"/>
    </row>
    <row r="15336" spans="5:5" x14ac:dyDescent="0.25">
      <c r="E15336"/>
    </row>
    <row r="15337" spans="5:5" x14ac:dyDescent="0.25">
      <c r="E15337"/>
    </row>
    <row r="15338" spans="5:5" x14ac:dyDescent="0.25">
      <c r="E15338"/>
    </row>
    <row r="15339" spans="5:5" x14ac:dyDescent="0.25">
      <c r="E15339"/>
    </row>
    <row r="15340" spans="5:5" x14ac:dyDescent="0.25">
      <c r="E15340"/>
    </row>
    <row r="15341" spans="5:5" x14ac:dyDescent="0.25">
      <c r="E15341"/>
    </row>
    <row r="15342" spans="5:5" x14ac:dyDescent="0.25">
      <c r="E15342"/>
    </row>
    <row r="15343" spans="5:5" x14ac:dyDescent="0.25">
      <c r="E15343"/>
    </row>
    <row r="15344" spans="5:5" x14ac:dyDescent="0.25">
      <c r="E15344"/>
    </row>
    <row r="15345" spans="5:5" x14ac:dyDescent="0.25">
      <c r="E15345"/>
    </row>
    <row r="15346" spans="5:5" x14ac:dyDescent="0.25">
      <c r="E15346"/>
    </row>
    <row r="15347" spans="5:5" x14ac:dyDescent="0.25">
      <c r="E15347"/>
    </row>
    <row r="15348" spans="5:5" x14ac:dyDescent="0.25">
      <c r="E15348"/>
    </row>
    <row r="15349" spans="5:5" x14ac:dyDescent="0.25">
      <c r="E15349"/>
    </row>
    <row r="15350" spans="5:5" x14ac:dyDescent="0.25">
      <c r="E15350"/>
    </row>
    <row r="15351" spans="5:5" x14ac:dyDescent="0.25">
      <c r="E15351"/>
    </row>
    <row r="15352" spans="5:5" x14ac:dyDescent="0.25">
      <c r="E15352"/>
    </row>
    <row r="15353" spans="5:5" x14ac:dyDescent="0.25">
      <c r="E15353"/>
    </row>
    <row r="15354" spans="5:5" x14ac:dyDescent="0.25">
      <c r="E15354"/>
    </row>
    <row r="15355" spans="5:5" x14ac:dyDescent="0.25">
      <c r="E15355"/>
    </row>
    <row r="15356" spans="5:5" x14ac:dyDescent="0.25">
      <c r="E15356"/>
    </row>
    <row r="15357" spans="5:5" x14ac:dyDescent="0.25">
      <c r="E15357"/>
    </row>
    <row r="15358" spans="5:5" x14ac:dyDescent="0.25">
      <c r="E15358"/>
    </row>
    <row r="15359" spans="5:5" x14ac:dyDescent="0.25">
      <c r="E15359"/>
    </row>
    <row r="15360" spans="5:5" x14ac:dyDescent="0.25">
      <c r="E15360"/>
    </row>
    <row r="15361" spans="5:5" x14ac:dyDescent="0.25">
      <c r="E15361"/>
    </row>
    <row r="15362" spans="5:5" x14ac:dyDescent="0.25">
      <c r="E15362"/>
    </row>
    <row r="15363" spans="5:5" x14ac:dyDescent="0.25">
      <c r="E15363"/>
    </row>
    <row r="15364" spans="5:5" x14ac:dyDescent="0.25">
      <c r="E15364"/>
    </row>
    <row r="15365" spans="5:5" x14ac:dyDescent="0.25">
      <c r="E15365"/>
    </row>
    <row r="15366" spans="5:5" x14ac:dyDescent="0.25">
      <c r="E15366"/>
    </row>
    <row r="15367" spans="5:5" x14ac:dyDescent="0.25">
      <c r="E15367"/>
    </row>
    <row r="15368" spans="5:5" x14ac:dyDescent="0.25">
      <c r="E15368"/>
    </row>
    <row r="15369" spans="5:5" x14ac:dyDescent="0.25">
      <c r="E15369"/>
    </row>
    <row r="15370" spans="5:5" x14ac:dyDescent="0.25">
      <c r="E15370"/>
    </row>
    <row r="15371" spans="5:5" x14ac:dyDescent="0.25">
      <c r="E15371"/>
    </row>
    <row r="15372" spans="5:5" x14ac:dyDescent="0.25">
      <c r="E15372"/>
    </row>
    <row r="15373" spans="5:5" x14ac:dyDescent="0.25">
      <c r="E15373"/>
    </row>
    <row r="15374" spans="5:5" x14ac:dyDescent="0.25">
      <c r="E15374"/>
    </row>
    <row r="15375" spans="5:5" x14ac:dyDescent="0.25">
      <c r="E15375"/>
    </row>
    <row r="15376" spans="5:5" x14ac:dyDescent="0.25">
      <c r="E15376"/>
    </row>
    <row r="15377" spans="5:5" x14ac:dyDescent="0.25">
      <c r="E15377"/>
    </row>
    <row r="15378" spans="5:5" x14ac:dyDescent="0.25">
      <c r="E15378"/>
    </row>
    <row r="15379" spans="5:5" x14ac:dyDescent="0.25">
      <c r="E15379"/>
    </row>
    <row r="15380" spans="5:5" x14ac:dyDescent="0.25">
      <c r="E15380"/>
    </row>
    <row r="15381" spans="5:5" x14ac:dyDescent="0.25">
      <c r="E15381"/>
    </row>
    <row r="15382" spans="5:5" x14ac:dyDescent="0.25">
      <c r="E15382"/>
    </row>
    <row r="15383" spans="5:5" x14ac:dyDescent="0.25">
      <c r="E15383"/>
    </row>
    <row r="15384" spans="5:5" x14ac:dyDescent="0.25">
      <c r="E15384"/>
    </row>
    <row r="15385" spans="5:5" x14ac:dyDescent="0.25">
      <c r="E15385"/>
    </row>
    <row r="15386" spans="5:5" x14ac:dyDescent="0.25">
      <c r="E15386"/>
    </row>
    <row r="15387" spans="5:5" x14ac:dyDescent="0.25">
      <c r="E15387"/>
    </row>
    <row r="15388" spans="5:5" x14ac:dyDescent="0.25">
      <c r="E15388"/>
    </row>
    <row r="15389" spans="5:5" x14ac:dyDescent="0.25">
      <c r="E15389"/>
    </row>
    <row r="15390" spans="5:5" x14ac:dyDescent="0.25">
      <c r="E15390"/>
    </row>
    <row r="15391" spans="5:5" x14ac:dyDescent="0.25">
      <c r="E15391"/>
    </row>
    <row r="15392" spans="5:5" x14ac:dyDescent="0.25">
      <c r="E15392"/>
    </row>
    <row r="15393" spans="5:5" x14ac:dyDescent="0.25">
      <c r="E15393"/>
    </row>
    <row r="15394" spans="5:5" x14ac:dyDescent="0.25">
      <c r="E15394"/>
    </row>
    <row r="15395" spans="5:5" x14ac:dyDescent="0.25">
      <c r="E15395"/>
    </row>
    <row r="15396" spans="5:5" x14ac:dyDescent="0.25">
      <c r="E15396"/>
    </row>
    <row r="15397" spans="5:5" x14ac:dyDescent="0.25">
      <c r="E15397"/>
    </row>
    <row r="15398" spans="5:5" x14ac:dyDescent="0.25">
      <c r="E15398"/>
    </row>
    <row r="15399" spans="5:5" x14ac:dyDescent="0.25">
      <c r="E15399"/>
    </row>
    <row r="15400" spans="5:5" x14ac:dyDescent="0.25">
      <c r="E15400"/>
    </row>
    <row r="15401" spans="5:5" x14ac:dyDescent="0.25">
      <c r="E15401"/>
    </row>
    <row r="15402" spans="5:5" x14ac:dyDescent="0.25">
      <c r="E15402"/>
    </row>
    <row r="15403" spans="5:5" x14ac:dyDescent="0.25">
      <c r="E15403"/>
    </row>
    <row r="15404" spans="5:5" x14ac:dyDescent="0.25">
      <c r="E15404"/>
    </row>
    <row r="15405" spans="5:5" x14ac:dyDescent="0.25">
      <c r="E15405"/>
    </row>
    <row r="15406" spans="5:5" x14ac:dyDescent="0.25">
      <c r="E15406"/>
    </row>
    <row r="15407" spans="5:5" x14ac:dyDescent="0.25">
      <c r="E15407"/>
    </row>
    <row r="15408" spans="5:5" x14ac:dyDescent="0.25">
      <c r="E15408"/>
    </row>
    <row r="15409" spans="5:5" x14ac:dyDescent="0.25">
      <c r="E15409"/>
    </row>
    <row r="15410" spans="5:5" x14ac:dyDescent="0.25">
      <c r="E15410"/>
    </row>
    <row r="15411" spans="5:5" x14ac:dyDescent="0.25">
      <c r="E15411"/>
    </row>
    <row r="15412" spans="5:5" x14ac:dyDescent="0.25">
      <c r="E15412"/>
    </row>
    <row r="15413" spans="5:5" x14ac:dyDescent="0.25">
      <c r="E15413"/>
    </row>
    <row r="15414" spans="5:5" x14ac:dyDescent="0.25">
      <c r="E15414"/>
    </row>
    <row r="15415" spans="5:5" x14ac:dyDescent="0.25">
      <c r="E15415"/>
    </row>
    <row r="15416" spans="5:5" x14ac:dyDescent="0.25">
      <c r="E15416"/>
    </row>
    <row r="15417" spans="5:5" x14ac:dyDescent="0.25">
      <c r="E15417"/>
    </row>
    <row r="15418" spans="5:5" x14ac:dyDescent="0.25">
      <c r="E15418"/>
    </row>
    <row r="15419" spans="5:5" x14ac:dyDescent="0.25">
      <c r="E15419"/>
    </row>
    <row r="15420" spans="5:5" x14ac:dyDescent="0.25">
      <c r="E15420"/>
    </row>
    <row r="15421" spans="5:5" x14ac:dyDescent="0.25">
      <c r="E15421"/>
    </row>
    <row r="15422" spans="5:5" x14ac:dyDescent="0.25">
      <c r="E15422"/>
    </row>
    <row r="15423" spans="5:5" x14ac:dyDescent="0.25">
      <c r="E15423"/>
    </row>
    <row r="15424" spans="5:5" x14ac:dyDescent="0.25">
      <c r="E15424"/>
    </row>
    <row r="15425" spans="5:5" x14ac:dyDescent="0.25">
      <c r="E15425"/>
    </row>
    <row r="15426" spans="5:5" x14ac:dyDescent="0.25">
      <c r="E15426"/>
    </row>
    <row r="15427" spans="5:5" x14ac:dyDescent="0.25">
      <c r="E15427"/>
    </row>
    <row r="15428" spans="5:5" x14ac:dyDescent="0.25">
      <c r="E15428"/>
    </row>
    <row r="15429" spans="5:5" x14ac:dyDescent="0.25">
      <c r="E15429"/>
    </row>
    <row r="15430" spans="5:5" x14ac:dyDescent="0.25">
      <c r="E15430"/>
    </row>
    <row r="15431" spans="5:5" x14ac:dyDescent="0.25">
      <c r="E15431"/>
    </row>
    <row r="15432" spans="5:5" x14ac:dyDescent="0.25">
      <c r="E15432"/>
    </row>
    <row r="15433" spans="5:5" x14ac:dyDescent="0.25">
      <c r="E15433"/>
    </row>
    <row r="15434" spans="5:5" x14ac:dyDescent="0.25">
      <c r="E15434"/>
    </row>
    <row r="15435" spans="5:5" x14ac:dyDescent="0.25">
      <c r="E15435"/>
    </row>
    <row r="15436" spans="5:5" x14ac:dyDescent="0.25">
      <c r="E15436"/>
    </row>
    <row r="15437" spans="5:5" x14ac:dyDescent="0.25">
      <c r="E15437"/>
    </row>
    <row r="15438" spans="5:5" x14ac:dyDescent="0.25">
      <c r="E15438"/>
    </row>
    <row r="15439" spans="5:5" x14ac:dyDescent="0.25">
      <c r="E15439"/>
    </row>
    <row r="15440" spans="5:5" x14ac:dyDescent="0.25">
      <c r="E15440"/>
    </row>
    <row r="15441" spans="5:5" x14ac:dyDescent="0.25">
      <c r="E15441"/>
    </row>
    <row r="15442" spans="5:5" x14ac:dyDescent="0.25">
      <c r="E15442"/>
    </row>
    <row r="15443" spans="5:5" x14ac:dyDescent="0.25">
      <c r="E15443"/>
    </row>
    <row r="15444" spans="5:5" x14ac:dyDescent="0.25">
      <c r="E15444"/>
    </row>
    <row r="15445" spans="5:5" x14ac:dyDescent="0.25">
      <c r="E15445"/>
    </row>
    <row r="15446" spans="5:5" x14ac:dyDescent="0.25">
      <c r="E15446"/>
    </row>
    <row r="15447" spans="5:5" x14ac:dyDescent="0.25">
      <c r="E15447"/>
    </row>
    <row r="15448" spans="5:5" x14ac:dyDescent="0.25">
      <c r="E15448"/>
    </row>
    <row r="15449" spans="5:5" x14ac:dyDescent="0.25">
      <c r="E15449"/>
    </row>
    <row r="15450" spans="5:5" x14ac:dyDescent="0.25">
      <c r="E15450"/>
    </row>
    <row r="15451" spans="5:5" x14ac:dyDescent="0.25">
      <c r="E15451"/>
    </row>
    <row r="15452" spans="5:5" x14ac:dyDescent="0.25">
      <c r="E15452"/>
    </row>
    <row r="15453" spans="5:5" x14ac:dyDescent="0.25">
      <c r="E15453"/>
    </row>
    <row r="15454" spans="5:5" x14ac:dyDescent="0.25">
      <c r="E15454"/>
    </row>
    <row r="15455" spans="5:5" x14ac:dyDescent="0.25">
      <c r="E15455"/>
    </row>
    <row r="15456" spans="5:5" x14ac:dyDescent="0.25">
      <c r="E15456"/>
    </row>
    <row r="15457" spans="5:5" x14ac:dyDescent="0.25">
      <c r="E15457"/>
    </row>
    <row r="15458" spans="5:5" x14ac:dyDescent="0.25">
      <c r="E15458"/>
    </row>
    <row r="15459" spans="5:5" x14ac:dyDescent="0.25">
      <c r="E15459"/>
    </row>
    <row r="15460" spans="5:5" x14ac:dyDescent="0.25">
      <c r="E15460"/>
    </row>
    <row r="15461" spans="5:5" x14ac:dyDescent="0.25">
      <c r="E15461"/>
    </row>
    <row r="15462" spans="5:5" x14ac:dyDescent="0.25">
      <c r="E15462"/>
    </row>
    <row r="15463" spans="5:5" x14ac:dyDescent="0.25">
      <c r="E15463"/>
    </row>
    <row r="15464" spans="5:5" x14ac:dyDescent="0.25">
      <c r="E15464"/>
    </row>
    <row r="15465" spans="5:5" x14ac:dyDescent="0.25">
      <c r="E15465"/>
    </row>
    <row r="15466" spans="5:5" x14ac:dyDescent="0.25">
      <c r="E15466"/>
    </row>
    <row r="15467" spans="5:5" x14ac:dyDescent="0.25">
      <c r="E15467"/>
    </row>
    <row r="15468" spans="5:5" x14ac:dyDescent="0.25">
      <c r="E15468"/>
    </row>
    <row r="15469" spans="5:5" x14ac:dyDescent="0.25">
      <c r="E15469"/>
    </row>
    <row r="15470" spans="5:5" x14ac:dyDescent="0.25">
      <c r="E15470"/>
    </row>
    <row r="15471" spans="5:5" x14ac:dyDescent="0.25">
      <c r="E15471"/>
    </row>
    <row r="15472" spans="5:5" x14ac:dyDescent="0.25">
      <c r="E15472"/>
    </row>
    <row r="15473" spans="5:5" x14ac:dyDescent="0.25">
      <c r="E15473"/>
    </row>
    <row r="15474" spans="5:5" x14ac:dyDescent="0.25">
      <c r="E15474"/>
    </row>
    <row r="15475" spans="5:5" x14ac:dyDescent="0.25">
      <c r="E15475"/>
    </row>
    <row r="15476" spans="5:5" x14ac:dyDescent="0.25">
      <c r="E15476"/>
    </row>
    <row r="15477" spans="5:5" x14ac:dyDescent="0.25">
      <c r="E15477"/>
    </row>
    <row r="15478" spans="5:5" x14ac:dyDescent="0.25">
      <c r="E15478"/>
    </row>
    <row r="15479" spans="5:5" x14ac:dyDescent="0.25">
      <c r="E15479"/>
    </row>
    <row r="15480" spans="5:5" x14ac:dyDescent="0.25">
      <c r="E15480"/>
    </row>
    <row r="15481" spans="5:5" x14ac:dyDescent="0.25">
      <c r="E15481"/>
    </row>
    <row r="15482" spans="5:5" x14ac:dyDescent="0.25">
      <c r="E15482"/>
    </row>
    <row r="15483" spans="5:5" x14ac:dyDescent="0.25">
      <c r="E15483"/>
    </row>
    <row r="15484" spans="5:5" x14ac:dyDescent="0.25">
      <c r="E15484"/>
    </row>
    <row r="15485" spans="5:5" x14ac:dyDescent="0.25">
      <c r="E15485"/>
    </row>
    <row r="15486" spans="5:5" x14ac:dyDescent="0.25">
      <c r="E15486"/>
    </row>
    <row r="15487" spans="5:5" x14ac:dyDescent="0.25">
      <c r="E15487"/>
    </row>
    <row r="15488" spans="5:5" x14ac:dyDescent="0.25">
      <c r="E15488"/>
    </row>
    <row r="15489" spans="5:5" x14ac:dyDescent="0.25">
      <c r="E15489"/>
    </row>
    <row r="15490" spans="5:5" x14ac:dyDescent="0.25">
      <c r="E15490"/>
    </row>
    <row r="15491" spans="5:5" x14ac:dyDescent="0.25">
      <c r="E15491"/>
    </row>
    <row r="15492" spans="5:5" x14ac:dyDescent="0.25">
      <c r="E15492"/>
    </row>
    <row r="15493" spans="5:5" x14ac:dyDescent="0.25">
      <c r="E15493"/>
    </row>
    <row r="15494" spans="5:5" x14ac:dyDescent="0.25">
      <c r="E15494"/>
    </row>
    <row r="15495" spans="5:5" x14ac:dyDescent="0.25">
      <c r="E15495"/>
    </row>
    <row r="15496" spans="5:5" x14ac:dyDescent="0.25">
      <c r="E15496"/>
    </row>
    <row r="15497" spans="5:5" x14ac:dyDescent="0.25">
      <c r="E15497"/>
    </row>
    <row r="15498" spans="5:5" x14ac:dyDescent="0.25">
      <c r="E15498"/>
    </row>
    <row r="15499" spans="5:5" x14ac:dyDescent="0.25">
      <c r="E15499"/>
    </row>
    <row r="15500" spans="5:5" x14ac:dyDescent="0.25">
      <c r="E15500"/>
    </row>
    <row r="15501" spans="5:5" x14ac:dyDescent="0.25">
      <c r="E15501"/>
    </row>
    <row r="15502" spans="5:5" x14ac:dyDescent="0.25">
      <c r="E15502"/>
    </row>
    <row r="15503" spans="5:5" x14ac:dyDescent="0.25">
      <c r="E15503"/>
    </row>
    <row r="15504" spans="5:5" x14ac:dyDescent="0.25">
      <c r="E15504"/>
    </row>
    <row r="15505" spans="5:5" x14ac:dyDescent="0.25">
      <c r="E15505"/>
    </row>
    <row r="15506" spans="5:5" x14ac:dyDescent="0.25">
      <c r="E15506"/>
    </row>
    <row r="15507" spans="5:5" x14ac:dyDescent="0.25">
      <c r="E15507"/>
    </row>
    <row r="15508" spans="5:5" x14ac:dyDescent="0.25">
      <c r="E15508"/>
    </row>
    <row r="15509" spans="5:5" x14ac:dyDescent="0.25">
      <c r="E15509"/>
    </row>
    <row r="15510" spans="5:5" x14ac:dyDescent="0.25">
      <c r="E15510"/>
    </row>
    <row r="15511" spans="5:5" x14ac:dyDescent="0.25">
      <c r="E15511"/>
    </row>
    <row r="15512" spans="5:5" x14ac:dyDescent="0.25">
      <c r="E15512"/>
    </row>
    <row r="15513" spans="5:5" x14ac:dyDescent="0.25">
      <c r="E15513"/>
    </row>
    <row r="15514" spans="5:5" x14ac:dyDescent="0.25">
      <c r="E15514"/>
    </row>
    <row r="15515" spans="5:5" x14ac:dyDescent="0.25">
      <c r="E15515"/>
    </row>
    <row r="15516" spans="5:5" x14ac:dyDescent="0.25">
      <c r="E15516"/>
    </row>
    <row r="15517" spans="5:5" x14ac:dyDescent="0.25">
      <c r="E15517"/>
    </row>
    <row r="15518" spans="5:5" x14ac:dyDescent="0.25">
      <c r="E15518"/>
    </row>
    <row r="15519" spans="5:5" x14ac:dyDescent="0.25">
      <c r="E15519"/>
    </row>
    <row r="15520" spans="5:5" x14ac:dyDescent="0.25">
      <c r="E15520"/>
    </row>
    <row r="15521" spans="5:5" x14ac:dyDescent="0.25">
      <c r="E15521"/>
    </row>
    <row r="15522" spans="5:5" x14ac:dyDescent="0.25">
      <c r="E15522"/>
    </row>
    <row r="15523" spans="5:5" x14ac:dyDescent="0.25">
      <c r="E15523"/>
    </row>
    <row r="15524" spans="5:5" x14ac:dyDescent="0.25">
      <c r="E15524"/>
    </row>
    <row r="15525" spans="5:5" x14ac:dyDescent="0.25">
      <c r="E15525"/>
    </row>
    <row r="15526" spans="5:5" x14ac:dyDescent="0.25">
      <c r="E15526"/>
    </row>
    <row r="15527" spans="5:5" x14ac:dyDescent="0.25">
      <c r="E15527"/>
    </row>
    <row r="15528" spans="5:5" x14ac:dyDescent="0.25">
      <c r="E15528"/>
    </row>
    <row r="15529" spans="5:5" x14ac:dyDescent="0.25">
      <c r="E15529"/>
    </row>
    <row r="15530" spans="5:5" x14ac:dyDescent="0.25">
      <c r="E15530"/>
    </row>
    <row r="15531" spans="5:5" x14ac:dyDescent="0.25">
      <c r="E15531"/>
    </row>
    <row r="15532" spans="5:5" x14ac:dyDescent="0.25">
      <c r="E15532"/>
    </row>
    <row r="15533" spans="5:5" x14ac:dyDescent="0.25">
      <c r="E15533"/>
    </row>
    <row r="15534" spans="5:5" x14ac:dyDescent="0.25">
      <c r="E15534"/>
    </row>
    <row r="15535" spans="5:5" x14ac:dyDescent="0.25">
      <c r="E15535"/>
    </row>
    <row r="15536" spans="5:5" x14ac:dyDescent="0.25">
      <c r="E15536"/>
    </row>
    <row r="15537" spans="5:5" x14ac:dyDescent="0.25">
      <c r="E15537"/>
    </row>
    <row r="15538" spans="5:5" x14ac:dyDescent="0.25">
      <c r="E15538"/>
    </row>
    <row r="15539" spans="5:5" x14ac:dyDescent="0.25">
      <c r="E15539"/>
    </row>
    <row r="15540" spans="5:5" x14ac:dyDescent="0.25">
      <c r="E15540"/>
    </row>
    <row r="15541" spans="5:5" x14ac:dyDescent="0.25">
      <c r="E15541"/>
    </row>
    <row r="15542" spans="5:5" x14ac:dyDescent="0.25">
      <c r="E15542"/>
    </row>
    <row r="15543" spans="5:5" x14ac:dyDescent="0.25">
      <c r="E15543"/>
    </row>
    <row r="15544" spans="5:5" x14ac:dyDescent="0.25">
      <c r="E15544"/>
    </row>
    <row r="15545" spans="5:5" x14ac:dyDescent="0.25">
      <c r="E15545"/>
    </row>
    <row r="15546" spans="5:5" x14ac:dyDescent="0.25">
      <c r="E15546"/>
    </row>
    <row r="15547" spans="5:5" x14ac:dyDescent="0.25">
      <c r="E15547"/>
    </row>
    <row r="15548" spans="5:5" x14ac:dyDescent="0.25">
      <c r="E15548"/>
    </row>
    <row r="15549" spans="5:5" x14ac:dyDescent="0.25">
      <c r="E15549"/>
    </row>
    <row r="15550" spans="5:5" x14ac:dyDescent="0.25">
      <c r="E15550"/>
    </row>
    <row r="15551" spans="5:5" x14ac:dyDescent="0.25">
      <c r="E15551"/>
    </row>
    <row r="15552" spans="5:5" x14ac:dyDescent="0.25">
      <c r="E15552"/>
    </row>
    <row r="15553" spans="5:5" x14ac:dyDescent="0.25">
      <c r="E15553"/>
    </row>
    <row r="15554" spans="5:5" x14ac:dyDescent="0.25">
      <c r="E15554"/>
    </row>
    <row r="15555" spans="5:5" x14ac:dyDescent="0.25">
      <c r="E15555"/>
    </row>
    <row r="15556" spans="5:5" x14ac:dyDescent="0.25">
      <c r="E15556"/>
    </row>
    <row r="15557" spans="5:5" x14ac:dyDescent="0.25">
      <c r="E15557"/>
    </row>
    <row r="15558" spans="5:5" x14ac:dyDescent="0.25">
      <c r="E15558"/>
    </row>
    <row r="15559" spans="5:5" x14ac:dyDescent="0.25">
      <c r="E15559"/>
    </row>
    <row r="15560" spans="5:5" x14ac:dyDescent="0.25">
      <c r="E15560"/>
    </row>
    <row r="15561" spans="5:5" x14ac:dyDescent="0.25">
      <c r="E15561"/>
    </row>
    <row r="15562" spans="5:5" x14ac:dyDescent="0.25">
      <c r="E15562"/>
    </row>
    <row r="15563" spans="5:5" x14ac:dyDescent="0.25">
      <c r="E15563"/>
    </row>
    <row r="15564" spans="5:5" x14ac:dyDescent="0.25">
      <c r="E15564"/>
    </row>
    <row r="15565" spans="5:5" x14ac:dyDescent="0.25">
      <c r="E15565"/>
    </row>
    <row r="15566" spans="5:5" x14ac:dyDescent="0.25">
      <c r="E15566"/>
    </row>
    <row r="15567" spans="5:5" x14ac:dyDescent="0.25">
      <c r="E15567"/>
    </row>
    <row r="15568" spans="5:5" x14ac:dyDescent="0.25">
      <c r="E15568"/>
    </row>
    <row r="15569" spans="5:5" x14ac:dyDescent="0.25">
      <c r="E15569"/>
    </row>
    <row r="15570" spans="5:5" x14ac:dyDescent="0.25">
      <c r="E15570"/>
    </row>
    <row r="15571" spans="5:5" x14ac:dyDescent="0.25">
      <c r="E15571"/>
    </row>
    <row r="15572" spans="5:5" x14ac:dyDescent="0.25">
      <c r="E15572"/>
    </row>
    <row r="15573" spans="5:5" x14ac:dyDescent="0.25">
      <c r="E15573"/>
    </row>
    <row r="15574" spans="5:5" x14ac:dyDescent="0.25">
      <c r="E15574"/>
    </row>
    <row r="15575" spans="5:5" x14ac:dyDescent="0.25">
      <c r="E15575"/>
    </row>
    <row r="15576" spans="5:5" x14ac:dyDescent="0.25">
      <c r="E15576"/>
    </row>
    <row r="15577" spans="5:5" x14ac:dyDescent="0.25">
      <c r="E15577"/>
    </row>
    <row r="15578" spans="5:5" x14ac:dyDescent="0.25">
      <c r="E15578"/>
    </row>
    <row r="15579" spans="5:5" x14ac:dyDescent="0.25">
      <c r="E15579"/>
    </row>
    <row r="15580" spans="5:5" x14ac:dyDescent="0.25">
      <c r="E15580"/>
    </row>
    <row r="15581" spans="5:5" x14ac:dyDescent="0.25">
      <c r="E15581"/>
    </row>
    <row r="15582" spans="5:5" x14ac:dyDescent="0.25">
      <c r="E15582"/>
    </row>
    <row r="15583" spans="5:5" x14ac:dyDescent="0.25">
      <c r="E15583"/>
    </row>
    <row r="15584" spans="5:5" x14ac:dyDescent="0.25">
      <c r="E15584"/>
    </row>
    <row r="15585" spans="5:5" x14ac:dyDescent="0.25">
      <c r="E15585"/>
    </row>
    <row r="15586" spans="5:5" x14ac:dyDescent="0.25">
      <c r="E15586"/>
    </row>
    <row r="15587" spans="5:5" x14ac:dyDescent="0.25">
      <c r="E15587"/>
    </row>
    <row r="15588" spans="5:5" x14ac:dyDescent="0.25">
      <c r="E15588"/>
    </row>
    <row r="15589" spans="5:5" x14ac:dyDescent="0.25">
      <c r="E15589"/>
    </row>
    <row r="15590" spans="5:5" x14ac:dyDescent="0.25">
      <c r="E15590"/>
    </row>
    <row r="15591" spans="5:5" x14ac:dyDescent="0.25">
      <c r="E15591"/>
    </row>
    <row r="15592" spans="5:5" x14ac:dyDescent="0.25">
      <c r="E15592"/>
    </row>
    <row r="15593" spans="5:5" x14ac:dyDescent="0.25">
      <c r="E15593"/>
    </row>
    <row r="15594" spans="5:5" x14ac:dyDescent="0.25">
      <c r="E15594"/>
    </row>
    <row r="15595" spans="5:5" x14ac:dyDescent="0.25">
      <c r="E15595"/>
    </row>
    <row r="15596" spans="5:5" x14ac:dyDescent="0.25">
      <c r="E15596"/>
    </row>
    <row r="15597" spans="5:5" x14ac:dyDescent="0.25">
      <c r="E15597"/>
    </row>
    <row r="15598" spans="5:5" x14ac:dyDescent="0.25">
      <c r="E15598"/>
    </row>
    <row r="15599" spans="5:5" x14ac:dyDescent="0.25">
      <c r="E15599"/>
    </row>
    <row r="15600" spans="5:5" x14ac:dyDescent="0.25">
      <c r="E15600"/>
    </row>
    <row r="15601" spans="5:5" x14ac:dyDescent="0.25">
      <c r="E15601"/>
    </row>
    <row r="15602" spans="5:5" x14ac:dyDescent="0.25">
      <c r="E15602"/>
    </row>
    <row r="15603" spans="5:5" x14ac:dyDescent="0.25">
      <c r="E15603"/>
    </row>
    <row r="15604" spans="5:5" x14ac:dyDescent="0.25">
      <c r="E15604"/>
    </row>
    <row r="15605" spans="5:5" x14ac:dyDescent="0.25">
      <c r="E15605"/>
    </row>
    <row r="15606" spans="5:5" x14ac:dyDescent="0.25">
      <c r="E15606"/>
    </row>
    <row r="15607" spans="5:5" x14ac:dyDescent="0.25">
      <c r="E15607"/>
    </row>
    <row r="15608" spans="5:5" x14ac:dyDescent="0.25">
      <c r="E15608"/>
    </row>
    <row r="15609" spans="5:5" x14ac:dyDescent="0.25">
      <c r="E15609"/>
    </row>
    <row r="15610" spans="5:5" x14ac:dyDescent="0.25">
      <c r="E15610"/>
    </row>
    <row r="15611" spans="5:5" x14ac:dyDescent="0.25">
      <c r="E15611"/>
    </row>
    <row r="15612" spans="5:5" x14ac:dyDescent="0.25">
      <c r="E15612"/>
    </row>
    <row r="15613" spans="5:5" x14ac:dyDescent="0.25">
      <c r="E15613"/>
    </row>
    <row r="15614" spans="5:5" x14ac:dyDescent="0.25">
      <c r="E15614"/>
    </row>
    <row r="15615" spans="5:5" x14ac:dyDescent="0.25">
      <c r="E15615"/>
    </row>
    <row r="15616" spans="5:5" x14ac:dyDescent="0.25">
      <c r="E15616"/>
    </row>
    <row r="15617" spans="5:5" x14ac:dyDescent="0.25">
      <c r="E15617"/>
    </row>
    <row r="15618" spans="5:5" x14ac:dyDescent="0.25">
      <c r="E15618"/>
    </row>
    <row r="15619" spans="5:5" x14ac:dyDescent="0.25">
      <c r="E15619"/>
    </row>
    <row r="15620" spans="5:5" x14ac:dyDescent="0.25">
      <c r="E15620"/>
    </row>
    <row r="15621" spans="5:5" x14ac:dyDescent="0.25">
      <c r="E15621"/>
    </row>
    <row r="15622" spans="5:5" x14ac:dyDescent="0.25">
      <c r="E15622"/>
    </row>
    <row r="15623" spans="5:5" x14ac:dyDescent="0.25">
      <c r="E15623"/>
    </row>
    <row r="15624" spans="5:5" x14ac:dyDescent="0.25">
      <c r="E15624"/>
    </row>
    <row r="15625" spans="5:5" x14ac:dyDescent="0.25">
      <c r="E15625"/>
    </row>
    <row r="15626" spans="5:5" x14ac:dyDescent="0.25">
      <c r="E15626"/>
    </row>
    <row r="15627" spans="5:5" x14ac:dyDescent="0.25">
      <c r="E15627"/>
    </row>
    <row r="15628" spans="5:5" x14ac:dyDescent="0.25">
      <c r="E15628"/>
    </row>
    <row r="15629" spans="5:5" x14ac:dyDescent="0.25">
      <c r="E15629"/>
    </row>
    <row r="15630" spans="5:5" x14ac:dyDescent="0.25">
      <c r="E15630"/>
    </row>
    <row r="15631" spans="5:5" x14ac:dyDescent="0.25">
      <c r="E15631"/>
    </row>
    <row r="15632" spans="5:5" x14ac:dyDescent="0.25">
      <c r="E15632"/>
    </row>
    <row r="15633" spans="5:5" x14ac:dyDescent="0.25">
      <c r="E15633"/>
    </row>
    <row r="15634" spans="5:5" x14ac:dyDescent="0.25">
      <c r="E15634"/>
    </row>
    <row r="15635" spans="5:5" x14ac:dyDescent="0.25">
      <c r="E15635"/>
    </row>
    <row r="15636" spans="5:5" x14ac:dyDescent="0.25">
      <c r="E15636"/>
    </row>
    <row r="15637" spans="5:5" x14ac:dyDescent="0.25">
      <c r="E15637"/>
    </row>
    <row r="15638" spans="5:5" x14ac:dyDescent="0.25">
      <c r="E15638"/>
    </row>
    <row r="15639" spans="5:5" x14ac:dyDescent="0.25">
      <c r="E15639"/>
    </row>
    <row r="15640" spans="5:5" x14ac:dyDescent="0.25">
      <c r="E15640"/>
    </row>
    <row r="15641" spans="5:5" x14ac:dyDescent="0.25">
      <c r="E15641"/>
    </row>
    <row r="15642" spans="5:5" x14ac:dyDescent="0.25">
      <c r="E15642"/>
    </row>
    <row r="15643" spans="5:5" x14ac:dyDescent="0.25">
      <c r="E15643"/>
    </row>
    <row r="15644" spans="5:5" x14ac:dyDescent="0.25">
      <c r="E15644"/>
    </row>
    <row r="15645" spans="5:5" x14ac:dyDescent="0.25">
      <c r="E15645"/>
    </row>
    <row r="15646" spans="5:5" x14ac:dyDescent="0.25">
      <c r="E15646"/>
    </row>
    <row r="15647" spans="5:5" x14ac:dyDescent="0.25">
      <c r="E15647"/>
    </row>
    <row r="15648" spans="5:5" x14ac:dyDescent="0.25">
      <c r="E15648"/>
    </row>
    <row r="15649" spans="5:5" x14ac:dyDescent="0.25">
      <c r="E15649"/>
    </row>
    <row r="15650" spans="5:5" x14ac:dyDescent="0.25">
      <c r="E15650"/>
    </row>
    <row r="15651" spans="5:5" x14ac:dyDescent="0.25">
      <c r="E15651"/>
    </row>
    <row r="15652" spans="5:5" x14ac:dyDescent="0.25">
      <c r="E15652"/>
    </row>
    <row r="15653" spans="5:5" x14ac:dyDescent="0.25">
      <c r="E15653"/>
    </row>
    <row r="15654" spans="5:5" x14ac:dyDescent="0.25">
      <c r="E15654"/>
    </row>
    <row r="15655" spans="5:5" x14ac:dyDescent="0.25">
      <c r="E15655"/>
    </row>
    <row r="15656" spans="5:5" x14ac:dyDescent="0.25">
      <c r="E15656"/>
    </row>
    <row r="15657" spans="5:5" x14ac:dyDescent="0.25">
      <c r="E15657"/>
    </row>
    <row r="15658" spans="5:5" x14ac:dyDescent="0.25">
      <c r="E15658"/>
    </row>
    <row r="15659" spans="5:5" x14ac:dyDescent="0.25">
      <c r="E15659"/>
    </row>
    <row r="15660" spans="5:5" x14ac:dyDescent="0.25">
      <c r="E15660"/>
    </row>
    <row r="15661" spans="5:5" x14ac:dyDescent="0.25">
      <c r="E15661"/>
    </row>
    <row r="15662" spans="5:5" x14ac:dyDescent="0.25">
      <c r="E15662"/>
    </row>
    <row r="15663" spans="5:5" x14ac:dyDescent="0.25">
      <c r="E15663"/>
    </row>
    <row r="15664" spans="5:5" x14ac:dyDescent="0.25">
      <c r="E15664"/>
    </row>
    <row r="15665" spans="5:5" x14ac:dyDescent="0.25">
      <c r="E15665"/>
    </row>
    <row r="15666" spans="5:5" x14ac:dyDescent="0.25">
      <c r="E15666"/>
    </row>
    <row r="15667" spans="5:5" x14ac:dyDescent="0.25">
      <c r="E15667"/>
    </row>
    <row r="15668" spans="5:5" x14ac:dyDescent="0.25">
      <c r="E15668"/>
    </row>
    <row r="15669" spans="5:5" x14ac:dyDescent="0.25">
      <c r="E15669"/>
    </row>
    <row r="15670" spans="5:5" x14ac:dyDescent="0.25">
      <c r="E15670"/>
    </row>
    <row r="15671" spans="5:5" x14ac:dyDescent="0.25">
      <c r="E15671"/>
    </row>
    <row r="15672" spans="5:5" x14ac:dyDescent="0.25">
      <c r="E15672"/>
    </row>
    <row r="15673" spans="5:5" x14ac:dyDescent="0.25">
      <c r="E15673"/>
    </row>
    <row r="15674" spans="5:5" x14ac:dyDescent="0.25">
      <c r="E15674"/>
    </row>
    <row r="15675" spans="5:5" x14ac:dyDescent="0.25">
      <c r="E15675"/>
    </row>
    <row r="15676" spans="5:5" x14ac:dyDescent="0.25">
      <c r="E15676"/>
    </row>
    <row r="15677" spans="5:5" x14ac:dyDescent="0.25">
      <c r="E15677"/>
    </row>
    <row r="15678" spans="5:5" x14ac:dyDescent="0.25">
      <c r="E15678"/>
    </row>
    <row r="15679" spans="5:5" x14ac:dyDescent="0.25">
      <c r="E15679"/>
    </row>
    <row r="15680" spans="5:5" x14ac:dyDescent="0.25">
      <c r="E15680"/>
    </row>
    <row r="15681" spans="5:5" x14ac:dyDescent="0.25">
      <c r="E15681"/>
    </row>
    <row r="15682" spans="5:5" x14ac:dyDescent="0.25">
      <c r="E15682"/>
    </row>
    <row r="15683" spans="5:5" x14ac:dyDescent="0.25">
      <c r="E15683"/>
    </row>
    <row r="15684" spans="5:5" x14ac:dyDescent="0.25">
      <c r="E15684"/>
    </row>
    <row r="15685" spans="5:5" x14ac:dyDescent="0.25">
      <c r="E15685"/>
    </row>
    <row r="15686" spans="5:5" x14ac:dyDescent="0.25">
      <c r="E15686"/>
    </row>
    <row r="15687" spans="5:5" x14ac:dyDescent="0.25">
      <c r="E15687"/>
    </row>
    <row r="15688" spans="5:5" x14ac:dyDescent="0.25">
      <c r="E15688"/>
    </row>
    <row r="15689" spans="5:5" x14ac:dyDescent="0.25">
      <c r="E15689"/>
    </row>
    <row r="15690" spans="5:5" x14ac:dyDescent="0.25">
      <c r="E15690"/>
    </row>
    <row r="15691" spans="5:5" x14ac:dyDescent="0.25">
      <c r="E15691"/>
    </row>
    <row r="15692" spans="5:5" x14ac:dyDescent="0.25">
      <c r="E15692"/>
    </row>
    <row r="15693" spans="5:5" x14ac:dyDescent="0.25">
      <c r="E15693"/>
    </row>
    <row r="15694" spans="5:5" x14ac:dyDescent="0.25">
      <c r="E15694"/>
    </row>
    <row r="15695" spans="5:5" x14ac:dyDescent="0.25">
      <c r="E15695"/>
    </row>
    <row r="15696" spans="5:5" x14ac:dyDescent="0.25">
      <c r="E15696"/>
    </row>
    <row r="15697" spans="5:5" x14ac:dyDescent="0.25">
      <c r="E15697"/>
    </row>
    <row r="15698" spans="5:5" x14ac:dyDescent="0.25">
      <c r="E15698"/>
    </row>
    <row r="15699" spans="5:5" x14ac:dyDescent="0.25">
      <c r="E15699"/>
    </row>
    <row r="15700" spans="5:5" x14ac:dyDescent="0.25">
      <c r="E15700"/>
    </row>
    <row r="15701" spans="5:5" x14ac:dyDescent="0.25">
      <c r="E15701"/>
    </row>
    <row r="15702" spans="5:5" x14ac:dyDescent="0.25">
      <c r="E15702"/>
    </row>
    <row r="15703" spans="5:5" x14ac:dyDescent="0.25">
      <c r="E15703"/>
    </row>
    <row r="15704" spans="5:5" x14ac:dyDescent="0.25">
      <c r="E15704"/>
    </row>
    <row r="15705" spans="5:5" x14ac:dyDescent="0.25">
      <c r="E15705"/>
    </row>
    <row r="15706" spans="5:5" x14ac:dyDescent="0.25">
      <c r="E15706"/>
    </row>
    <row r="15707" spans="5:5" x14ac:dyDescent="0.25">
      <c r="E15707"/>
    </row>
    <row r="15708" spans="5:5" x14ac:dyDescent="0.25">
      <c r="E15708"/>
    </row>
    <row r="15709" spans="5:5" x14ac:dyDescent="0.25">
      <c r="E15709"/>
    </row>
    <row r="15710" spans="5:5" x14ac:dyDescent="0.25">
      <c r="E15710"/>
    </row>
    <row r="15711" spans="5:5" x14ac:dyDescent="0.25">
      <c r="E15711"/>
    </row>
    <row r="15712" spans="5:5" x14ac:dyDescent="0.25">
      <c r="E15712"/>
    </row>
    <row r="15713" spans="5:5" x14ac:dyDescent="0.25">
      <c r="E15713"/>
    </row>
    <row r="15714" spans="5:5" x14ac:dyDescent="0.25">
      <c r="E15714"/>
    </row>
    <row r="15715" spans="5:5" x14ac:dyDescent="0.25">
      <c r="E15715"/>
    </row>
    <row r="15716" spans="5:5" x14ac:dyDescent="0.25">
      <c r="E15716"/>
    </row>
    <row r="15717" spans="5:5" x14ac:dyDescent="0.25">
      <c r="E15717"/>
    </row>
    <row r="15718" spans="5:5" x14ac:dyDescent="0.25">
      <c r="E15718"/>
    </row>
    <row r="15719" spans="5:5" x14ac:dyDescent="0.25">
      <c r="E15719"/>
    </row>
    <row r="15720" spans="5:5" x14ac:dyDescent="0.25">
      <c r="E15720"/>
    </row>
    <row r="15721" spans="5:5" x14ac:dyDescent="0.25">
      <c r="E15721"/>
    </row>
    <row r="15722" spans="5:5" x14ac:dyDescent="0.25">
      <c r="E15722"/>
    </row>
    <row r="15723" spans="5:5" x14ac:dyDescent="0.25">
      <c r="E15723"/>
    </row>
    <row r="15724" spans="5:5" x14ac:dyDescent="0.25">
      <c r="E15724"/>
    </row>
    <row r="15725" spans="5:5" x14ac:dyDescent="0.25">
      <c r="E15725"/>
    </row>
    <row r="15726" spans="5:5" x14ac:dyDescent="0.25">
      <c r="E15726"/>
    </row>
    <row r="15727" spans="5:5" x14ac:dyDescent="0.25">
      <c r="E15727"/>
    </row>
    <row r="15728" spans="5:5" x14ac:dyDescent="0.25">
      <c r="E15728"/>
    </row>
    <row r="15729" spans="5:5" x14ac:dyDescent="0.25">
      <c r="E15729"/>
    </row>
    <row r="15730" spans="5:5" x14ac:dyDescent="0.25">
      <c r="E15730"/>
    </row>
    <row r="15731" spans="5:5" x14ac:dyDescent="0.25">
      <c r="E15731"/>
    </row>
    <row r="15732" spans="5:5" x14ac:dyDescent="0.25">
      <c r="E15732"/>
    </row>
    <row r="15733" spans="5:5" x14ac:dyDescent="0.25">
      <c r="E15733"/>
    </row>
    <row r="15734" spans="5:5" x14ac:dyDescent="0.25">
      <c r="E15734"/>
    </row>
    <row r="15735" spans="5:5" x14ac:dyDescent="0.25">
      <c r="E15735"/>
    </row>
    <row r="15736" spans="5:5" x14ac:dyDescent="0.25">
      <c r="E15736"/>
    </row>
    <row r="15737" spans="5:5" x14ac:dyDescent="0.25">
      <c r="E15737"/>
    </row>
    <row r="15738" spans="5:5" x14ac:dyDescent="0.25">
      <c r="E15738"/>
    </row>
    <row r="15739" spans="5:5" x14ac:dyDescent="0.25">
      <c r="E15739"/>
    </row>
    <row r="15740" spans="5:5" x14ac:dyDescent="0.25">
      <c r="E15740"/>
    </row>
    <row r="15741" spans="5:5" x14ac:dyDescent="0.25">
      <c r="E15741"/>
    </row>
    <row r="15742" spans="5:5" x14ac:dyDescent="0.25">
      <c r="E15742"/>
    </row>
    <row r="15743" spans="5:5" x14ac:dyDescent="0.25">
      <c r="E15743"/>
    </row>
    <row r="15744" spans="5:5" x14ac:dyDescent="0.25">
      <c r="E15744"/>
    </row>
    <row r="15745" spans="5:5" x14ac:dyDescent="0.25">
      <c r="E15745"/>
    </row>
    <row r="15746" spans="5:5" x14ac:dyDescent="0.25">
      <c r="E15746"/>
    </row>
    <row r="15747" spans="5:5" x14ac:dyDescent="0.25">
      <c r="E15747"/>
    </row>
    <row r="15748" spans="5:5" x14ac:dyDescent="0.25">
      <c r="E15748"/>
    </row>
    <row r="15749" spans="5:5" x14ac:dyDescent="0.25">
      <c r="E15749"/>
    </row>
    <row r="15750" spans="5:5" x14ac:dyDescent="0.25">
      <c r="E15750"/>
    </row>
    <row r="15751" spans="5:5" x14ac:dyDescent="0.25">
      <c r="E15751"/>
    </row>
    <row r="15752" spans="5:5" x14ac:dyDescent="0.25">
      <c r="E15752"/>
    </row>
    <row r="15753" spans="5:5" x14ac:dyDescent="0.25">
      <c r="E15753"/>
    </row>
    <row r="15754" spans="5:5" x14ac:dyDescent="0.25">
      <c r="E15754"/>
    </row>
    <row r="15755" spans="5:5" x14ac:dyDescent="0.25">
      <c r="E15755"/>
    </row>
    <row r="15756" spans="5:5" x14ac:dyDescent="0.25">
      <c r="E15756"/>
    </row>
    <row r="15757" spans="5:5" x14ac:dyDescent="0.25">
      <c r="E15757"/>
    </row>
    <row r="15758" spans="5:5" x14ac:dyDescent="0.25">
      <c r="E15758"/>
    </row>
    <row r="15759" spans="5:5" x14ac:dyDescent="0.25">
      <c r="E15759"/>
    </row>
    <row r="15760" spans="5:5" x14ac:dyDescent="0.25">
      <c r="E15760"/>
    </row>
    <row r="15761" spans="5:5" x14ac:dyDescent="0.25">
      <c r="E15761"/>
    </row>
    <row r="15762" spans="5:5" x14ac:dyDescent="0.25">
      <c r="E15762"/>
    </row>
    <row r="15763" spans="5:5" x14ac:dyDescent="0.25">
      <c r="E15763"/>
    </row>
    <row r="15764" spans="5:5" x14ac:dyDescent="0.25">
      <c r="E15764"/>
    </row>
    <row r="15765" spans="5:5" x14ac:dyDescent="0.25">
      <c r="E15765"/>
    </row>
    <row r="15766" spans="5:5" x14ac:dyDescent="0.25">
      <c r="E15766"/>
    </row>
    <row r="15767" spans="5:5" x14ac:dyDescent="0.25">
      <c r="E15767"/>
    </row>
    <row r="15768" spans="5:5" x14ac:dyDescent="0.25">
      <c r="E15768"/>
    </row>
    <row r="15769" spans="5:5" x14ac:dyDescent="0.25">
      <c r="E15769"/>
    </row>
    <row r="15770" spans="5:5" x14ac:dyDescent="0.25">
      <c r="E15770"/>
    </row>
    <row r="15771" spans="5:5" x14ac:dyDescent="0.25">
      <c r="E15771"/>
    </row>
    <row r="15772" spans="5:5" x14ac:dyDescent="0.25">
      <c r="E15772"/>
    </row>
    <row r="15773" spans="5:5" x14ac:dyDescent="0.25">
      <c r="E15773"/>
    </row>
    <row r="15774" spans="5:5" x14ac:dyDescent="0.25">
      <c r="E15774"/>
    </row>
    <row r="15775" spans="5:5" x14ac:dyDescent="0.25">
      <c r="E15775"/>
    </row>
    <row r="15776" spans="5:5" x14ac:dyDescent="0.25">
      <c r="E15776"/>
    </row>
    <row r="15777" spans="5:5" x14ac:dyDescent="0.25">
      <c r="E15777"/>
    </row>
    <row r="15778" spans="5:5" x14ac:dyDescent="0.25">
      <c r="E15778"/>
    </row>
    <row r="15779" spans="5:5" x14ac:dyDescent="0.25">
      <c r="E15779"/>
    </row>
    <row r="15780" spans="5:5" x14ac:dyDescent="0.25">
      <c r="E15780"/>
    </row>
    <row r="15781" spans="5:5" x14ac:dyDescent="0.25">
      <c r="E15781"/>
    </row>
    <row r="15782" spans="5:5" x14ac:dyDescent="0.25">
      <c r="E15782"/>
    </row>
    <row r="15783" spans="5:5" x14ac:dyDescent="0.25">
      <c r="E15783"/>
    </row>
    <row r="15784" spans="5:5" x14ac:dyDescent="0.25">
      <c r="E15784"/>
    </row>
    <row r="15785" spans="5:5" x14ac:dyDescent="0.25">
      <c r="E15785"/>
    </row>
    <row r="15786" spans="5:5" x14ac:dyDescent="0.25">
      <c r="E15786"/>
    </row>
    <row r="15787" spans="5:5" x14ac:dyDescent="0.25">
      <c r="E15787"/>
    </row>
    <row r="15788" spans="5:5" x14ac:dyDescent="0.25">
      <c r="E15788"/>
    </row>
    <row r="15789" spans="5:5" x14ac:dyDescent="0.25">
      <c r="E15789"/>
    </row>
    <row r="15790" spans="5:5" x14ac:dyDescent="0.25">
      <c r="E15790"/>
    </row>
    <row r="15791" spans="5:5" x14ac:dyDescent="0.25">
      <c r="E15791"/>
    </row>
    <row r="15792" spans="5:5" x14ac:dyDescent="0.25">
      <c r="E15792"/>
    </row>
    <row r="15793" spans="5:5" x14ac:dyDescent="0.25">
      <c r="E15793"/>
    </row>
    <row r="15794" spans="5:5" x14ac:dyDescent="0.25">
      <c r="E15794"/>
    </row>
    <row r="15795" spans="5:5" x14ac:dyDescent="0.25">
      <c r="E15795"/>
    </row>
    <row r="15796" spans="5:5" x14ac:dyDescent="0.25">
      <c r="E15796"/>
    </row>
    <row r="15797" spans="5:5" x14ac:dyDescent="0.25">
      <c r="E15797"/>
    </row>
    <row r="15798" spans="5:5" x14ac:dyDescent="0.25">
      <c r="E15798"/>
    </row>
    <row r="15799" spans="5:5" x14ac:dyDescent="0.25">
      <c r="E15799"/>
    </row>
    <row r="15800" spans="5:5" x14ac:dyDescent="0.25">
      <c r="E15800"/>
    </row>
    <row r="15801" spans="5:5" x14ac:dyDescent="0.25">
      <c r="E15801"/>
    </row>
    <row r="15802" spans="5:5" x14ac:dyDescent="0.25">
      <c r="E15802"/>
    </row>
    <row r="15803" spans="5:5" x14ac:dyDescent="0.25">
      <c r="E15803"/>
    </row>
    <row r="15804" spans="5:5" x14ac:dyDescent="0.25">
      <c r="E15804"/>
    </row>
    <row r="15805" spans="5:5" x14ac:dyDescent="0.25">
      <c r="E15805"/>
    </row>
    <row r="15806" spans="5:5" x14ac:dyDescent="0.25">
      <c r="E15806"/>
    </row>
    <row r="15807" spans="5:5" x14ac:dyDescent="0.25">
      <c r="E15807"/>
    </row>
    <row r="15808" spans="5:5" x14ac:dyDescent="0.25">
      <c r="E15808"/>
    </row>
    <row r="15809" spans="5:5" x14ac:dyDescent="0.25">
      <c r="E15809"/>
    </row>
    <row r="15810" spans="5:5" x14ac:dyDescent="0.25">
      <c r="E15810"/>
    </row>
    <row r="15811" spans="5:5" x14ac:dyDescent="0.25">
      <c r="E15811"/>
    </row>
    <row r="15812" spans="5:5" x14ac:dyDescent="0.25">
      <c r="E15812"/>
    </row>
    <row r="15813" spans="5:5" x14ac:dyDescent="0.25">
      <c r="E15813"/>
    </row>
    <row r="15814" spans="5:5" x14ac:dyDescent="0.25">
      <c r="E15814"/>
    </row>
    <row r="15815" spans="5:5" x14ac:dyDescent="0.25">
      <c r="E15815"/>
    </row>
    <row r="15816" spans="5:5" x14ac:dyDescent="0.25">
      <c r="E15816"/>
    </row>
    <row r="15817" spans="5:5" x14ac:dyDescent="0.25">
      <c r="E15817"/>
    </row>
    <row r="15818" spans="5:5" x14ac:dyDescent="0.25">
      <c r="E15818"/>
    </row>
    <row r="15819" spans="5:5" x14ac:dyDescent="0.25">
      <c r="E15819"/>
    </row>
    <row r="15820" spans="5:5" x14ac:dyDescent="0.25">
      <c r="E15820"/>
    </row>
    <row r="15821" spans="5:5" x14ac:dyDescent="0.25">
      <c r="E15821"/>
    </row>
    <row r="15822" spans="5:5" x14ac:dyDescent="0.25">
      <c r="E15822"/>
    </row>
    <row r="15823" spans="5:5" x14ac:dyDescent="0.25">
      <c r="E15823"/>
    </row>
    <row r="15824" spans="5:5" x14ac:dyDescent="0.25">
      <c r="E15824"/>
    </row>
    <row r="15825" spans="5:5" x14ac:dyDescent="0.25">
      <c r="E15825"/>
    </row>
    <row r="15826" spans="5:5" x14ac:dyDescent="0.25">
      <c r="E15826"/>
    </row>
    <row r="15827" spans="5:5" x14ac:dyDescent="0.25">
      <c r="E15827"/>
    </row>
    <row r="15828" spans="5:5" x14ac:dyDescent="0.25">
      <c r="E15828"/>
    </row>
    <row r="15829" spans="5:5" x14ac:dyDescent="0.25">
      <c r="E15829"/>
    </row>
    <row r="15830" spans="5:5" x14ac:dyDescent="0.25">
      <c r="E15830"/>
    </row>
    <row r="15831" spans="5:5" x14ac:dyDescent="0.25">
      <c r="E15831"/>
    </row>
    <row r="15832" spans="5:5" x14ac:dyDescent="0.25">
      <c r="E15832"/>
    </row>
    <row r="15833" spans="5:5" x14ac:dyDescent="0.25">
      <c r="E15833"/>
    </row>
    <row r="15834" spans="5:5" x14ac:dyDescent="0.25">
      <c r="E15834"/>
    </row>
    <row r="15835" spans="5:5" x14ac:dyDescent="0.25">
      <c r="E15835"/>
    </row>
    <row r="15836" spans="5:5" x14ac:dyDescent="0.25">
      <c r="E15836"/>
    </row>
    <row r="15837" spans="5:5" x14ac:dyDescent="0.25">
      <c r="E15837"/>
    </row>
    <row r="15838" spans="5:5" x14ac:dyDescent="0.25">
      <c r="E15838"/>
    </row>
    <row r="15839" spans="5:5" x14ac:dyDescent="0.25">
      <c r="E15839"/>
    </row>
    <row r="15840" spans="5:5" x14ac:dyDescent="0.25">
      <c r="E15840"/>
    </row>
    <row r="15841" spans="5:5" x14ac:dyDescent="0.25">
      <c r="E15841"/>
    </row>
    <row r="15842" spans="5:5" x14ac:dyDescent="0.25">
      <c r="E15842"/>
    </row>
    <row r="15843" spans="5:5" x14ac:dyDescent="0.25">
      <c r="E15843"/>
    </row>
    <row r="15844" spans="5:5" x14ac:dyDescent="0.25">
      <c r="E15844"/>
    </row>
    <row r="15845" spans="5:5" x14ac:dyDescent="0.25">
      <c r="E15845"/>
    </row>
    <row r="15846" spans="5:5" x14ac:dyDescent="0.25">
      <c r="E15846"/>
    </row>
    <row r="15847" spans="5:5" x14ac:dyDescent="0.25">
      <c r="E15847"/>
    </row>
    <row r="15848" spans="5:5" x14ac:dyDescent="0.25">
      <c r="E15848"/>
    </row>
    <row r="15849" spans="5:5" x14ac:dyDescent="0.25">
      <c r="E15849"/>
    </row>
    <row r="15850" spans="5:5" x14ac:dyDescent="0.25">
      <c r="E15850"/>
    </row>
    <row r="15851" spans="5:5" x14ac:dyDescent="0.25">
      <c r="E15851"/>
    </row>
    <row r="15852" spans="5:5" x14ac:dyDescent="0.25">
      <c r="E15852"/>
    </row>
    <row r="15853" spans="5:5" x14ac:dyDescent="0.25">
      <c r="E15853"/>
    </row>
    <row r="15854" spans="5:5" x14ac:dyDescent="0.25">
      <c r="E15854"/>
    </row>
    <row r="15855" spans="5:5" x14ac:dyDescent="0.25">
      <c r="E15855"/>
    </row>
    <row r="15856" spans="5:5" x14ac:dyDescent="0.25">
      <c r="E15856"/>
    </row>
    <row r="15857" spans="5:5" x14ac:dyDescent="0.25">
      <c r="E15857"/>
    </row>
    <row r="15858" spans="5:5" x14ac:dyDescent="0.25">
      <c r="E15858"/>
    </row>
    <row r="15859" spans="5:5" x14ac:dyDescent="0.25">
      <c r="E15859"/>
    </row>
    <row r="15860" spans="5:5" x14ac:dyDescent="0.25">
      <c r="E15860"/>
    </row>
    <row r="15861" spans="5:5" x14ac:dyDescent="0.25">
      <c r="E15861"/>
    </row>
    <row r="15862" spans="5:5" x14ac:dyDescent="0.25">
      <c r="E15862"/>
    </row>
    <row r="15863" spans="5:5" x14ac:dyDescent="0.25">
      <c r="E15863"/>
    </row>
    <row r="15864" spans="5:5" x14ac:dyDescent="0.25">
      <c r="E15864"/>
    </row>
    <row r="15865" spans="5:5" x14ac:dyDescent="0.25">
      <c r="E15865"/>
    </row>
    <row r="15866" spans="5:5" x14ac:dyDescent="0.25">
      <c r="E15866"/>
    </row>
    <row r="15867" spans="5:5" x14ac:dyDescent="0.25">
      <c r="E15867"/>
    </row>
    <row r="15868" spans="5:5" x14ac:dyDescent="0.25">
      <c r="E15868"/>
    </row>
    <row r="15869" spans="5:5" x14ac:dyDescent="0.25">
      <c r="E15869"/>
    </row>
    <row r="15870" spans="5:5" x14ac:dyDescent="0.25">
      <c r="E15870"/>
    </row>
    <row r="15871" spans="5:5" x14ac:dyDescent="0.25">
      <c r="E15871"/>
    </row>
    <row r="15872" spans="5:5" x14ac:dyDescent="0.25">
      <c r="E15872"/>
    </row>
    <row r="15873" spans="5:5" x14ac:dyDescent="0.25">
      <c r="E15873"/>
    </row>
    <row r="15874" spans="5:5" x14ac:dyDescent="0.25">
      <c r="E15874"/>
    </row>
    <row r="15875" spans="5:5" x14ac:dyDescent="0.25">
      <c r="E15875"/>
    </row>
    <row r="15876" spans="5:5" x14ac:dyDescent="0.25">
      <c r="E15876"/>
    </row>
    <row r="15877" spans="5:5" x14ac:dyDescent="0.25">
      <c r="E15877"/>
    </row>
    <row r="15878" spans="5:5" x14ac:dyDescent="0.25">
      <c r="E15878"/>
    </row>
    <row r="15879" spans="5:5" x14ac:dyDescent="0.25">
      <c r="E15879"/>
    </row>
    <row r="15880" spans="5:5" x14ac:dyDescent="0.25">
      <c r="E15880"/>
    </row>
    <row r="15881" spans="5:5" x14ac:dyDescent="0.25">
      <c r="E15881"/>
    </row>
    <row r="15882" spans="5:5" x14ac:dyDescent="0.25">
      <c r="E15882"/>
    </row>
    <row r="15883" spans="5:5" x14ac:dyDescent="0.25">
      <c r="E15883"/>
    </row>
    <row r="15884" spans="5:5" x14ac:dyDescent="0.25">
      <c r="E15884"/>
    </row>
    <row r="15885" spans="5:5" x14ac:dyDescent="0.25">
      <c r="E15885"/>
    </row>
    <row r="15886" spans="5:5" x14ac:dyDescent="0.25">
      <c r="E15886"/>
    </row>
    <row r="15887" spans="5:5" x14ac:dyDescent="0.25">
      <c r="E15887"/>
    </row>
    <row r="15888" spans="5:5" x14ac:dyDescent="0.25">
      <c r="E15888"/>
    </row>
    <row r="15889" spans="5:5" x14ac:dyDescent="0.25">
      <c r="E15889"/>
    </row>
    <row r="15890" spans="5:5" x14ac:dyDescent="0.25">
      <c r="E15890"/>
    </row>
    <row r="15891" spans="5:5" x14ac:dyDescent="0.25">
      <c r="E15891"/>
    </row>
    <row r="15892" spans="5:5" x14ac:dyDescent="0.25">
      <c r="E15892"/>
    </row>
    <row r="15893" spans="5:5" x14ac:dyDescent="0.25">
      <c r="E15893"/>
    </row>
    <row r="15894" spans="5:5" x14ac:dyDescent="0.25">
      <c r="E15894"/>
    </row>
    <row r="15895" spans="5:5" x14ac:dyDescent="0.25">
      <c r="E15895"/>
    </row>
    <row r="15896" spans="5:5" x14ac:dyDescent="0.25">
      <c r="E15896"/>
    </row>
    <row r="15897" spans="5:5" x14ac:dyDescent="0.25">
      <c r="E15897"/>
    </row>
    <row r="15898" spans="5:5" x14ac:dyDescent="0.25">
      <c r="E15898"/>
    </row>
    <row r="15899" spans="5:5" x14ac:dyDescent="0.25">
      <c r="E15899"/>
    </row>
    <row r="15900" spans="5:5" x14ac:dyDescent="0.25">
      <c r="E15900"/>
    </row>
    <row r="15901" spans="5:5" x14ac:dyDescent="0.25">
      <c r="E15901"/>
    </row>
    <row r="15902" spans="5:5" x14ac:dyDescent="0.25">
      <c r="E15902"/>
    </row>
    <row r="15903" spans="5:5" x14ac:dyDescent="0.25">
      <c r="E15903"/>
    </row>
    <row r="15904" spans="5:5" x14ac:dyDescent="0.25">
      <c r="E15904"/>
    </row>
    <row r="15905" spans="5:5" x14ac:dyDescent="0.25">
      <c r="E15905"/>
    </row>
    <row r="15906" spans="5:5" x14ac:dyDescent="0.25">
      <c r="E15906"/>
    </row>
    <row r="15907" spans="5:5" x14ac:dyDescent="0.25">
      <c r="E15907"/>
    </row>
    <row r="15908" spans="5:5" x14ac:dyDescent="0.25">
      <c r="E15908"/>
    </row>
    <row r="15909" spans="5:5" x14ac:dyDescent="0.25">
      <c r="E15909"/>
    </row>
    <row r="15910" spans="5:5" x14ac:dyDescent="0.25">
      <c r="E15910"/>
    </row>
    <row r="15911" spans="5:5" x14ac:dyDescent="0.25">
      <c r="E15911"/>
    </row>
    <row r="15912" spans="5:5" x14ac:dyDescent="0.25">
      <c r="E15912"/>
    </row>
    <row r="15913" spans="5:5" x14ac:dyDescent="0.25">
      <c r="E15913"/>
    </row>
    <row r="15914" spans="5:5" x14ac:dyDescent="0.25">
      <c r="E15914"/>
    </row>
    <row r="15915" spans="5:5" x14ac:dyDescent="0.25">
      <c r="E15915"/>
    </row>
    <row r="15916" spans="5:5" x14ac:dyDescent="0.25">
      <c r="E15916"/>
    </row>
    <row r="15917" spans="5:5" x14ac:dyDescent="0.25">
      <c r="E15917"/>
    </row>
    <row r="15918" spans="5:5" x14ac:dyDescent="0.25">
      <c r="E15918"/>
    </row>
    <row r="15919" spans="5:5" x14ac:dyDescent="0.25">
      <c r="E15919"/>
    </row>
    <row r="15920" spans="5:5" x14ac:dyDescent="0.25">
      <c r="E15920"/>
    </row>
    <row r="15921" spans="5:5" x14ac:dyDescent="0.25">
      <c r="E15921"/>
    </row>
    <row r="15922" spans="5:5" x14ac:dyDescent="0.25">
      <c r="E15922"/>
    </row>
    <row r="15923" spans="5:5" x14ac:dyDescent="0.25">
      <c r="E15923"/>
    </row>
    <row r="15924" spans="5:5" x14ac:dyDescent="0.25">
      <c r="E15924"/>
    </row>
    <row r="15925" spans="5:5" x14ac:dyDescent="0.25">
      <c r="E15925"/>
    </row>
    <row r="15926" spans="5:5" x14ac:dyDescent="0.25">
      <c r="E15926"/>
    </row>
    <row r="15927" spans="5:5" x14ac:dyDescent="0.25">
      <c r="E15927"/>
    </row>
    <row r="15928" spans="5:5" x14ac:dyDescent="0.25">
      <c r="E15928"/>
    </row>
    <row r="15929" spans="5:5" x14ac:dyDescent="0.25">
      <c r="E15929"/>
    </row>
    <row r="15930" spans="5:5" x14ac:dyDescent="0.25">
      <c r="E15930"/>
    </row>
    <row r="15931" spans="5:5" x14ac:dyDescent="0.25">
      <c r="E15931"/>
    </row>
    <row r="15932" spans="5:5" x14ac:dyDescent="0.25">
      <c r="E15932"/>
    </row>
    <row r="15933" spans="5:5" x14ac:dyDescent="0.25">
      <c r="E15933"/>
    </row>
    <row r="15934" spans="5:5" x14ac:dyDescent="0.25">
      <c r="E15934"/>
    </row>
    <row r="15935" spans="5:5" x14ac:dyDescent="0.25">
      <c r="E15935"/>
    </row>
    <row r="15936" spans="5:5" x14ac:dyDescent="0.25">
      <c r="E15936"/>
    </row>
    <row r="15937" spans="5:5" x14ac:dyDescent="0.25">
      <c r="E15937"/>
    </row>
    <row r="15938" spans="5:5" x14ac:dyDescent="0.25">
      <c r="E15938"/>
    </row>
    <row r="15939" spans="5:5" x14ac:dyDescent="0.25">
      <c r="E15939"/>
    </row>
    <row r="15940" spans="5:5" x14ac:dyDescent="0.25">
      <c r="E15940"/>
    </row>
    <row r="15941" spans="5:5" x14ac:dyDescent="0.25">
      <c r="E15941"/>
    </row>
    <row r="15942" spans="5:5" x14ac:dyDescent="0.25">
      <c r="E15942"/>
    </row>
    <row r="15943" spans="5:5" x14ac:dyDescent="0.25">
      <c r="E15943"/>
    </row>
    <row r="15944" spans="5:5" x14ac:dyDescent="0.25">
      <c r="E15944"/>
    </row>
    <row r="15945" spans="5:5" x14ac:dyDescent="0.25">
      <c r="E15945"/>
    </row>
    <row r="15946" spans="5:5" x14ac:dyDescent="0.25">
      <c r="E15946"/>
    </row>
    <row r="15947" spans="5:5" x14ac:dyDescent="0.25">
      <c r="E15947"/>
    </row>
    <row r="15948" spans="5:5" x14ac:dyDescent="0.25">
      <c r="E15948"/>
    </row>
    <row r="15949" spans="5:5" x14ac:dyDescent="0.25">
      <c r="E15949"/>
    </row>
    <row r="15950" spans="5:5" x14ac:dyDescent="0.25">
      <c r="E15950"/>
    </row>
    <row r="15951" spans="5:5" x14ac:dyDescent="0.25">
      <c r="E15951"/>
    </row>
    <row r="15952" spans="5:5" x14ac:dyDescent="0.25">
      <c r="E15952"/>
    </row>
    <row r="15953" spans="5:5" x14ac:dyDescent="0.25">
      <c r="E15953"/>
    </row>
    <row r="15954" spans="5:5" x14ac:dyDescent="0.25">
      <c r="E15954"/>
    </row>
    <row r="15955" spans="5:5" x14ac:dyDescent="0.25">
      <c r="E15955"/>
    </row>
    <row r="15956" spans="5:5" x14ac:dyDescent="0.25">
      <c r="E15956"/>
    </row>
    <row r="15957" spans="5:5" x14ac:dyDescent="0.25">
      <c r="E15957"/>
    </row>
    <row r="15958" spans="5:5" x14ac:dyDescent="0.25">
      <c r="E15958"/>
    </row>
    <row r="15959" spans="5:5" x14ac:dyDescent="0.25">
      <c r="E15959"/>
    </row>
    <row r="15960" spans="5:5" x14ac:dyDescent="0.25">
      <c r="E15960"/>
    </row>
    <row r="15961" spans="5:5" x14ac:dyDescent="0.25">
      <c r="E15961"/>
    </row>
    <row r="15962" spans="5:5" x14ac:dyDescent="0.25">
      <c r="E15962"/>
    </row>
    <row r="15963" spans="5:5" x14ac:dyDescent="0.25">
      <c r="E15963"/>
    </row>
    <row r="15964" spans="5:5" x14ac:dyDescent="0.25">
      <c r="E15964"/>
    </row>
    <row r="15965" spans="5:5" x14ac:dyDescent="0.25">
      <c r="E15965"/>
    </row>
    <row r="15966" spans="5:5" x14ac:dyDescent="0.25">
      <c r="E15966"/>
    </row>
    <row r="15967" spans="5:5" x14ac:dyDescent="0.25">
      <c r="E15967"/>
    </row>
    <row r="15968" spans="5:5" x14ac:dyDescent="0.25">
      <c r="E15968"/>
    </row>
    <row r="15969" spans="5:5" x14ac:dyDescent="0.25">
      <c r="E15969"/>
    </row>
    <row r="15970" spans="5:5" x14ac:dyDescent="0.25">
      <c r="E15970"/>
    </row>
    <row r="15971" spans="5:5" x14ac:dyDescent="0.25">
      <c r="E15971"/>
    </row>
    <row r="15972" spans="5:5" x14ac:dyDescent="0.25">
      <c r="E15972"/>
    </row>
    <row r="15973" spans="5:5" x14ac:dyDescent="0.25">
      <c r="E15973"/>
    </row>
    <row r="15974" spans="5:5" x14ac:dyDescent="0.25">
      <c r="E15974"/>
    </row>
    <row r="15975" spans="5:5" x14ac:dyDescent="0.25">
      <c r="E15975"/>
    </row>
    <row r="15976" spans="5:5" x14ac:dyDescent="0.25">
      <c r="E15976"/>
    </row>
    <row r="15977" spans="5:5" x14ac:dyDescent="0.25">
      <c r="E15977"/>
    </row>
    <row r="15978" spans="5:5" x14ac:dyDescent="0.25">
      <c r="E15978"/>
    </row>
    <row r="15979" spans="5:5" x14ac:dyDescent="0.25">
      <c r="E15979"/>
    </row>
    <row r="15980" spans="5:5" x14ac:dyDescent="0.25">
      <c r="E15980"/>
    </row>
    <row r="15981" spans="5:5" x14ac:dyDescent="0.25">
      <c r="E15981"/>
    </row>
    <row r="15982" spans="5:5" x14ac:dyDescent="0.25">
      <c r="E15982"/>
    </row>
    <row r="15983" spans="5:5" x14ac:dyDescent="0.25">
      <c r="E15983"/>
    </row>
    <row r="15984" spans="5:5" x14ac:dyDescent="0.25">
      <c r="E15984"/>
    </row>
    <row r="15985" spans="5:5" x14ac:dyDescent="0.25">
      <c r="E15985"/>
    </row>
    <row r="15986" spans="5:5" x14ac:dyDescent="0.25">
      <c r="E15986"/>
    </row>
    <row r="15987" spans="5:5" x14ac:dyDescent="0.25">
      <c r="E15987"/>
    </row>
    <row r="15988" spans="5:5" x14ac:dyDescent="0.25">
      <c r="E15988"/>
    </row>
    <row r="15989" spans="5:5" x14ac:dyDescent="0.25">
      <c r="E15989"/>
    </row>
    <row r="15990" spans="5:5" x14ac:dyDescent="0.25">
      <c r="E15990"/>
    </row>
    <row r="15991" spans="5:5" x14ac:dyDescent="0.25">
      <c r="E15991"/>
    </row>
    <row r="15992" spans="5:5" x14ac:dyDescent="0.25">
      <c r="E15992"/>
    </row>
    <row r="15993" spans="5:5" x14ac:dyDescent="0.25">
      <c r="E15993"/>
    </row>
    <row r="15994" spans="5:5" x14ac:dyDescent="0.25">
      <c r="E15994"/>
    </row>
    <row r="15995" spans="5:5" x14ac:dyDescent="0.25">
      <c r="E15995"/>
    </row>
    <row r="15996" spans="5:5" x14ac:dyDescent="0.25">
      <c r="E15996"/>
    </row>
    <row r="15997" spans="5:5" x14ac:dyDescent="0.25">
      <c r="E15997"/>
    </row>
    <row r="15998" spans="5:5" x14ac:dyDescent="0.25">
      <c r="E15998"/>
    </row>
    <row r="15999" spans="5:5" x14ac:dyDescent="0.25">
      <c r="E15999"/>
    </row>
    <row r="16000" spans="5:5" x14ac:dyDescent="0.25">
      <c r="E16000"/>
    </row>
    <row r="16001" spans="5:5" x14ac:dyDescent="0.25">
      <c r="E16001"/>
    </row>
    <row r="16002" spans="5:5" x14ac:dyDescent="0.25">
      <c r="E16002"/>
    </row>
    <row r="16003" spans="5:5" x14ac:dyDescent="0.25">
      <c r="E16003"/>
    </row>
    <row r="16004" spans="5:5" x14ac:dyDescent="0.25">
      <c r="E16004"/>
    </row>
    <row r="16005" spans="5:5" x14ac:dyDescent="0.25">
      <c r="E16005"/>
    </row>
    <row r="16006" spans="5:5" x14ac:dyDescent="0.25">
      <c r="E16006"/>
    </row>
    <row r="16007" spans="5:5" x14ac:dyDescent="0.25">
      <c r="E16007"/>
    </row>
    <row r="16008" spans="5:5" x14ac:dyDescent="0.25">
      <c r="E16008"/>
    </row>
    <row r="16009" spans="5:5" x14ac:dyDescent="0.25">
      <c r="E16009"/>
    </row>
    <row r="16010" spans="5:5" x14ac:dyDescent="0.25">
      <c r="E16010"/>
    </row>
    <row r="16011" spans="5:5" x14ac:dyDescent="0.25">
      <c r="E16011"/>
    </row>
    <row r="16012" spans="5:5" x14ac:dyDescent="0.25">
      <c r="E16012"/>
    </row>
    <row r="16013" spans="5:5" x14ac:dyDescent="0.25">
      <c r="E16013"/>
    </row>
    <row r="16014" spans="5:5" x14ac:dyDescent="0.25">
      <c r="E16014"/>
    </row>
    <row r="16015" spans="5:5" x14ac:dyDescent="0.25">
      <c r="E16015"/>
    </row>
    <row r="16016" spans="5:5" x14ac:dyDescent="0.25">
      <c r="E16016"/>
    </row>
    <row r="16017" spans="5:5" x14ac:dyDescent="0.25">
      <c r="E16017"/>
    </row>
    <row r="16018" spans="5:5" x14ac:dyDescent="0.25">
      <c r="E16018"/>
    </row>
    <row r="16019" spans="5:5" x14ac:dyDescent="0.25">
      <c r="E16019"/>
    </row>
    <row r="16020" spans="5:5" x14ac:dyDescent="0.25">
      <c r="E16020"/>
    </row>
    <row r="16021" spans="5:5" x14ac:dyDescent="0.25">
      <c r="E16021"/>
    </row>
    <row r="16022" spans="5:5" x14ac:dyDescent="0.25">
      <c r="E16022"/>
    </row>
    <row r="16023" spans="5:5" x14ac:dyDescent="0.25">
      <c r="E16023"/>
    </row>
    <row r="16024" spans="5:5" x14ac:dyDescent="0.25">
      <c r="E16024"/>
    </row>
    <row r="16025" spans="5:5" x14ac:dyDescent="0.25">
      <c r="E16025"/>
    </row>
    <row r="16026" spans="5:5" x14ac:dyDescent="0.25">
      <c r="E16026"/>
    </row>
    <row r="16027" spans="5:5" x14ac:dyDescent="0.25">
      <c r="E16027"/>
    </row>
    <row r="16028" spans="5:5" x14ac:dyDescent="0.25">
      <c r="E16028"/>
    </row>
    <row r="16029" spans="5:5" x14ac:dyDescent="0.25">
      <c r="E16029"/>
    </row>
    <row r="16030" spans="5:5" x14ac:dyDescent="0.25">
      <c r="E16030"/>
    </row>
    <row r="16031" spans="5:5" x14ac:dyDescent="0.25">
      <c r="E16031"/>
    </row>
    <row r="16032" spans="5:5" x14ac:dyDescent="0.25">
      <c r="E16032"/>
    </row>
    <row r="16033" spans="5:5" x14ac:dyDescent="0.25">
      <c r="E16033"/>
    </row>
    <row r="16034" spans="5:5" x14ac:dyDescent="0.25">
      <c r="E16034"/>
    </row>
    <row r="16035" spans="5:5" x14ac:dyDescent="0.25">
      <c r="E16035"/>
    </row>
    <row r="16036" spans="5:5" x14ac:dyDescent="0.25">
      <c r="E16036"/>
    </row>
    <row r="16037" spans="5:5" x14ac:dyDescent="0.25">
      <c r="E16037"/>
    </row>
    <row r="16038" spans="5:5" x14ac:dyDescent="0.25">
      <c r="E16038"/>
    </row>
    <row r="16039" spans="5:5" x14ac:dyDescent="0.25">
      <c r="E16039"/>
    </row>
    <row r="16040" spans="5:5" x14ac:dyDescent="0.25">
      <c r="E16040"/>
    </row>
    <row r="16041" spans="5:5" x14ac:dyDescent="0.25">
      <c r="E16041"/>
    </row>
    <row r="16042" spans="5:5" x14ac:dyDescent="0.25">
      <c r="E16042"/>
    </row>
    <row r="16043" spans="5:5" x14ac:dyDescent="0.25">
      <c r="E16043"/>
    </row>
    <row r="16044" spans="5:5" x14ac:dyDescent="0.25">
      <c r="E16044"/>
    </row>
    <row r="16045" spans="5:5" x14ac:dyDescent="0.25">
      <c r="E16045"/>
    </row>
    <row r="16046" spans="5:5" x14ac:dyDescent="0.25">
      <c r="E16046"/>
    </row>
    <row r="16047" spans="5:5" x14ac:dyDescent="0.25">
      <c r="E16047"/>
    </row>
    <row r="16048" spans="5:5" x14ac:dyDescent="0.25">
      <c r="E16048"/>
    </row>
    <row r="16049" spans="5:5" x14ac:dyDescent="0.25">
      <c r="E16049"/>
    </row>
    <row r="16050" spans="5:5" x14ac:dyDescent="0.25">
      <c r="E16050"/>
    </row>
    <row r="16051" spans="5:5" x14ac:dyDescent="0.25">
      <c r="E16051"/>
    </row>
    <row r="16052" spans="5:5" x14ac:dyDescent="0.25">
      <c r="E16052"/>
    </row>
    <row r="16053" spans="5:5" x14ac:dyDescent="0.25">
      <c r="E16053"/>
    </row>
    <row r="16054" spans="5:5" x14ac:dyDescent="0.25">
      <c r="E16054"/>
    </row>
    <row r="16055" spans="5:5" x14ac:dyDescent="0.25">
      <c r="E16055"/>
    </row>
    <row r="16056" spans="5:5" x14ac:dyDescent="0.25">
      <c r="E16056"/>
    </row>
    <row r="16057" spans="5:5" x14ac:dyDescent="0.25">
      <c r="E16057"/>
    </row>
    <row r="16058" spans="5:5" x14ac:dyDescent="0.25">
      <c r="E16058"/>
    </row>
    <row r="16059" spans="5:5" x14ac:dyDescent="0.25">
      <c r="E16059"/>
    </row>
    <row r="16060" spans="5:5" x14ac:dyDescent="0.25">
      <c r="E16060"/>
    </row>
    <row r="16061" spans="5:5" x14ac:dyDescent="0.25">
      <c r="E16061"/>
    </row>
    <row r="16062" spans="5:5" x14ac:dyDescent="0.25">
      <c r="E16062"/>
    </row>
    <row r="16063" spans="5:5" x14ac:dyDescent="0.25">
      <c r="E16063"/>
    </row>
    <row r="16064" spans="5:5" x14ac:dyDescent="0.25">
      <c r="E16064"/>
    </row>
    <row r="16065" spans="5:5" x14ac:dyDescent="0.25">
      <c r="E16065"/>
    </row>
    <row r="16066" spans="5:5" x14ac:dyDescent="0.25">
      <c r="E16066"/>
    </row>
    <row r="16067" spans="5:5" x14ac:dyDescent="0.25">
      <c r="E16067"/>
    </row>
    <row r="16068" spans="5:5" x14ac:dyDescent="0.25">
      <c r="E16068"/>
    </row>
    <row r="16069" spans="5:5" x14ac:dyDescent="0.25">
      <c r="E16069"/>
    </row>
    <row r="16070" spans="5:5" x14ac:dyDescent="0.25">
      <c r="E16070"/>
    </row>
    <row r="16071" spans="5:5" x14ac:dyDescent="0.25">
      <c r="E16071"/>
    </row>
    <row r="16072" spans="5:5" x14ac:dyDescent="0.25">
      <c r="E16072"/>
    </row>
    <row r="16073" spans="5:5" x14ac:dyDescent="0.25">
      <c r="E16073"/>
    </row>
    <row r="16074" spans="5:5" x14ac:dyDescent="0.25">
      <c r="E16074"/>
    </row>
    <row r="16075" spans="5:5" x14ac:dyDescent="0.25">
      <c r="E16075"/>
    </row>
    <row r="16076" spans="5:5" x14ac:dyDescent="0.25">
      <c r="E16076"/>
    </row>
    <row r="16077" spans="5:5" x14ac:dyDescent="0.25">
      <c r="E16077"/>
    </row>
    <row r="16078" spans="5:5" x14ac:dyDescent="0.25">
      <c r="E16078"/>
    </row>
    <row r="16079" spans="5:5" x14ac:dyDescent="0.25">
      <c r="E16079"/>
    </row>
    <row r="16080" spans="5:5" x14ac:dyDescent="0.25">
      <c r="E16080"/>
    </row>
    <row r="16081" spans="5:5" x14ac:dyDescent="0.25">
      <c r="E16081"/>
    </row>
    <row r="16082" spans="5:5" x14ac:dyDescent="0.25">
      <c r="E16082"/>
    </row>
    <row r="16083" spans="5:5" x14ac:dyDescent="0.25">
      <c r="E16083"/>
    </row>
    <row r="16084" spans="5:5" x14ac:dyDescent="0.25">
      <c r="E16084"/>
    </row>
    <row r="16085" spans="5:5" x14ac:dyDescent="0.25">
      <c r="E16085"/>
    </row>
    <row r="16086" spans="5:5" x14ac:dyDescent="0.25">
      <c r="E16086"/>
    </row>
    <row r="16087" spans="5:5" x14ac:dyDescent="0.25">
      <c r="E16087"/>
    </row>
    <row r="16088" spans="5:5" x14ac:dyDescent="0.25">
      <c r="E16088"/>
    </row>
    <row r="16089" spans="5:5" x14ac:dyDescent="0.25">
      <c r="E16089"/>
    </row>
    <row r="16090" spans="5:5" x14ac:dyDescent="0.25">
      <c r="E16090"/>
    </row>
    <row r="16091" spans="5:5" x14ac:dyDescent="0.25">
      <c r="E16091"/>
    </row>
    <row r="16092" spans="5:5" x14ac:dyDescent="0.25">
      <c r="E16092"/>
    </row>
    <row r="16093" spans="5:5" x14ac:dyDescent="0.25">
      <c r="E16093"/>
    </row>
    <row r="16094" spans="5:5" x14ac:dyDescent="0.25">
      <c r="E16094"/>
    </row>
    <row r="16095" spans="5:5" x14ac:dyDescent="0.25">
      <c r="E16095"/>
    </row>
    <row r="16096" spans="5:5" x14ac:dyDescent="0.25">
      <c r="E16096"/>
    </row>
    <row r="16097" spans="5:5" x14ac:dyDescent="0.25">
      <c r="E16097"/>
    </row>
    <row r="16098" spans="5:5" x14ac:dyDescent="0.25">
      <c r="E16098"/>
    </row>
    <row r="16099" spans="5:5" x14ac:dyDescent="0.25">
      <c r="E16099"/>
    </row>
    <row r="16100" spans="5:5" x14ac:dyDescent="0.25">
      <c r="E16100"/>
    </row>
    <row r="16101" spans="5:5" x14ac:dyDescent="0.25">
      <c r="E16101"/>
    </row>
    <row r="16102" spans="5:5" x14ac:dyDescent="0.25">
      <c r="E16102"/>
    </row>
    <row r="16103" spans="5:5" x14ac:dyDescent="0.25">
      <c r="E16103"/>
    </row>
    <row r="16104" spans="5:5" x14ac:dyDescent="0.25">
      <c r="E16104"/>
    </row>
    <row r="16105" spans="5:5" x14ac:dyDescent="0.25">
      <c r="E16105"/>
    </row>
    <row r="16106" spans="5:5" x14ac:dyDescent="0.25">
      <c r="E16106"/>
    </row>
    <row r="16107" spans="5:5" x14ac:dyDescent="0.25">
      <c r="E16107"/>
    </row>
    <row r="16108" spans="5:5" x14ac:dyDescent="0.25">
      <c r="E16108"/>
    </row>
    <row r="16109" spans="5:5" x14ac:dyDescent="0.25">
      <c r="E16109"/>
    </row>
    <row r="16110" spans="5:5" x14ac:dyDescent="0.25">
      <c r="E16110"/>
    </row>
    <row r="16111" spans="5:5" x14ac:dyDescent="0.25">
      <c r="E16111"/>
    </row>
    <row r="16112" spans="5:5" x14ac:dyDescent="0.25">
      <c r="E16112"/>
    </row>
    <row r="16113" spans="5:5" x14ac:dyDescent="0.25">
      <c r="E16113"/>
    </row>
    <row r="16114" spans="5:5" x14ac:dyDescent="0.25">
      <c r="E16114"/>
    </row>
    <row r="16115" spans="5:5" x14ac:dyDescent="0.25">
      <c r="E16115"/>
    </row>
    <row r="16116" spans="5:5" x14ac:dyDescent="0.25">
      <c r="E16116"/>
    </row>
    <row r="16117" spans="5:5" x14ac:dyDescent="0.25">
      <c r="E16117"/>
    </row>
    <row r="16118" spans="5:5" x14ac:dyDescent="0.25">
      <c r="E16118"/>
    </row>
    <row r="16119" spans="5:5" x14ac:dyDescent="0.25">
      <c r="E16119"/>
    </row>
    <row r="16120" spans="5:5" x14ac:dyDescent="0.25">
      <c r="E16120"/>
    </row>
    <row r="16121" spans="5:5" x14ac:dyDescent="0.25">
      <c r="E16121"/>
    </row>
    <row r="16122" spans="5:5" x14ac:dyDescent="0.25">
      <c r="E16122"/>
    </row>
    <row r="16123" spans="5:5" x14ac:dyDescent="0.25">
      <c r="E16123"/>
    </row>
    <row r="16124" spans="5:5" x14ac:dyDescent="0.25">
      <c r="E16124"/>
    </row>
    <row r="16125" spans="5:5" x14ac:dyDescent="0.25">
      <c r="E16125"/>
    </row>
    <row r="16126" spans="5:5" x14ac:dyDescent="0.25">
      <c r="E16126"/>
    </row>
    <row r="16127" spans="5:5" x14ac:dyDescent="0.25">
      <c r="E16127"/>
    </row>
    <row r="16128" spans="5:5" x14ac:dyDescent="0.25">
      <c r="E16128"/>
    </row>
    <row r="16129" spans="5:5" x14ac:dyDescent="0.25">
      <c r="E16129"/>
    </row>
    <row r="16130" spans="5:5" x14ac:dyDescent="0.25">
      <c r="E16130"/>
    </row>
    <row r="16131" spans="5:5" x14ac:dyDescent="0.25">
      <c r="E16131"/>
    </row>
    <row r="16132" spans="5:5" x14ac:dyDescent="0.25">
      <c r="E16132"/>
    </row>
    <row r="16133" spans="5:5" x14ac:dyDescent="0.25">
      <c r="E16133"/>
    </row>
    <row r="16134" spans="5:5" x14ac:dyDescent="0.25">
      <c r="E16134"/>
    </row>
    <row r="16135" spans="5:5" x14ac:dyDescent="0.25">
      <c r="E16135"/>
    </row>
    <row r="16136" spans="5:5" x14ac:dyDescent="0.25">
      <c r="E16136"/>
    </row>
    <row r="16137" spans="5:5" x14ac:dyDescent="0.25">
      <c r="E16137"/>
    </row>
    <row r="16138" spans="5:5" x14ac:dyDescent="0.25">
      <c r="E16138"/>
    </row>
    <row r="16139" spans="5:5" x14ac:dyDescent="0.25">
      <c r="E16139"/>
    </row>
    <row r="16140" spans="5:5" x14ac:dyDescent="0.25">
      <c r="E16140"/>
    </row>
    <row r="16141" spans="5:5" x14ac:dyDescent="0.25">
      <c r="E16141"/>
    </row>
    <row r="16142" spans="5:5" x14ac:dyDescent="0.25">
      <c r="E16142"/>
    </row>
    <row r="16143" spans="5:5" x14ac:dyDescent="0.25">
      <c r="E16143"/>
    </row>
    <row r="16144" spans="5:5" x14ac:dyDescent="0.25">
      <c r="E16144"/>
    </row>
    <row r="16145" spans="5:5" x14ac:dyDescent="0.25">
      <c r="E16145"/>
    </row>
    <row r="16146" spans="5:5" x14ac:dyDescent="0.25">
      <c r="E16146"/>
    </row>
    <row r="16147" spans="5:5" x14ac:dyDescent="0.25">
      <c r="E16147"/>
    </row>
    <row r="16148" spans="5:5" x14ac:dyDescent="0.25">
      <c r="E16148"/>
    </row>
    <row r="16149" spans="5:5" x14ac:dyDescent="0.25">
      <c r="E16149"/>
    </row>
    <row r="16150" spans="5:5" x14ac:dyDescent="0.25">
      <c r="E16150"/>
    </row>
    <row r="16151" spans="5:5" x14ac:dyDescent="0.25">
      <c r="E16151"/>
    </row>
    <row r="16152" spans="5:5" x14ac:dyDescent="0.25">
      <c r="E16152"/>
    </row>
    <row r="16153" spans="5:5" x14ac:dyDescent="0.25">
      <c r="E16153"/>
    </row>
    <row r="16154" spans="5:5" x14ac:dyDescent="0.25">
      <c r="E16154"/>
    </row>
    <row r="16155" spans="5:5" x14ac:dyDescent="0.25">
      <c r="E16155"/>
    </row>
    <row r="16156" spans="5:5" x14ac:dyDescent="0.25">
      <c r="E16156"/>
    </row>
    <row r="16157" spans="5:5" x14ac:dyDescent="0.25">
      <c r="E16157"/>
    </row>
    <row r="16158" spans="5:5" x14ac:dyDescent="0.25">
      <c r="E16158"/>
    </row>
    <row r="16159" spans="5:5" x14ac:dyDescent="0.25">
      <c r="E16159"/>
    </row>
    <row r="16160" spans="5:5" x14ac:dyDescent="0.25">
      <c r="E16160"/>
    </row>
    <row r="16161" spans="5:5" x14ac:dyDescent="0.25">
      <c r="E16161"/>
    </row>
    <row r="16162" spans="5:5" x14ac:dyDescent="0.25">
      <c r="E16162"/>
    </row>
    <row r="16163" spans="5:5" x14ac:dyDescent="0.25">
      <c r="E16163"/>
    </row>
    <row r="16164" spans="5:5" x14ac:dyDescent="0.25">
      <c r="E16164"/>
    </row>
    <row r="16165" spans="5:5" x14ac:dyDescent="0.25">
      <c r="E16165"/>
    </row>
    <row r="16166" spans="5:5" x14ac:dyDescent="0.25">
      <c r="E16166"/>
    </row>
    <row r="16167" spans="5:5" x14ac:dyDescent="0.25">
      <c r="E16167"/>
    </row>
    <row r="16168" spans="5:5" x14ac:dyDescent="0.25">
      <c r="E16168"/>
    </row>
    <row r="16169" spans="5:5" x14ac:dyDescent="0.25">
      <c r="E16169"/>
    </row>
    <row r="16170" spans="5:5" x14ac:dyDescent="0.25">
      <c r="E16170"/>
    </row>
    <row r="16171" spans="5:5" x14ac:dyDescent="0.25">
      <c r="E16171"/>
    </row>
    <row r="16172" spans="5:5" x14ac:dyDescent="0.25">
      <c r="E16172"/>
    </row>
    <row r="16173" spans="5:5" x14ac:dyDescent="0.25">
      <c r="E16173"/>
    </row>
    <row r="16174" spans="5:5" x14ac:dyDescent="0.25">
      <c r="E16174"/>
    </row>
    <row r="16175" spans="5:5" x14ac:dyDescent="0.25">
      <c r="E16175"/>
    </row>
    <row r="16176" spans="5:5" x14ac:dyDescent="0.25">
      <c r="E16176"/>
    </row>
    <row r="16177" spans="5:5" x14ac:dyDescent="0.25">
      <c r="E16177"/>
    </row>
    <row r="16178" spans="5:5" x14ac:dyDescent="0.25">
      <c r="E16178"/>
    </row>
    <row r="16179" spans="5:5" x14ac:dyDescent="0.25">
      <c r="E16179"/>
    </row>
    <row r="16180" spans="5:5" x14ac:dyDescent="0.25">
      <c r="E16180"/>
    </row>
    <row r="16181" spans="5:5" x14ac:dyDescent="0.25">
      <c r="E16181"/>
    </row>
    <row r="16182" spans="5:5" x14ac:dyDescent="0.25">
      <c r="E16182"/>
    </row>
    <row r="16183" spans="5:5" x14ac:dyDescent="0.25">
      <c r="E16183"/>
    </row>
    <row r="16184" spans="5:5" x14ac:dyDescent="0.25">
      <c r="E16184"/>
    </row>
    <row r="16185" spans="5:5" x14ac:dyDescent="0.25">
      <c r="E16185"/>
    </row>
    <row r="16186" spans="5:5" x14ac:dyDescent="0.25">
      <c r="E16186"/>
    </row>
    <row r="16187" spans="5:5" x14ac:dyDescent="0.25">
      <c r="E16187"/>
    </row>
    <row r="16188" spans="5:5" x14ac:dyDescent="0.25">
      <c r="E16188"/>
    </row>
    <row r="16189" spans="5:5" x14ac:dyDescent="0.25">
      <c r="E16189"/>
    </row>
    <row r="16190" spans="5:5" x14ac:dyDescent="0.25">
      <c r="E16190"/>
    </row>
    <row r="16191" spans="5:5" x14ac:dyDescent="0.25">
      <c r="E16191"/>
    </row>
    <row r="16192" spans="5:5" x14ac:dyDescent="0.25">
      <c r="E16192"/>
    </row>
    <row r="16193" spans="5:5" x14ac:dyDescent="0.25">
      <c r="E16193"/>
    </row>
    <row r="16194" spans="5:5" x14ac:dyDescent="0.25">
      <c r="E16194"/>
    </row>
    <row r="16195" spans="5:5" x14ac:dyDescent="0.25">
      <c r="E16195"/>
    </row>
    <row r="16196" spans="5:5" x14ac:dyDescent="0.25">
      <c r="E16196"/>
    </row>
    <row r="16197" spans="5:5" x14ac:dyDescent="0.25">
      <c r="E16197"/>
    </row>
    <row r="16198" spans="5:5" x14ac:dyDescent="0.25">
      <c r="E16198"/>
    </row>
    <row r="16199" spans="5:5" x14ac:dyDescent="0.25">
      <c r="E16199"/>
    </row>
    <row r="16200" spans="5:5" x14ac:dyDescent="0.25">
      <c r="E16200"/>
    </row>
    <row r="16201" spans="5:5" x14ac:dyDescent="0.25">
      <c r="E16201"/>
    </row>
    <row r="16202" spans="5:5" x14ac:dyDescent="0.25">
      <c r="E16202"/>
    </row>
    <row r="16203" spans="5:5" x14ac:dyDescent="0.25">
      <c r="E16203"/>
    </row>
    <row r="16204" spans="5:5" x14ac:dyDescent="0.25">
      <c r="E16204"/>
    </row>
    <row r="16205" spans="5:5" x14ac:dyDescent="0.25">
      <c r="E16205"/>
    </row>
    <row r="16206" spans="5:5" x14ac:dyDescent="0.25">
      <c r="E16206"/>
    </row>
    <row r="16207" spans="5:5" x14ac:dyDescent="0.25">
      <c r="E16207"/>
    </row>
    <row r="16208" spans="5:5" x14ac:dyDescent="0.25">
      <c r="E16208"/>
    </row>
    <row r="16209" spans="5:5" x14ac:dyDescent="0.25">
      <c r="E16209"/>
    </row>
    <row r="16210" spans="5:5" x14ac:dyDescent="0.25">
      <c r="E16210"/>
    </row>
    <row r="16211" spans="5:5" x14ac:dyDescent="0.25">
      <c r="E16211"/>
    </row>
    <row r="16212" spans="5:5" x14ac:dyDescent="0.25">
      <c r="E16212"/>
    </row>
    <row r="16213" spans="5:5" x14ac:dyDescent="0.25">
      <c r="E16213"/>
    </row>
    <row r="16214" spans="5:5" x14ac:dyDescent="0.25">
      <c r="E16214"/>
    </row>
    <row r="16215" spans="5:5" x14ac:dyDescent="0.25">
      <c r="E16215"/>
    </row>
    <row r="16216" spans="5:5" x14ac:dyDescent="0.25">
      <c r="E16216"/>
    </row>
    <row r="16217" spans="5:5" x14ac:dyDescent="0.25">
      <c r="E16217"/>
    </row>
    <row r="16218" spans="5:5" x14ac:dyDescent="0.25">
      <c r="E16218"/>
    </row>
    <row r="16219" spans="5:5" x14ac:dyDescent="0.25">
      <c r="E16219"/>
    </row>
    <row r="16220" spans="5:5" x14ac:dyDescent="0.25">
      <c r="E16220"/>
    </row>
    <row r="16221" spans="5:5" x14ac:dyDescent="0.25">
      <c r="E16221"/>
    </row>
    <row r="16222" spans="5:5" x14ac:dyDescent="0.25">
      <c r="E16222"/>
    </row>
    <row r="16223" spans="5:5" x14ac:dyDescent="0.25">
      <c r="E16223"/>
    </row>
    <row r="16224" spans="5:5" x14ac:dyDescent="0.25">
      <c r="E16224"/>
    </row>
    <row r="16225" spans="5:5" x14ac:dyDescent="0.25">
      <c r="E16225"/>
    </row>
    <row r="16226" spans="5:5" x14ac:dyDescent="0.25">
      <c r="E16226"/>
    </row>
    <row r="16227" spans="5:5" x14ac:dyDescent="0.25">
      <c r="E16227"/>
    </row>
    <row r="16228" spans="5:5" x14ac:dyDescent="0.25">
      <c r="E16228"/>
    </row>
    <row r="16229" spans="5:5" x14ac:dyDescent="0.25">
      <c r="E16229"/>
    </row>
    <row r="16230" spans="5:5" x14ac:dyDescent="0.25">
      <c r="E16230"/>
    </row>
    <row r="16231" spans="5:5" x14ac:dyDescent="0.25">
      <c r="E16231"/>
    </row>
    <row r="16232" spans="5:5" x14ac:dyDescent="0.25">
      <c r="E16232"/>
    </row>
    <row r="16233" spans="5:5" x14ac:dyDescent="0.25">
      <c r="E16233"/>
    </row>
    <row r="16234" spans="5:5" x14ac:dyDescent="0.25">
      <c r="E16234"/>
    </row>
    <row r="16235" spans="5:5" x14ac:dyDescent="0.25">
      <c r="E16235"/>
    </row>
    <row r="16236" spans="5:5" x14ac:dyDescent="0.25">
      <c r="E16236"/>
    </row>
    <row r="16237" spans="5:5" x14ac:dyDescent="0.25">
      <c r="E16237"/>
    </row>
    <row r="16238" spans="5:5" x14ac:dyDescent="0.25">
      <c r="E16238"/>
    </row>
    <row r="16239" spans="5:5" x14ac:dyDescent="0.25">
      <c r="E16239"/>
    </row>
    <row r="16240" spans="5:5" x14ac:dyDescent="0.25">
      <c r="E16240"/>
    </row>
    <row r="16241" spans="5:5" x14ac:dyDescent="0.25">
      <c r="E16241"/>
    </row>
    <row r="16242" spans="5:5" x14ac:dyDescent="0.25">
      <c r="E16242"/>
    </row>
    <row r="16243" spans="5:5" x14ac:dyDescent="0.25">
      <c r="E16243"/>
    </row>
    <row r="16244" spans="5:5" x14ac:dyDescent="0.25">
      <c r="E16244"/>
    </row>
    <row r="16245" spans="5:5" x14ac:dyDescent="0.25">
      <c r="E16245"/>
    </row>
    <row r="16246" spans="5:5" x14ac:dyDescent="0.25">
      <c r="E16246"/>
    </row>
    <row r="16247" spans="5:5" x14ac:dyDescent="0.25">
      <c r="E16247"/>
    </row>
    <row r="16248" spans="5:5" x14ac:dyDescent="0.25">
      <c r="E16248"/>
    </row>
    <row r="16249" spans="5:5" x14ac:dyDescent="0.25">
      <c r="E16249"/>
    </row>
    <row r="16250" spans="5:5" x14ac:dyDescent="0.25">
      <c r="E16250"/>
    </row>
    <row r="16251" spans="5:5" x14ac:dyDescent="0.25">
      <c r="E16251"/>
    </row>
    <row r="16252" spans="5:5" x14ac:dyDescent="0.25">
      <c r="E16252"/>
    </row>
    <row r="16253" spans="5:5" x14ac:dyDescent="0.25">
      <c r="E16253"/>
    </row>
    <row r="16254" spans="5:5" x14ac:dyDescent="0.25">
      <c r="E16254"/>
    </row>
    <row r="16255" spans="5:5" x14ac:dyDescent="0.25">
      <c r="E16255"/>
    </row>
    <row r="16256" spans="5:5" x14ac:dyDescent="0.25">
      <c r="E16256"/>
    </row>
    <row r="16257" spans="5:5" x14ac:dyDescent="0.25">
      <c r="E16257"/>
    </row>
    <row r="16258" spans="5:5" x14ac:dyDescent="0.25">
      <c r="E16258"/>
    </row>
    <row r="16259" spans="5:5" x14ac:dyDescent="0.25">
      <c r="E16259"/>
    </row>
    <row r="16260" spans="5:5" x14ac:dyDescent="0.25">
      <c r="E16260"/>
    </row>
    <row r="16261" spans="5:5" x14ac:dyDescent="0.25">
      <c r="E16261"/>
    </row>
    <row r="16262" spans="5:5" x14ac:dyDescent="0.25">
      <c r="E16262"/>
    </row>
    <row r="16263" spans="5:5" x14ac:dyDescent="0.25">
      <c r="E16263"/>
    </row>
    <row r="16264" spans="5:5" x14ac:dyDescent="0.25">
      <c r="E16264"/>
    </row>
    <row r="16265" spans="5:5" x14ac:dyDescent="0.25">
      <c r="E16265"/>
    </row>
    <row r="16266" spans="5:5" x14ac:dyDescent="0.25">
      <c r="E16266"/>
    </row>
    <row r="16267" spans="5:5" x14ac:dyDescent="0.25">
      <c r="E16267"/>
    </row>
    <row r="16268" spans="5:5" x14ac:dyDescent="0.25">
      <c r="E16268"/>
    </row>
    <row r="16269" spans="5:5" x14ac:dyDescent="0.25">
      <c r="E16269"/>
    </row>
    <row r="16270" spans="5:5" x14ac:dyDescent="0.25">
      <c r="E16270"/>
    </row>
    <row r="16271" spans="5:5" x14ac:dyDescent="0.25">
      <c r="E16271"/>
    </row>
    <row r="16272" spans="5:5" x14ac:dyDescent="0.25">
      <c r="E16272"/>
    </row>
    <row r="16273" spans="5:5" x14ac:dyDescent="0.25">
      <c r="E16273"/>
    </row>
    <row r="16274" spans="5:5" x14ac:dyDescent="0.25">
      <c r="E16274"/>
    </row>
    <row r="16275" spans="5:5" x14ac:dyDescent="0.25">
      <c r="E16275"/>
    </row>
    <row r="16276" spans="5:5" x14ac:dyDescent="0.25">
      <c r="E16276"/>
    </row>
    <row r="16277" spans="5:5" x14ac:dyDescent="0.25">
      <c r="E16277"/>
    </row>
    <row r="16278" spans="5:5" x14ac:dyDescent="0.25">
      <c r="E16278"/>
    </row>
    <row r="16279" spans="5:5" x14ac:dyDescent="0.25">
      <c r="E16279"/>
    </row>
    <row r="16280" spans="5:5" x14ac:dyDescent="0.25">
      <c r="E16280"/>
    </row>
    <row r="16281" spans="5:5" x14ac:dyDescent="0.25">
      <c r="E16281"/>
    </row>
    <row r="16282" spans="5:5" x14ac:dyDescent="0.25">
      <c r="E16282"/>
    </row>
    <row r="16283" spans="5:5" x14ac:dyDescent="0.25">
      <c r="E16283"/>
    </row>
    <row r="16284" spans="5:5" x14ac:dyDescent="0.25">
      <c r="E16284"/>
    </row>
    <row r="16285" spans="5:5" x14ac:dyDescent="0.25">
      <c r="E16285"/>
    </row>
    <row r="16286" spans="5:5" x14ac:dyDescent="0.25">
      <c r="E16286"/>
    </row>
    <row r="16287" spans="5:5" x14ac:dyDescent="0.25">
      <c r="E16287"/>
    </row>
    <row r="16288" spans="5:5" x14ac:dyDescent="0.25">
      <c r="E16288"/>
    </row>
    <row r="16289" spans="5:5" x14ac:dyDescent="0.25">
      <c r="E16289"/>
    </row>
    <row r="16290" spans="5:5" x14ac:dyDescent="0.25">
      <c r="E16290"/>
    </row>
    <row r="16291" spans="5:5" x14ac:dyDescent="0.25">
      <c r="E16291"/>
    </row>
    <row r="16292" spans="5:5" x14ac:dyDescent="0.25">
      <c r="E16292"/>
    </row>
    <row r="16293" spans="5:5" x14ac:dyDescent="0.25">
      <c r="E16293"/>
    </row>
    <row r="16294" spans="5:5" x14ac:dyDescent="0.25">
      <c r="E16294"/>
    </row>
    <row r="16295" spans="5:5" x14ac:dyDescent="0.25">
      <c r="E16295"/>
    </row>
    <row r="16296" spans="5:5" x14ac:dyDescent="0.25">
      <c r="E16296"/>
    </row>
    <row r="16297" spans="5:5" x14ac:dyDescent="0.25">
      <c r="E16297"/>
    </row>
    <row r="16298" spans="5:5" x14ac:dyDescent="0.25">
      <c r="E16298"/>
    </row>
    <row r="16299" spans="5:5" x14ac:dyDescent="0.25">
      <c r="E16299"/>
    </row>
    <row r="16300" spans="5:5" x14ac:dyDescent="0.25">
      <c r="E16300"/>
    </row>
    <row r="16301" spans="5:5" x14ac:dyDescent="0.25">
      <c r="E16301"/>
    </row>
    <row r="16302" spans="5:5" x14ac:dyDescent="0.25">
      <c r="E16302"/>
    </row>
    <row r="16303" spans="5:5" x14ac:dyDescent="0.25">
      <c r="E16303"/>
    </row>
    <row r="16304" spans="5:5" x14ac:dyDescent="0.25">
      <c r="E16304"/>
    </row>
    <row r="16305" spans="5:5" x14ac:dyDescent="0.25">
      <c r="E16305"/>
    </row>
    <row r="16306" spans="5:5" x14ac:dyDescent="0.25">
      <c r="E16306"/>
    </row>
    <row r="16307" spans="5:5" x14ac:dyDescent="0.25">
      <c r="E16307"/>
    </row>
    <row r="16308" spans="5:5" x14ac:dyDescent="0.25">
      <c r="E16308"/>
    </row>
    <row r="16309" spans="5:5" x14ac:dyDescent="0.25">
      <c r="E16309"/>
    </row>
    <row r="16310" spans="5:5" x14ac:dyDescent="0.25">
      <c r="E16310"/>
    </row>
    <row r="16311" spans="5:5" x14ac:dyDescent="0.25">
      <c r="E16311"/>
    </row>
    <row r="16312" spans="5:5" x14ac:dyDescent="0.25">
      <c r="E16312"/>
    </row>
    <row r="16313" spans="5:5" x14ac:dyDescent="0.25">
      <c r="E16313"/>
    </row>
    <row r="16314" spans="5:5" x14ac:dyDescent="0.25">
      <c r="E16314"/>
    </row>
    <row r="16315" spans="5:5" x14ac:dyDescent="0.25">
      <c r="E16315"/>
    </row>
    <row r="16316" spans="5:5" x14ac:dyDescent="0.25">
      <c r="E16316"/>
    </row>
    <row r="16317" spans="5:5" x14ac:dyDescent="0.25">
      <c r="E16317"/>
    </row>
    <row r="16318" spans="5:5" x14ac:dyDescent="0.25">
      <c r="E16318"/>
    </row>
    <row r="16319" spans="5:5" x14ac:dyDescent="0.25">
      <c r="E16319"/>
    </row>
    <row r="16320" spans="5:5" x14ac:dyDescent="0.25">
      <c r="E16320"/>
    </row>
    <row r="16321" spans="5:5" x14ac:dyDescent="0.25">
      <c r="E16321"/>
    </row>
    <row r="16322" spans="5:5" x14ac:dyDescent="0.25">
      <c r="E16322"/>
    </row>
    <row r="16323" spans="5:5" x14ac:dyDescent="0.25">
      <c r="E16323"/>
    </row>
    <row r="16324" spans="5:5" x14ac:dyDescent="0.25">
      <c r="E16324"/>
    </row>
    <row r="16325" spans="5:5" x14ac:dyDescent="0.25">
      <c r="E16325"/>
    </row>
    <row r="16326" spans="5:5" x14ac:dyDescent="0.25">
      <c r="E16326"/>
    </row>
    <row r="16327" spans="5:5" x14ac:dyDescent="0.25">
      <c r="E16327"/>
    </row>
    <row r="16328" spans="5:5" x14ac:dyDescent="0.25">
      <c r="E16328"/>
    </row>
    <row r="16329" spans="5:5" x14ac:dyDescent="0.25">
      <c r="E16329"/>
    </row>
    <row r="16330" spans="5:5" x14ac:dyDescent="0.25">
      <c r="E16330"/>
    </row>
    <row r="16331" spans="5:5" x14ac:dyDescent="0.25">
      <c r="E16331"/>
    </row>
    <row r="16332" spans="5:5" x14ac:dyDescent="0.25">
      <c r="E16332"/>
    </row>
    <row r="16333" spans="5:5" x14ac:dyDescent="0.25">
      <c r="E16333"/>
    </row>
    <row r="16334" spans="5:5" x14ac:dyDescent="0.25">
      <c r="E16334"/>
    </row>
    <row r="16335" spans="5:5" x14ac:dyDescent="0.25">
      <c r="E16335"/>
    </row>
    <row r="16336" spans="5:5" x14ac:dyDescent="0.25">
      <c r="E16336"/>
    </row>
    <row r="16337" spans="5:5" x14ac:dyDescent="0.25">
      <c r="E16337"/>
    </row>
    <row r="16338" spans="5:5" x14ac:dyDescent="0.25">
      <c r="E16338"/>
    </row>
    <row r="16339" spans="5:5" x14ac:dyDescent="0.25">
      <c r="E16339"/>
    </row>
    <row r="16340" spans="5:5" x14ac:dyDescent="0.25">
      <c r="E16340"/>
    </row>
    <row r="16341" spans="5:5" x14ac:dyDescent="0.25">
      <c r="E16341"/>
    </row>
    <row r="16342" spans="5:5" x14ac:dyDescent="0.25">
      <c r="E16342"/>
    </row>
    <row r="16343" spans="5:5" x14ac:dyDescent="0.25">
      <c r="E16343"/>
    </row>
    <row r="16344" spans="5:5" x14ac:dyDescent="0.25">
      <c r="E16344"/>
    </row>
    <row r="16345" spans="5:5" x14ac:dyDescent="0.25">
      <c r="E16345"/>
    </row>
    <row r="16346" spans="5:5" x14ac:dyDescent="0.25">
      <c r="E16346"/>
    </row>
    <row r="16347" spans="5:5" x14ac:dyDescent="0.25">
      <c r="E16347"/>
    </row>
    <row r="16348" spans="5:5" x14ac:dyDescent="0.25">
      <c r="E16348"/>
    </row>
    <row r="16349" spans="5:5" x14ac:dyDescent="0.25">
      <c r="E16349"/>
    </row>
    <row r="16350" spans="5:5" x14ac:dyDescent="0.25">
      <c r="E16350"/>
    </row>
    <row r="16351" spans="5:5" x14ac:dyDescent="0.25">
      <c r="E16351"/>
    </row>
    <row r="16352" spans="5:5" x14ac:dyDescent="0.25">
      <c r="E16352"/>
    </row>
    <row r="16353" spans="5:5" x14ac:dyDescent="0.25">
      <c r="E16353"/>
    </row>
    <row r="16354" spans="5:5" x14ac:dyDescent="0.25">
      <c r="E16354"/>
    </row>
    <row r="16355" spans="5:5" x14ac:dyDescent="0.25">
      <c r="E16355"/>
    </row>
    <row r="16356" spans="5:5" x14ac:dyDescent="0.25">
      <c r="E16356"/>
    </row>
    <row r="16357" spans="5:5" x14ac:dyDescent="0.25">
      <c r="E16357"/>
    </row>
    <row r="16358" spans="5:5" x14ac:dyDescent="0.25">
      <c r="E16358"/>
    </row>
    <row r="16359" spans="5:5" x14ac:dyDescent="0.25">
      <c r="E16359"/>
    </row>
    <row r="16360" spans="5:5" x14ac:dyDescent="0.25">
      <c r="E16360"/>
    </row>
    <row r="16361" spans="5:5" x14ac:dyDescent="0.25">
      <c r="E16361"/>
    </row>
    <row r="16362" spans="5:5" x14ac:dyDescent="0.25">
      <c r="E16362"/>
    </row>
    <row r="16363" spans="5:5" x14ac:dyDescent="0.25">
      <c r="E16363"/>
    </row>
    <row r="16364" spans="5:5" x14ac:dyDescent="0.25">
      <c r="E16364"/>
    </row>
    <row r="16365" spans="5:5" x14ac:dyDescent="0.25">
      <c r="E16365"/>
    </row>
    <row r="16366" spans="5:5" x14ac:dyDescent="0.25">
      <c r="E16366"/>
    </row>
    <row r="16367" spans="5:5" x14ac:dyDescent="0.25">
      <c r="E16367"/>
    </row>
    <row r="16368" spans="5:5" x14ac:dyDescent="0.25">
      <c r="E16368"/>
    </row>
    <row r="16369" spans="5:5" x14ac:dyDescent="0.25">
      <c r="E16369"/>
    </row>
    <row r="16370" spans="5:5" x14ac:dyDescent="0.25">
      <c r="E16370"/>
    </row>
    <row r="16371" spans="5:5" x14ac:dyDescent="0.25">
      <c r="E16371"/>
    </row>
    <row r="16372" spans="5:5" x14ac:dyDescent="0.25">
      <c r="E16372"/>
    </row>
    <row r="16373" spans="5:5" x14ac:dyDescent="0.25">
      <c r="E16373"/>
    </row>
    <row r="16374" spans="5:5" x14ac:dyDescent="0.25">
      <c r="E16374"/>
    </row>
    <row r="16375" spans="5:5" x14ac:dyDescent="0.25">
      <c r="E16375"/>
    </row>
    <row r="16376" spans="5:5" x14ac:dyDescent="0.25">
      <c r="E16376"/>
    </row>
    <row r="16377" spans="5:5" x14ac:dyDescent="0.25">
      <c r="E16377"/>
    </row>
    <row r="16378" spans="5:5" x14ac:dyDescent="0.25">
      <c r="E16378"/>
    </row>
    <row r="16379" spans="5:5" x14ac:dyDescent="0.25">
      <c r="E16379"/>
    </row>
    <row r="16380" spans="5:5" x14ac:dyDescent="0.25">
      <c r="E16380"/>
    </row>
    <row r="16381" spans="5:5" x14ac:dyDescent="0.25">
      <c r="E16381"/>
    </row>
    <row r="16382" spans="5:5" x14ac:dyDescent="0.25">
      <c r="E16382"/>
    </row>
    <row r="16383" spans="5:5" x14ac:dyDescent="0.25">
      <c r="E16383"/>
    </row>
    <row r="16384" spans="5:5" x14ac:dyDescent="0.25">
      <c r="E16384"/>
    </row>
    <row r="16385" spans="5:5" x14ac:dyDescent="0.25">
      <c r="E16385"/>
    </row>
    <row r="16386" spans="5:5" x14ac:dyDescent="0.25">
      <c r="E16386"/>
    </row>
    <row r="16387" spans="5:5" x14ac:dyDescent="0.25">
      <c r="E16387"/>
    </row>
    <row r="16388" spans="5:5" x14ac:dyDescent="0.25">
      <c r="E16388"/>
    </row>
    <row r="16389" spans="5:5" x14ac:dyDescent="0.25">
      <c r="E16389"/>
    </row>
    <row r="16390" spans="5:5" x14ac:dyDescent="0.25">
      <c r="E16390"/>
    </row>
    <row r="16391" spans="5:5" x14ac:dyDescent="0.25">
      <c r="E16391"/>
    </row>
    <row r="16392" spans="5:5" x14ac:dyDescent="0.25">
      <c r="E16392"/>
    </row>
    <row r="16393" spans="5:5" x14ac:dyDescent="0.25">
      <c r="E16393"/>
    </row>
    <row r="16394" spans="5:5" x14ac:dyDescent="0.25">
      <c r="E16394"/>
    </row>
    <row r="16395" spans="5:5" x14ac:dyDescent="0.25">
      <c r="E16395"/>
    </row>
    <row r="16396" spans="5:5" x14ac:dyDescent="0.25">
      <c r="E16396"/>
    </row>
    <row r="16397" spans="5:5" x14ac:dyDescent="0.25">
      <c r="E16397"/>
    </row>
    <row r="16398" spans="5:5" x14ac:dyDescent="0.25">
      <c r="E16398"/>
    </row>
    <row r="16399" spans="5:5" x14ac:dyDescent="0.25">
      <c r="E16399"/>
    </row>
    <row r="16400" spans="5:5" x14ac:dyDescent="0.25">
      <c r="E16400"/>
    </row>
    <row r="16401" spans="5:5" x14ac:dyDescent="0.25">
      <c r="E16401"/>
    </row>
    <row r="16402" spans="5:5" x14ac:dyDescent="0.25">
      <c r="E16402"/>
    </row>
    <row r="16403" spans="5:5" x14ac:dyDescent="0.25">
      <c r="E16403"/>
    </row>
    <row r="16404" spans="5:5" x14ac:dyDescent="0.25">
      <c r="E16404"/>
    </row>
    <row r="16405" spans="5:5" x14ac:dyDescent="0.25">
      <c r="E16405"/>
    </row>
    <row r="16406" spans="5:5" x14ac:dyDescent="0.25">
      <c r="E16406"/>
    </row>
    <row r="16407" spans="5:5" x14ac:dyDescent="0.25">
      <c r="E16407"/>
    </row>
    <row r="16408" spans="5:5" x14ac:dyDescent="0.25">
      <c r="E16408"/>
    </row>
    <row r="16409" spans="5:5" x14ac:dyDescent="0.25">
      <c r="E16409"/>
    </row>
    <row r="16410" spans="5:5" x14ac:dyDescent="0.25">
      <c r="E16410"/>
    </row>
    <row r="16411" spans="5:5" x14ac:dyDescent="0.25">
      <c r="E16411"/>
    </row>
    <row r="16412" spans="5:5" x14ac:dyDescent="0.25">
      <c r="E16412"/>
    </row>
    <row r="16413" spans="5:5" x14ac:dyDescent="0.25">
      <c r="E16413"/>
    </row>
    <row r="16414" spans="5:5" x14ac:dyDescent="0.25">
      <c r="E16414"/>
    </row>
    <row r="16415" spans="5:5" x14ac:dyDescent="0.25">
      <c r="E16415"/>
    </row>
    <row r="16416" spans="5:5" x14ac:dyDescent="0.25">
      <c r="E16416"/>
    </row>
    <row r="16417" spans="5:5" x14ac:dyDescent="0.25">
      <c r="E16417"/>
    </row>
    <row r="16418" spans="5:5" x14ac:dyDescent="0.25">
      <c r="E16418"/>
    </row>
    <row r="16419" spans="5:5" x14ac:dyDescent="0.25">
      <c r="E16419"/>
    </row>
    <row r="16420" spans="5:5" x14ac:dyDescent="0.25">
      <c r="E16420"/>
    </row>
    <row r="16421" spans="5:5" x14ac:dyDescent="0.25">
      <c r="E16421"/>
    </row>
    <row r="16422" spans="5:5" x14ac:dyDescent="0.25">
      <c r="E16422"/>
    </row>
    <row r="16423" spans="5:5" x14ac:dyDescent="0.25">
      <c r="E16423"/>
    </row>
    <row r="16424" spans="5:5" x14ac:dyDescent="0.25">
      <c r="E16424"/>
    </row>
    <row r="16425" spans="5:5" x14ac:dyDescent="0.25">
      <c r="E16425"/>
    </row>
    <row r="16426" spans="5:5" x14ac:dyDescent="0.25">
      <c r="E16426"/>
    </row>
    <row r="16427" spans="5:5" x14ac:dyDescent="0.25">
      <c r="E16427"/>
    </row>
    <row r="16428" spans="5:5" x14ac:dyDescent="0.25">
      <c r="E16428"/>
    </row>
    <row r="16429" spans="5:5" x14ac:dyDescent="0.25">
      <c r="E16429"/>
    </row>
    <row r="16430" spans="5:5" x14ac:dyDescent="0.25">
      <c r="E16430"/>
    </row>
    <row r="16431" spans="5:5" x14ac:dyDescent="0.25">
      <c r="E16431"/>
    </row>
    <row r="16432" spans="5:5" x14ac:dyDescent="0.25">
      <c r="E16432"/>
    </row>
    <row r="16433" spans="5:5" x14ac:dyDescent="0.25">
      <c r="E16433"/>
    </row>
    <row r="16434" spans="5:5" x14ac:dyDescent="0.25">
      <c r="E16434"/>
    </row>
    <row r="16435" spans="5:5" x14ac:dyDescent="0.25">
      <c r="E16435"/>
    </row>
    <row r="16436" spans="5:5" x14ac:dyDescent="0.25">
      <c r="E16436"/>
    </row>
    <row r="16437" spans="5:5" x14ac:dyDescent="0.25">
      <c r="E16437"/>
    </row>
    <row r="16438" spans="5:5" x14ac:dyDescent="0.25">
      <c r="E16438"/>
    </row>
    <row r="16439" spans="5:5" x14ac:dyDescent="0.25">
      <c r="E16439"/>
    </row>
    <row r="16440" spans="5:5" x14ac:dyDescent="0.25">
      <c r="E16440"/>
    </row>
    <row r="16441" spans="5:5" x14ac:dyDescent="0.25">
      <c r="E16441"/>
    </row>
    <row r="16442" spans="5:5" x14ac:dyDescent="0.25">
      <c r="E16442"/>
    </row>
    <row r="16443" spans="5:5" x14ac:dyDescent="0.25">
      <c r="E16443"/>
    </row>
    <row r="16444" spans="5:5" x14ac:dyDescent="0.25">
      <c r="E16444"/>
    </row>
    <row r="16445" spans="5:5" x14ac:dyDescent="0.25">
      <c r="E16445"/>
    </row>
    <row r="16446" spans="5:5" x14ac:dyDescent="0.25">
      <c r="E16446"/>
    </row>
    <row r="16447" spans="5:5" x14ac:dyDescent="0.25">
      <c r="E16447"/>
    </row>
    <row r="16448" spans="5:5" x14ac:dyDescent="0.25">
      <c r="E16448"/>
    </row>
    <row r="16449" spans="5:5" x14ac:dyDescent="0.25">
      <c r="E16449"/>
    </row>
    <row r="16450" spans="5:5" x14ac:dyDescent="0.25">
      <c r="E16450"/>
    </row>
    <row r="16451" spans="5:5" x14ac:dyDescent="0.25">
      <c r="E16451"/>
    </row>
    <row r="16452" spans="5:5" x14ac:dyDescent="0.25">
      <c r="E16452"/>
    </row>
    <row r="16453" spans="5:5" x14ac:dyDescent="0.25">
      <c r="E16453"/>
    </row>
    <row r="16454" spans="5:5" x14ac:dyDescent="0.25">
      <c r="E16454"/>
    </row>
    <row r="16455" spans="5:5" x14ac:dyDescent="0.25">
      <c r="E16455"/>
    </row>
    <row r="16456" spans="5:5" x14ac:dyDescent="0.25">
      <c r="E16456"/>
    </row>
    <row r="16457" spans="5:5" x14ac:dyDescent="0.25">
      <c r="E16457"/>
    </row>
    <row r="16458" spans="5:5" x14ac:dyDescent="0.25">
      <c r="E16458"/>
    </row>
    <row r="16459" spans="5:5" x14ac:dyDescent="0.25">
      <c r="E16459"/>
    </row>
    <row r="16460" spans="5:5" x14ac:dyDescent="0.25">
      <c r="E16460"/>
    </row>
    <row r="16461" spans="5:5" x14ac:dyDescent="0.25">
      <c r="E16461"/>
    </row>
    <row r="16462" spans="5:5" x14ac:dyDescent="0.25">
      <c r="E16462"/>
    </row>
    <row r="16463" spans="5:5" x14ac:dyDescent="0.25">
      <c r="E16463"/>
    </row>
    <row r="16464" spans="5:5" x14ac:dyDescent="0.25">
      <c r="E16464"/>
    </row>
    <row r="16465" spans="5:5" x14ac:dyDescent="0.25">
      <c r="E16465"/>
    </row>
    <row r="16466" spans="5:5" x14ac:dyDescent="0.25">
      <c r="E16466"/>
    </row>
    <row r="16467" spans="5:5" x14ac:dyDescent="0.25">
      <c r="E16467"/>
    </row>
    <row r="16468" spans="5:5" x14ac:dyDescent="0.25">
      <c r="E16468"/>
    </row>
    <row r="16469" spans="5:5" x14ac:dyDescent="0.25">
      <c r="E16469"/>
    </row>
    <row r="16470" spans="5:5" x14ac:dyDescent="0.25">
      <c r="E16470"/>
    </row>
    <row r="16471" spans="5:5" x14ac:dyDescent="0.25">
      <c r="E16471"/>
    </row>
    <row r="16472" spans="5:5" x14ac:dyDescent="0.25">
      <c r="E16472"/>
    </row>
    <row r="16473" spans="5:5" x14ac:dyDescent="0.25">
      <c r="E16473"/>
    </row>
    <row r="16474" spans="5:5" x14ac:dyDescent="0.25">
      <c r="E16474"/>
    </row>
    <row r="16475" spans="5:5" x14ac:dyDescent="0.25">
      <c r="E16475"/>
    </row>
    <row r="16476" spans="5:5" x14ac:dyDescent="0.25">
      <c r="E16476"/>
    </row>
    <row r="16477" spans="5:5" x14ac:dyDescent="0.25">
      <c r="E16477"/>
    </row>
    <row r="16478" spans="5:5" x14ac:dyDescent="0.25">
      <c r="E16478"/>
    </row>
    <row r="16479" spans="5:5" x14ac:dyDescent="0.25">
      <c r="E16479"/>
    </row>
    <row r="16480" spans="5:5" x14ac:dyDescent="0.25">
      <c r="E16480"/>
    </row>
    <row r="16481" spans="5:5" x14ac:dyDescent="0.25">
      <c r="E16481"/>
    </row>
    <row r="16482" spans="5:5" x14ac:dyDescent="0.25">
      <c r="E16482"/>
    </row>
    <row r="16483" spans="5:5" x14ac:dyDescent="0.25">
      <c r="E16483"/>
    </row>
    <row r="16484" spans="5:5" x14ac:dyDescent="0.25">
      <c r="E16484"/>
    </row>
    <row r="16485" spans="5:5" x14ac:dyDescent="0.25">
      <c r="E16485"/>
    </row>
    <row r="16486" spans="5:5" x14ac:dyDescent="0.25">
      <c r="E16486"/>
    </row>
    <row r="16487" spans="5:5" x14ac:dyDescent="0.25">
      <c r="E16487"/>
    </row>
    <row r="16488" spans="5:5" x14ac:dyDescent="0.25">
      <c r="E16488"/>
    </row>
    <row r="16489" spans="5:5" x14ac:dyDescent="0.25">
      <c r="E16489"/>
    </row>
    <row r="16490" spans="5:5" x14ac:dyDescent="0.25">
      <c r="E16490"/>
    </row>
    <row r="16491" spans="5:5" x14ac:dyDescent="0.25">
      <c r="E16491"/>
    </row>
    <row r="16492" spans="5:5" x14ac:dyDescent="0.25">
      <c r="E16492"/>
    </row>
    <row r="16493" spans="5:5" x14ac:dyDescent="0.25">
      <c r="E16493"/>
    </row>
    <row r="16494" spans="5:5" x14ac:dyDescent="0.25">
      <c r="E16494"/>
    </row>
    <row r="16495" spans="5:5" x14ac:dyDescent="0.25">
      <c r="E16495"/>
    </row>
    <row r="16496" spans="5:5" x14ac:dyDescent="0.25">
      <c r="E16496"/>
    </row>
    <row r="16497" spans="5:5" x14ac:dyDescent="0.25">
      <c r="E16497"/>
    </row>
    <row r="16498" spans="5:5" x14ac:dyDescent="0.25">
      <c r="E16498"/>
    </row>
    <row r="16499" spans="5:5" x14ac:dyDescent="0.25">
      <c r="E16499"/>
    </row>
    <row r="16500" spans="5:5" x14ac:dyDescent="0.25">
      <c r="E16500"/>
    </row>
    <row r="16501" spans="5:5" x14ac:dyDescent="0.25">
      <c r="E16501"/>
    </row>
    <row r="16502" spans="5:5" x14ac:dyDescent="0.25">
      <c r="E16502"/>
    </row>
    <row r="16503" spans="5:5" x14ac:dyDescent="0.25">
      <c r="E16503"/>
    </row>
    <row r="16504" spans="5:5" x14ac:dyDescent="0.25">
      <c r="E16504"/>
    </row>
    <row r="16505" spans="5:5" x14ac:dyDescent="0.25">
      <c r="E16505"/>
    </row>
    <row r="16506" spans="5:5" x14ac:dyDescent="0.25">
      <c r="E16506"/>
    </row>
    <row r="16507" spans="5:5" x14ac:dyDescent="0.25">
      <c r="E16507"/>
    </row>
    <row r="16508" spans="5:5" x14ac:dyDescent="0.25">
      <c r="E16508"/>
    </row>
    <row r="16509" spans="5:5" x14ac:dyDescent="0.25">
      <c r="E16509"/>
    </row>
    <row r="16510" spans="5:5" x14ac:dyDescent="0.25">
      <c r="E16510"/>
    </row>
    <row r="16511" spans="5:5" x14ac:dyDescent="0.25">
      <c r="E16511"/>
    </row>
    <row r="16512" spans="5:5" x14ac:dyDescent="0.25">
      <c r="E16512"/>
    </row>
    <row r="16513" spans="5:5" x14ac:dyDescent="0.25">
      <c r="E16513"/>
    </row>
    <row r="16514" spans="5:5" x14ac:dyDescent="0.25">
      <c r="E16514"/>
    </row>
    <row r="16515" spans="5:5" x14ac:dyDescent="0.25">
      <c r="E16515"/>
    </row>
    <row r="16516" spans="5:5" x14ac:dyDescent="0.25">
      <c r="E16516"/>
    </row>
    <row r="16517" spans="5:5" x14ac:dyDescent="0.25">
      <c r="E16517"/>
    </row>
    <row r="16518" spans="5:5" x14ac:dyDescent="0.25">
      <c r="E16518"/>
    </row>
    <row r="16519" spans="5:5" x14ac:dyDescent="0.25">
      <c r="E16519"/>
    </row>
    <row r="16520" spans="5:5" x14ac:dyDescent="0.25">
      <c r="E16520"/>
    </row>
    <row r="16521" spans="5:5" x14ac:dyDescent="0.25">
      <c r="E16521"/>
    </row>
    <row r="16522" spans="5:5" x14ac:dyDescent="0.25">
      <c r="E16522"/>
    </row>
    <row r="16523" spans="5:5" x14ac:dyDescent="0.25">
      <c r="E16523"/>
    </row>
    <row r="16524" spans="5:5" x14ac:dyDescent="0.25">
      <c r="E16524"/>
    </row>
    <row r="16525" spans="5:5" x14ac:dyDescent="0.25">
      <c r="E16525"/>
    </row>
    <row r="16526" spans="5:5" x14ac:dyDescent="0.25">
      <c r="E16526"/>
    </row>
    <row r="16527" spans="5:5" x14ac:dyDescent="0.25">
      <c r="E16527"/>
    </row>
    <row r="16528" spans="5:5" x14ac:dyDescent="0.25">
      <c r="E16528"/>
    </row>
    <row r="16529" spans="5:5" x14ac:dyDescent="0.25">
      <c r="E16529"/>
    </row>
    <row r="16530" spans="5:5" x14ac:dyDescent="0.25">
      <c r="E16530"/>
    </row>
    <row r="16531" spans="5:5" x14ac:dyDescent="0.25">
      <c r="E16531"/>
    </row>
    <row r="16532" spans="5:5" x14ac:dyDescent="0.25">
      <c r="E16532"/>
    </row>
    <row r="16533" spans="5:5" x14ac:dyDescent="0.25">
      <c r="E16533"/>
    </row>
    <row r="16534" spans="5:5" x14ac:dyDescent="0.25">
      <c r="E16534"/>
    </row>
    <row r="16535" spans="5:5" x14ac:dyDescent="0.25">
      <c r="E16535"/>
    </row>
    <row r="16536" spans="5:5" x14ac:dyDescent="0.25">
      <c r="E16536"/>
    </row>
    <row r="16537" spans="5:5" x14ac:dyDescent="0.25">
      <c r="E16537"/>
    </row>
    <row r="16538" spans="5:5" x14ac:dyDescent="0.25">
      <c r="E16538"/>
    </row>
    <row r="16539" spans="5:5" x14ac:dyDescent="0.25">
      <c r="E16539"/>
    </row>
    <row r="16540" spans="5:5" x14ac:dyDescent="0.25">
      <c r="E16540"/>
    </row>
    <row r="16541" spans="5:5" x14ac:dyDescent="0.25">
      <c r="E16541"/>
    </row>
    <row r="16542" spans="5:5" x14ac:dyDescent="0.25">
      <c r="E16542"/>
    </row>
    <row r="16543" spans="5:5" x14ac:dyDescent="0.25">
      <c r="E16543"/>
    </row>
    <row r="16544" spans="5:5" x14ac:dyDescent="0.25">
      <c r="E16544"/>
    </row>
    <row r="16545" spans="5:5" x14ac:dyDescent="0.25">
      <c r="E16545"/>
    </row>
    <row r="16546" spans="5:5" x14ac:dyDescent="0.25">
      <c r="E16546"/>
    </row>
    <row r="16547" spans="5:5" x14ac:dyDescent="0.25">
      <c r="E16547"/>
    </row>
    <row r="16548" spans="5:5" x14ac:dyDescent="0.25">
      <c r="E16548"/>
    </row>
    <row r="16549" spans="5:5" x14ac:dyDescent="0.25">
      <c r="E16549"/>
    </row>
    <row r="16550" spans="5:5" x14ac:dyDescent="0.25">
      <c r="E16550"/>
    </row>
    <row r="16551" spans="5:5" x14ac:dyDescent="0.25">
      <c r="E16551"/>
    </row>
    <row r="16552" spans="5:5" x14ac:dyDescent="0.25">
      <c r="E16552"/>
    </row>
    <row r="16553" spans="5:5" x14ac:dyDescent="0.25">
      <c r="E16553"/>
    </row>
    <row r="16554" spans="5:5" x14ac:dyDescent="0.25">
      <c r="E16554"/>
    </row>
    <row r="16555" spans="5:5" x14ac:dyDescent="0.25">
      <c r="E16555"/>
    </row>
    <row r="16556" spans="5:5" x14ac:dyDescent="0.25">
      <c r="E16556"/>
    </row>
    <row r="16557" spans="5:5" x14ac:dyDescent="0.25">
      <c r="E16557"/>
    </row>
    <row r="16558" spans="5:5" x14ac:dyDescent="0.25">
      <c r="E16558"/>
    </row>
    <row r="16559" spans="5:5" x14ac:dyDescent="0.25">
      <c r="E16559"/>
    </row>
    <row r="16560" spans="5:5" x14ac:dyDescent="0.25">
      <c r="E16560"/>
    </row>
    <row r="16561" spans="5:5" x14ac:dyDescent="0.25">
      <c r="E16561"/>
    </row>
    <row r="16562" spans="5:5" x14ac:dyDescent="0.25">
      <c r="E16562"/>
    </row>
    <row r="16563" spans="5:5" x14ac:dyDescent="0.25">
      <c r="E16563"/>
    </row>
    <row r="16564" spans="5:5" x14ac:dyDescent="0.25">
      <c r="E16564"/>
    </row>
    <row r="16565" spans="5:5" x14ac:dyDescent="0.25">
      <c r="E16565"/>
    </row>
    <row r="16566" spans="5:5" x14ac:dyDescent="0.25">
      <c r="E16566"/>
    </row>
    <row r="16567" spans="5:5" x14ac:dyDescent="0.25">
      <c r="E16567"/>
    </row>
    <row r="16568" spans="5:5" x14ac:dyDescent="0.25">
      <c r="E16568"/>
    </row>
    <row r="16569" spans="5:5" x14ac:dyDescent="0.25">
      <c r="E16569"/>
    </row>
    <row r="16570" spans="5:5" x14ac:dyDescent="0.25">
      <c r="E16570"/>
    </row>
    <row r="16571" spans="5:5" x14ac:dyDescent="0.25">
      <c r="E16571"/>
    </row>
    <row r="16572" spans="5:5" x14ac:dyDescent="0.25">
      <c r="E16572"/>
    </row>
    <row r="16573" spans="5:5" x14ac:dyDescent="0.25">
      <c r="E16573"/>
    </row>
    <row r="16574" spans="5:5" x14ac:dyDescent="0.25">
      <c r="E16574"/>
    </row>
    <row r="16575" spans="5:5" x14ac:dyDescent="0.25">
      <c r="E16575"/>
    </row>
    <row r="16576" spans="5:5" x14ac:dyDescent="0.25">
      <c r="E16576"/>
    </row>
    <row r="16577" spans="5:5" x14ac:dyDescent="0.25">
      <c r="E16577"/>
    </row>
    <row r="16578" spans="5:5" x14ac:dyDescent="0.25">
      <c r="E16578"/>
    </row>
    <row r="16579" spans="5:5" x14ac:dyDescent="0.25">
      <c r="E16579"/>
    </row>
    <row r="16580" spans="5:5" x14ac:dyDescent="0.25">
      <c r="E16580"/>
    </row>
    <row r="16581" spans="5:5" x14ac:dyDescent="0.25">
      <c r="E16581"/>
    </row>
    <row r="16582" spans="5:5" x14ac:dyDescent="0.25">
      <c r="E16582"/>
    </row>
    <row r="16583" spans="5:5" x14ac:dyDescent="0.25">
      <c r="E16583"/>
    </row>
    <row r="16584" spans="5:5" x14ac:dyDescent="0.25">
      <c r="E16584"/>
    </row>
    <row r="16585" spans="5:5" x14ac:dyDescent="0.25">
      <c r="E16585"/>
    </row>
    <row r="16586" spans="5:5" x14ac:dyDescent="0.25">
      <c r="E16586"/>
    </row>
    <row r="16587" spans="5:5" x14ac:dyDescent="0.25">
      <c r="E16587"/>
    </row>
    <row r="16588" spans="5:5" x14ac:dyDescent="0.25">
      <c r="E16588"/>
    </row>
    <row r="16589" spans="5:5" x14ac:dyDescent="0.25">
      <c r="E16589"/>
    </row>
    <row r="16590" spans="5:5" x14ac:dyDescent="0.25">
      <c r="E16590"/>
    </row>
    <row r="16591" spans="5:5" x14ac:dyDescent="0.25">
      <c r="E16591"/>
    </row>
    <row r="16592" spans="5:5" x14ac:dyDescent="0.25">
      <c r="E16592"/>
    </row>
    <row r="16593" spans="5:5" x14ac:dyDescent="0.25">
      <c r="E16593"/>
    </row>
    <row r="16594" spans="5:5" x14ac:dyDescent="0.25">
      <c r="E16594"/>
    </row>
    <row r="16595" spans="5:5" x14ac:dyDescent="0.25">
      <c r="E16595"/>
    </row>
    <row r="16596" spans="5:5" x14ac:dyDescent="0.25">
      <c r="E16596"/>
    </row>
    <row r="16597" spans="5:5" x14ac:dyDescent="0.25">
      <c r="E16597"/>
    </row>
    <row r="16598" spans="5:5" x14ac:dyDescent="0.25">
      <c r="E16598"/>
    </row>
    <row r="16599" spans="5:5" x14ac:dyDescent="0.25">
      <c r="E16599"/>
    </row>
    <row r="16600" spans="5:5" x14ac:dyDescent="0.25">
      <c r="E16600"/>
    </row>
    <row r="16601" spans="5:5" x14ac:dyDescent="0.25">
      <c r="E16601"/>
    </row>
    <row r="16602" spans="5:5" x14ac:dyDescent="0.25">
      <c r="E16602"/>
    </row>
    <row r="16603" spans="5:5" x14ac:dyDescent="0.25">
      <c r="E16603"/>
    </row>
    <row r="16604" spans="5:5" x14ac:dyDescent="0.25">
      <c r="E16604"/>
    </row>
    <row r="16605" spans="5:5" x14ac:dyDescent="0.25">
      <c r="E16605"/>
    </row>
    <row r="16606" spans="5:5" x14ac:dyDescent="0.25">
      <c r="E16606"/>
    </row>
    <row r="16607" spans="5:5" x14ac:dyDescent="0.25">
      <c r="E16607"/>
    </row>
    <row r="16608" spans="5:5" x14ac:dyDescent="0.25">
      <c r="E16608"/>
    </row>
    <row r="16609" spans="5:5" x14ac:dyDescent="0.25">
      <c r="E16609"/>
    </row>
    <row r="16610" spans="5:5" x14ac:dyDescent="0.25">
      <c r="E16610"/>
    </row>
    <row r="16611" spans="5:5" x14ac:dyDescent="0.25">
      <c r="E16611"/>
    </row>
    <row r="16612" spans="5:5" x14ac:dyDescent="0.25">
      <c r="E16612"/>
    </row>
    <row r="16613" spans="5:5" x14ac:dyDescent="0.25">
      <c r="E16613"/>
    </row>
    <row r="16614" spans="5:5" x14ac:dyDescent="0.25">
      <c r="E16614"/>
    </row>
    <row r="16615" spans="5:5" x14ac:dyDescent="0.25">
      <c r="E16615"/>
    </row>
    <row r="16616" spans="5:5" x14ac:dyDescent="0.25">
      <c r="E16616"/>
    </row>
    <row r="16617" spans="5:5" x14ac:dyDescent="0.25">
      <c r="E16617"/>
    </row>
    <row r="16618" spans="5:5" x14ac:dyDescent="0.25">
      <c r="E16618"/>
    </row>
    <row r="16619" spans="5:5" x14ac:dyDescent="0.25">
      <c r="E16619"/>
    </row>
    <row r="16620" spans="5:5" x14ac:dyDescent="0.25">
      <c r="E16620"/>
    </row>
    <row r="16621" spans="5:5" x14ac:dyDescent="0.25">
      <c r="E16621"/>
    </row>
    <row r="16622" spans="5:5" x14ac:dyDescent="0.25">
      <c r="E16622"/>
    </row>
    <row r="16623" spans="5:5" x14ac:dyDescent="0.25">
      <c r="E16623"/>
    </row>
    <row r="16624" spans="5:5" x14ac:dyDescent="0.25">
      <c r="E16624"/>
    </row>
    <row r="16625" spans="5:5" x14ac:dyDescent="0.25">
      <c r="E16625"/>
    </row>
    <row r="16626" spans="5:5" x14ac:dyDescent="0.25">
      <c r="E16626"/>
    </row>
    <row r="16627" spans="5:5" x14ac:dyDescent="0.25">
      <c r="E16627"/>
    </row>
    <row r="16628" spans="5:5" x14ac:dyDescent="0.25">
      <c r="E16628"/>
    </row>
    <row r="16629" spans="5:5" x14ac:dyDescent="0.25">
      <c r="E16629"/>
    </row>
    <row r="16630" spans="5:5" x14ac:dyDescent="0.25">
      <c r="E16630"/>
    </row>
    <row r="16631" spans="5:5" x14ac:dyDescent="0.25">
      <c r="E16631"/>
    </row>
    <row r="16632" spans="5:5" x14ac:dyDescent="0.25">
      <c r="E16632"/>
    </row>
    <row r="16633" spans="5:5" x14ac:dyDescent="0.25">
      <c r="E16633"/>
    </row>
    <row r="16634" spans="5:5" x14ac:dyDescent="0.25">
      <c r="E16634"/>
    </row>
    <row r="16635" spans="5:5" x14ac:dyDescent="0.25">
      <c r="E16635"/>
    </row>
    <row r="16636" spans="5:5" x14ac:dyDescent="0.25">
      <c r="E16636"/>
    </row>
    <row r="16637" spans="5:5" x14ac:dyDescent="0.25">
      <c r="E16637"/>
    </row>
    <row r="16638" spans="5:5" x14ac:dyDescent="0.25">
      <c r="E16638"/>
    </row>
    <row r="16639" spans="5:5" x14ac:dyDescent="0.25">
      <c r="E16639"/>
    </row>
    <row r="16640" spans="5:5" x14ac:dyDescent="0.25">
      <c r="E16640"/>
    </row>
    <row r="16641" spans="5:5" x14ac:dyDescent="0.25">
      <c r="E16641"/>
    </row>
    <row r="16642" spans="5:5" x14ac:dyDescent="0.25">
      <c r="E16642"/>
    </row>
    <row r="16643" spans="5:5" x14ac:dyDescent="0.25">
      <c r="E16643"/>
    </row>
    <row r="16644" spans="5:5" x14ac:dyDescent="0.25">
      <c r="E16644"/>
    </row>
    <row r="16645" spans="5:5" x14ac:dyDescent="0.25">
      <c r="E16645"/>
    </row>
    <row r="16646" spans="5:5" x14ac:dyDescent="0.25">
      <c r="E16646"/>
    </row>
    <row r="16647" spans="5:5" x14ac:dyDescent="0.25">
      <c r="E16647"/>
    </row>
    <row r="16648" spans="5:5" x14ac:dyDescent="0.25">
      <c r="E16648"/>
    </row>
    <row r="16649" spans="5:5" x14ac:dyDescent="0.25">
      <c r="E16649"/>
    </row>
    <row r="16650" spans="5:5" x14ac:dyDescent="0.25">
      <c r="E16650"/>
    </row>
    <row r="16651" spans="5:5" x14ac:dyDescent="0.25">
      <c r="E16651"/>
    </row>
    <row r="16652" spans="5:5" x14ac:dyDescent="0.25">
      <c r="E16652"/>
    </row>
    <row r="16653" spans="5:5" x14ac:dyDescent="0.25">
      <c r="E16653"/>
    </row>
    <row r="16654" spans="5:5" x14ac:dyDescent="0.25">
      <c r="E16654"/>
    </row>
    <row r="16655" spans="5:5" x14ac:dyDescent="0.25">
      <c r="E16655"/>
    </row>
    <row r="16656" spans="5:5" x14ac:dyDescent="0.25">
      <c r="E16656"/>
    </row>
    <row r="16657" spans="5:5" x14ac:dyDescent="0.25">
      <c r="E16657"/>
    </row>
    <row r="16658" spans="5:5" x14ac:dyDescent="0.25">
      <c r="E16658"/>
    </row>
    <row r="16659" spans="5:5" x14ac:dyDescent="0.25">
      <c r="E16659"/>
    </row>
    <row r="16660" spans="5:5" x14ac:dyDescent="0.25">
      <c r="E16660"/>
    </row>
    <row r="16661" spans="5:5" x14ac:dyDescent="0.25">
      <c r="E16661"/>
    </row>
    <row r="16662" spans="5:5" x14ac:dyDescent="0.25">
      <c r="E16662"/>
    </row>
    <row r="16663" spans="5:5" x14ac:dyDescent="0.25">
      <c r="E16663"/>
    </row>
    <row r="16664" spans="5:5" x14ac:dyDescent="0.25">
      <c r="E16664"/>
    </row>
    <row r="16665" spans="5:5" x14ac:dyDescent="0.25">
      <c r="E16665"/>
    </row>
    <row r="16666" spans="5:5" x14ac:dyDescent="0.25">
      <c r="E16666"/>
    </row>
    <row r="16667" spans="5:5" x14ac:dyDescent="0.25">
      <c r="E16667"/>
    </row>
    <row r="16668" spans="5:5" x14ac:dyDescent="0.25">
      <c r="E16668"/>
    </row>
    <row r="16669" spans="5:5" x14ac:dyDescent="0.25">
      <c r="E16669"/>
    </row>
    <row r="16670" spans="5:5" x14ac:dyDescent="0.25">
      <c r="E16670"/>
    </row>
    <row r="16671" spans="5:5" x14ac:dyDescent="0.25">
      <c r="E16671"/>
    </row>
    <row r="16672" spans="5:5" x14ac:dyDescent="0.25">
      <c r="E16672"/>
    </row>
    <row r="16673" spans="5:5" x14ac:dyDescent="0.25">
      <c r="E16673"/>
    </row>
    <row r="16674" spans="5:5" x14ac:dyDescent="0.25">
      <c r="E16674"/>
    </row>
    <row r="16675" spans="5:5" x14ac:dyDescent="0.25">
      <c r="E16675"/>
    </row>
    <row r="16676" spans="5:5" x14ac:dyDescent="0.25">
      <c r="E16676"/>
    </row>
    <row r="16677" spans="5:5" x14ac:dyDescent="0.25">
      <c r="E16677"/>
    </row>
    <row r="16678" spans="5:5" x14ac:dyDescent="0.25">
      <c r="E16678"/>
    </row>
    <row r="16679" spans="5:5" x14ac:dyDescent="0.25">
      <c r="E16679"/>
    </row>
    <row r="16680" spans="5:5" x14ac:dyDescent="0.25">
      <c r="E16680"/>
    </row>
    <row r="16681" spans="5:5" x14ac:dyDescent="0.25">
      <c r="E16681"/>
    </row>
    <row r="16682" spans="5:5" x14ac:dyDescent="0.25">
      <c r="E16682"/>
    </row>
    <row r="16683" spans="5:5" x14ac:dyDescent="0.25">
      <c r="E16683"/>
    </row>
    <row r="16684" spans="5:5" x14ac:dyDescent="0.25">
      <c r="E16684"/>
    </row>
    <row r="16685" spans="5:5" x14ac:dyDescent="0.25">
      <c r="E16685"/>
    </row>
    <row r="16686" spans="5:5" x14ac:dyDescent="0.25">
      <c r="E16686"/>
    </row>
    <row r="16687" spans="5:5" x14ac:dyDescent="0.25">
      <c r="E16687"/>
    </row>
    <row r="16688" spans="5:5" x14ac:dyDescent="0.25">
      <c r="E16688"/>
    </row>
    <row r="16689" spans="5:5" x14ac:dyDescent="0.25">
      <c r="E16689"/>
    </row>
    <row r="16690" spans="5:5" x14ac:dyDescent="0.25">
      <c r="E16690"/>
    </row>
    <row r="16691" spans="5:5" x14ac:dyDescent="0.25">
      <c r="E16691"/>
    </row>
    <row r="16692" spans="5:5" x14ac:dyDescent="0.25">
      <c r="E16692"/>
    </row>
    <row r="16693" spans="5:5" x14ac:dyDescent="0.25">
      <c r="E16693"/>
    </row>
    <row r="16694" spans="5:5" x14ac:dyDescent="0.25">
      <c r="E16694"/>
    </row>
    <row r="16695" spans="5:5" x14ac:dyDescent="0.25">
      <c r="E16695"/>
    </row>
    <row r="16696" spans="5:5" x14ac:dyDescent="0.25">
      <c r="E16696"/>
    </row>
    <row r="16697" spans="5:5" x14ac:dyDescent="0.25">
      <c r="E16697"/>
    </row>
    <row r="16698" spans="5:5" x14ac:dyDescent="0.25">
      <c r="E16698"/>
    </row>
    <row r="16699" spans="5:5" x14ac:dyDescent="0.25">
      <c r="E16699"/>
    </row>
    <row r="16700" spans="5:5" x14ac:dyDescent="0.25">
      <c r="E16700"/>
    </row>
    <row r="16701" spans="5:5" x14ac:dyDescent="0.25">
      <c r="E16701"/>
    </row>
    <row r="16702" spans="5:5" x14ac:dyDescent="0.25">
      <c r="E16702"/>
    </row>
    <row r="16703" spans="5:5" x14ac:dyDescent="0.25">
      <c r="E16703"/>
    </row>
    <row r="16704" spans="5:5" x14ac:dyDescent="0.25">
      <c r="E16704"/>
    </row>
    <row r="16705" spans="5:5" x14ac:dyDescent="0.25">
      <c r="E16705"/>
    </row>
    <row r="16706" spans="5:5" x14ac:dyDescent="0.25">
      <c r="E16706"/>
    </row>
    <row r="16707" spans="5:5" x14ac:dyDescent="0.25">
      <c r="E16707"/>
    </row>
    <row r="16708" spans="5:5" x14ac:dyDescent="0.25">
      <c r="E16708"/>
    </row>
    <row r="16709" spans="5:5" x14ac:dyDescent="0.25">
      <c r="E16709"/>
    </row>
    <row r="16710" spans="5:5" x14ac:dyDescent="0.25">
      <c r="E16710"/>
    </row>
    <row r="16711" spans="5:5" x14ac:dyDescent="0.25">
      <c r="E16711"/>
    </row>
    <row r="16712" spans="5:5" x14ac:dyDescent="0.25">
      <c r="E16712"/>
    </row>
    <row r="16713" spans="5:5" x14ac:dyDescent="0.25">
      <c r="E16713"/>
    </row>
    <row r="16714" spans="5:5" x14ac:dyDescent="0.25">
      <c r="E16714"/>
    </row>
    <row r="16715" spans="5:5" x14ac:dyDescent="0.25">
      <c r="E16715"/>
    </row>
    <row r="16716" spans="5:5" x14ac:dyDescent="0.25">
      <c r="E16716"/>
    </row>
    <row r="16717" spans="5:5" x14ac:dyDescent="0.25">
      <c r="E16717"/>
    </row>
    <row r="16718" spans="5:5" x14ac:dyDescent="0.25">
      <c r="E16718"/>
    </row>
    <row r="16719" spans="5:5" x14ac:dyDescent="0.25">
      <c r="E16719"/>
    </row>
    <row r="16720" spans="5:5" x14ac:dyDescent="0.25">
      <c r="E16720"/>
    </row>
    <row r="16721" spans="5:5" x14ac:dyDescent="0.25">
      <c r="E16721"/>
    </row>
    <row r="16722" spans="5:5" x14ac:dyDescent="0.25">
      <c r="E16722"/>
    </row>
    <row r="16723" spans="5:5" x14ac:dyDescent="0.25">
      <c r="E16723"/>
    </row>
    <row r="16724" spans="5:5" x14ac:dyDescent="0.25">
      <c r="E16724"/>
    </row>
    <row r="16725" spans="5:5" x14ac:dyDescent="0.25">
      <c r="E16725"/>
    </row>
    <row r="16726" spans="5:5" x14ac:dyDescent="0.25">
      <c r="E16726"/>
    </row>
    <row r="16727" spans="5:5" x14ac:dyDescent="0.25">
      <c r="E16727"/>
    </row>
    <row r="16728" spans="5:5" x14ac:dyDescent="0.25">
      <c r="E16728"/>
    </row>
    <row r="16729" spans="5:5" x14ac:dyDescent="0.25">
      <c r="E16729"/>
    </row>
    <row r="16730" spans="5:5" x14ac:dyDescent="0.25">
      <c r="E16730"/>
    </row>
    <row r="16731" spans="5:5" x14ac:dyDescent="0.25">
      <c r="E16731"/>
    </row>
    <row r="16732" spans="5:5" x14ac:dyDescent="0.25">
      <c r="E16732"/>
    </row>
    <row r="16733" spans="5:5" x14ac:dyDescent="0.25">
      <c r="E16733"/>
    </row>
    <row r="16734" spans="5:5" x14ac:dyDescent="0.25">
      <c r="E16734"/>
    </row>
    <row r="16735" spans="5:5" x14ac:dyDescent="0.25">
      <c r="E16735"/>
    </row>
    <row r="16736" spans="5:5" x14ac:dyDescent="0.25">
      <c r="E16736"/>
    </row>
    <row r="16737" spans="5:5" x14ac:dyDescent="0.25">
      <c r="E16737"/>
    </row>
    <row r="16738" spans="5:5" x14ac:dyDescent="0.25">
      <c r="E16738"/>
    </row>
    <row r="16739" spans="5:5" x14ac:dyDescent="0.25">
      <c r="E16739"/>
    </row>
    <row r="16740" spans="5:5" x14ac:dyDescent="0.25">
      <c r="E16740"/>
    </row>
    <row r="16741" spans="5:5" x14ac:dyDescent="0.25">
      <c r="E16741"/>
    </row>
    <row r="16742" spans="5:5" x14ac:dyDescent="0.25">
      <c r="E16742"/>
    </row>
    <row r="16743" spans="5:5" x14ac:dyDescent="0.25">
      <c r="E16743"/>
    </row>
    <row r="16744" spans="5:5" x14ac:dyDescent="0.25">
      <c r="E16744"/>
    </row>
    <row r="16745" spans="5:5" x14ac:dyDescent="0.25">
      <c r="E16745"/>
    </row>
    <row r="16746" spans="5:5" x14ac:dyDescent="0.25">
      <c r="E16746"/>
    </row>
    <row r="16747" spans="5:5" x14ac:dyDescent="0.25">
      <c r="E16747"/>
    </row>
    <row r="16748" spans="5:5" x14ac:dyDescent="0.25">
      <c r="E16748"/>
    </row>
    <row r="16749" spans="5:5" x14ac:dyDescent="0.25">
      <c r="E16749"/>
    </row>
    <row r="16750" spans="5:5" x14ac:dyDescent="0.25">
      <c r="E16750"/>
    </row>
    <row r="16751" spans="5:5" x14ac:dyDescent="0.25">
      <c r="E16751"/>
    </row>
    <row r="16752" spans="5:5" x14ac:dyDescent="0.25">
      <c r="E16752"/>
    </row>
    <row r="16753" spans="5:5" x14ac:dyDescent="0.25">
      <c r="E16753"/>
    </row>
    <row r="16754" spans="5:5" x14ac:dyDescent="0.25">
      <c r="E16754"/>
    </row>
    <row r="16755" spans="5:5" x14ac:dyDescent="0.25">
      <c r="E16755"/>
    </row>
    <row r="16756" spans="5:5" x14ac:dyDescent="0.25">
      <c r="E16756"/>
    </row>
    <row r="16757" spans="5:5" x14ac:dyDescent="0.25">
      <c r="E16757"/>
    </row>
  </sheetData>
  <mergeCells count="4">
    <mergeCell ref="A1:K3"/>
    <mergeCell ref="N1:O1"/>
    <mergeCell ref="N2:O2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8"/>
  <sheetViews>
    <sheetView topLeftCell="D195" workbookViewId="0"/>
  </sheetViews>
  <sheetFormatPr defaultRowHeight="15" x14ac:dyDescent="0.25"/>
  <cols>
    <col min="1" max="1" width="9.7109375" bestFit="1" customWidth="1"/>
    <col min="2" max="2" width="18.42578125" bestFit="1" customWidth="1"/>
    <col min="3" max="3" width="12.140625" bestFit="1" customWidth="1"/>
    <col min="4" max="4" width="22.42578125" bestFit="1" customWidth="1"/>
    <col min="5" max="5" width="12" bestFit="1" customWidth="1"/>
    <col min="6" max="6" width="22.42578125" customWidth="1"/>
    <col min="7" max="7" width="21" bestFit="1" customWidth="1"/>
    <col min="8" max="8" width="8.7109375" bestFit="1" customWidth="1"/>
    <col min="9" max="9" width="15.140625" bestFit="1" customWidth="1"/>
    <col min="10" max="10" width="17.28515625" bestFit="1" customWidth="1"/>
    <col min="11" max="11" width="18.28515625" bestFit="1" customWidth="1"/>
    <col min="12" max="12" width="17.28515625" bestFit="1" customWidth="1"/>
    <col min="13" max="13" width="22.140625" bestFit="1" customWidth="1"/>
    <col min="14" max="14" width="9.7109375" bestFit="1" customWidth="1"/>
    <col min="15" max="15" width="20.5703125" bestFit="1" customWidth="1"/>
    <col min="16" max="16" width="11.5703125" bestFit="1" customWidth="1"/>
    <col min="17" max="17" width="18.140625" bestFit="1" customWidth="1"/>
    <col min="18" max="18" width="12.7109375" bestFit="1" customWidth="1"/>
    <col min="19" max="19" width="14.140625" bestFit="1" customWidth="1"/>
  </cols>
  <sheetData>
    <row r="1" spans="1:19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22</v>
      </c>
      <c r="O1" t="s">
        <v>47</v>
      </c>
      <c r="P1" t="s">
        <v>739</v>
      </c>
      <c r="Q1" t="s">
        <v>48</v>
      </c>
      <c r="R1" t="s">
        <v>49</v>
      </c>
      <c r="S1" s="7" t="s">
        <v>53</v>
      </c>
    </row>
    <row r="2" spans="1:19" x14ac:dyDescent="0.25">
      <c r="A2" s="4" t="s">
        <v>61</v>
      </c>
      <c r="B2" s="4" t="s">
        <v>59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26</v>
      </c>
      <c r="I2" s="5">
        <v>90000000</v>
      </c>
      <c r="J2" s="5">
        <v>40000</v>
      </c>
      <c r="K2" s="5">
        <v>4000</v>
      </c>
      <c r="L2" s="4" t="s">
        <v>67</v>
      </c>
      <c r="M2" s="4" t="s">
        <v>68</v>
      </c>
      <c r="N2" s="3">
        <v>45870</v>
      </c>
      <c r="O2" s="4" t="s">
        <v>51</v>
      </c>
      <c r="P2" s="2">
        <v>1000</v>
      </c>
      <c r="Q2" s="2">
        <v>2</v>
      </c>
      <c r="R2" s="4" t="s">
        <v>746</v>
      </c>
      <c r="S2" s="5">
        <v>90000000</v>
      </c>
    </row>
    <row r="3" spans="1:19" x14ac:dyDescent="0.25">
      <c r="A3" s="4" t="s">
        <v>61</v>
      </c>
      <c r="B3" s="4" t="s">
        <v>59</v>
      </c>
      <c r="C3" s="4" t="s">
        <v>62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26</v>
      </c>
      <c r="I3" s="5">
        <v>90000000</v>
      </c>
      <c r="J3" s="5">
        <v>40000</v>
      </c>
      <c r="K3" s="5">
        <v>4000</v>
      </c>
      <c r="L3" s="4" t="s">
        <v>67</v>
      </c>
      <c r="M3" s="4" t="s">
        <v>68</v>
      </c>
      <c r="N3" s="3">
        <v>45870</v>
      </c>
      <c r="O3" s="4" t="s">
        <v>154</v>
      </c>
      <c r="P3" s="2">
        <v>1000</v>
      </c>
      <c r="Q3" s="2">
        <v>2</v>
      </c>
      <c r="R3" s="4" t="s">
        <v>746</v>
      </c>
      <c r="S3" s="5">
        <v>90000000</v>
      </c>
    </row>
    <row r="4" spans="1:19" x14ac:dyDescent="0.25">
      <c r="A4" s="4" t="s">
        <v>61</v>
      </c>
      <c r="B4" s="4" t="s">
        <v>59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26</v>
      </c>
      <c r="I4" s="5">
        <v>90000000</v>
      </c>
      <c r="J4" s="5">
        <v>40000</v>
      </c>
      <c r="K4" s="5">
        <v>4000</v>
      </c>
      <c r="L4" s="4" t="s">
        <v>67</v>
      </c>
      <c r="M4" s="4" t="s">
        <v>68</v>
      </c>
      <c r="N4" s="3">
        <v>45870</v>
      </c>
      <c r="O4" s="4" t="s">
        <v>283</v>
      </c>
      <c r="P4" s="2">
        <v>1000</v>
      </c>
      <c r="Q4" s="2">
        <v>2</v>
      </c>
      <c r="R4" s="4" t="s">
        <v>746</v>
      </c>
      <c r="S4" s="5">
        <v>90000000</v>
      </c>
    </row>
    <row r="5" spans="1:19" x14ac:dyDescent="0.25">
      <c r="A5" s="4" t="s">
        <v>61</v>
      </c>
      <c r="B5" s="4" t="s">
        <v>59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66</v>
      </c>
      <c r="H5" s="4" t="s">
        <v>26</v>
      </c>
      <c r="I5" s="5">
        <v>90000000</v>
      </c>
      <c r="J5" s="5">
        <v>40000</v>
      </c>
      <c r="K5" s="5">
        <v>4000</v>
      </c>
      <c r="L5" s="4" t="s">
        <v>67</v>
      </c>
      <c r="M5" s="4" t="s">
        <v>68</v>
      </c>
      <c r="N5" s="3">
        <v>45870</v>
      </c>
      <c r="O5" s="4" t="s">
        <v>432</v>
      </c>
      <c r="P5" s="2">
        <v>1000</v>
      </c>
      <c r="Q5" s="2">
        <v>2</v>
      </c>
      <c r="R5" s="4" t="s">
        <v>746</v>
      </c>
      <c r="S5" s="5">
        <v>90000000</v>
      </c>
    </row>
    <row r="6" spans="1:19" x14ac:dyDescent="0.25">
      <c r="A6" s="4" t="s">
        <v>61</v>
      </c>
      <c r="B6" s="4" t="s">
        <v>59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26</v>
      </c>
      <c r="I6" s="5">
        <v>90000000</v>
      </c>
      <c r="J6" s="5">
        <v>40000</v>
      </c>
      <c r="K6" s="5">
        <v>4000</v>
      </c>
      <c r="L6" s="4" t="s">
        <v>67</v>
      </c>
      <c r="M6" s="4" t="s">
        <v>68</v>
      </c>
      <c r="N6" s="3">
        <v>45870</v>
      </c>
      <c r="O6" s="4" t="s">
        <v>532</v>
      </c>
      <c r="P6" s="2">
        <v>1000</v>
      </c>
      <c r="Q6" s="2">
        <v>2</v>
      </c>
      <c r="R6" s="4" t="s">
        <v>746</v>
      </c>
      <c r="S6" s="5">
        <v>90000000</v>
      </c>
    </row>
    <row r="7" spans="1:19" x14ac:dyDescent="0.25">
      <c r="A7" s="4" t="s">
        <v>61</v>
      </c>
      <c r="B7" s="4" t="s">
        <v>59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26</v>
      </c>
      <c r="I7" s="5">
        <v>90000000</v>
      </c>
      <c r="J7" s="5">
        <v>40000</v>
      </c>
      <c r="K7" s="5">
        <v>4000</v>
      </c>
      <c r="L7" s="4" t="s">
        <v>67</v>
      </c>
      <c r="M7" s="4" t="s">
        <v>68</v>
      </c>
      <c r="N7" s="3">
        <v>45870</v>
      </c>
      <c r="O7" s="4" t="s">
        <v>565</v>
      </c>
      <c r="P7" s="2">
        <v>1000</v>
      </c>
      <c r="Q7" s="2">
        <v>2</v>
      </c>
      <c r="R7" s="4" t="s">
        <v>746</v>
      </c>
      <c r="S7" s="5">
        <v>90000000</v>
      </c>
    </row>
    <row r="8" spans="1:19" x14ac:dyDescent="0.25">
      <c r="A8" s="4" t="s">
        <v>61</v>
      </c>
      <c r="B8" s="4" t="s">
        <v>59</v>
      </c>
      <c r="C8" s="4" t="s">
        <v>62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26</v>
      </c>
      <c r="I8" s="5">
        <v>90000000</v>
      </c>
      <c r="J8" s="5">
        <v>40000</v>
      </c>
      <c r="K8" s="5">
        <v>4000</v>
      </c>
      <c r="L8" s="4" t="s">
        <v>67</v>
      </c>
      <c r="M8" s="4" t="s">
        <v>68</v>
      </c>
      <c r="N8" s="3">
        <v>45870</v>
      </c>
      <c r="O8" s="4" t="s">
        <v>584</v>
      </c>
      <c r="P8" s="2">
        <v>1000</v>
      </c>
      <c r="Q8" s="2">
        <v>2</v>
      </c>
      <c r="R8" s="4" t="s">
        <v>746</v>
      </c>
      <c r="S8" s="5">
        <v>90000000</v>
      </c>
    </row>
    <row r="9" spans="1:19" x14ac:dyDescent="0.25">
      <c r="A9" s="4" t="s">
        <v>61</v>
      </c>
      <c r="B9" s="4" t="s">
        <v>59</v>
      </c>
      <c r="C9" s="4" t="s">
        <v>62</v>
      </c>
      <c r="D9" s="4" t="s">
        <v>63</v>
      </c>
      <c r="E9" s="4" t="s">
        <v>464</v>
      </c>
      <c r="F9" s="4" t="s">
        <v>465</v>
      </c>
      <c r="G9" s="4" t="s">
        <v>190</v>
      </c>
      <c r="H9" s="4" t="s">
        <v>26</v>
      </c>
      <c r="I9" s="5">
        <v>90000000</v>
      </c>
      <c r="J9" s="5">
        <v>40000</v>
      </c>
      <c r="K9" s="5">
        <v>4000</v>
      </c>
      <c r="L9" s="4" t="s">
        <v>67</v>
      </c>
      <c r="M9" s="4" t="s">
        <v>68</v>
      </c>
      <c r="N9" s="3">
        <v>45870</v>
      </c>
      <c r="O9" s="4" t="s">
        <v>671</v>
      </c>
      <c r="P9" s="2">
        <v>1000</v>
      </c>
      <c r="Q9" s="2">
        <v>2</v>
      </c>
      <c r="R9" s="4" t="s">
        <v>746</v>
      </c>
      <c r="S9" s="5">
        <v>81637020</v>
      </c>
    </row>
    <row r="10" spans="1:19" x14ac:dyDescent="0.25">
      <c r="A10" s="4" t="s">
        <v>61</v>
      </c>
      <c r="B10" s="4" t="s">
        <v>59</v>
      </c>
      <c r="C10" s="4" t="s">
        <v>62</v>
      </c>
      <c r="D10" s="4" t="s">
        <v>63</v>
      </c>
      <c r="E10" s="4" t="s">
        <v>464</v>
      </c>
      <c r="F10" s="4" t="s">
        <v>465</v>
      </c>
      <c r="G10" s="4" t="s">
        <v>190</v>
      </c>
      <c r="H10" s="4" t="s">
        <v>26</v>
      </c>
      <c r="I10" s="5">
        <v>90000000</v>
      </c>
      <c r="J10" s="5">
        <v>40000</v>
      </c>
      <c r="K10" s="5">
        <v>4000</v>
      </c>
      <c r="L10" s="4" t="s">
        <v>67</v>
      </c>
      <c r="M10" s="4" t="s">
        <v>68</v>
      </c>
      <c r="N10" s="3">
        <v>45870</v>
      </c>
      <c r="O10" s="4" t="s">
        <v>672</v>
      </c>
      <c r="P10" s="2">
        <v>1000</v>
      </c>
      <c r="Q10" s="2">
        <v>2</v>
      </c>
      <c r="R10" s="4" t="s">
        <v>746</v>
      </c>
      <c r="S10" s="5">
        <v>81637020</v>
      </c>
    </row>
    <row r="11" spans="1:19" x14ac:dyDescent="0.25">
      <c r="A11" s="4" t="s">
        <v>61</v>
      </c>
      <c r="B11" s="4" t="s">
        <v>59</v>
      </c>
      <c r="C11" s="4" t="s">
        <v>62</v>
      </c>
      <c r="D11" s="4" t="s">
        <v>63</v>
      </c>
      <c r="E11" s="4" t="s">
        <v>464</v>
      </c>
      <c r="F11" s="4" t="s">
        <v>465</v>
      </c>
      <c r="G11" s="4" t="s">
        <v>190</v>
      </c>
      <c r="H11" s="4" t="s">
        <v>26</v>
      </c>
      <c r="I11" s="5">
        <v>90000000</v>
      </c>
      <c r="J11" s="5">
        <v>40000</v>
      </c>
      <c r="K11" s="5">
        <v>4000</v>
      </c>
      <c r="L11" s="4" t="s">
        <v>67</v>
      </c>
      <c r="M11" s="4" t="s">
        <v>68</v>
      </c>
      <c r="N11" s="3">
        <v>45870</v>
      </c>
      <c r="O11" s="4" t="s">
        <v>673</v>
      </c>
      <c r="P11" s="2">
        <v>1000</v>
      </c>
      <c r="Q11" s="2">
        <v>2</v>
      </c>
      <c r="R11" s="4" t="s">
        <v>746</v>
      </c>
      <c r="S11" s="5">
        <v>81637020</v>
      </c>
    </row>
    <row r="12" spans="1:19" x14ac:dyDescent="0.25">
      <c r="A12" s="4" t="s">
        <v>61</v>
      </c>
      <c r="B12" s="4" t="s">
        <v>59</v>
      </c>
      <c r="C12" s="4" t="s">
        <v>62</v>
      </c>
      <c r="D12" s="4" t="s">
        <v>63</v>
      </c>
      <c r="E12" s="4" t="s">
        <v>464</v>
      </c>
      <c r="F12" s="4" t="s">
        <v>465</v>
      </c>
      <c r="G12" s="4" t="s">
        <v>190</v>
      </c>
      <c r="H12" s="4" t="s">
        <v>26</v>
      </c>
      <c r="I12" s="5">
        <v>90000000</v>
      </c>
      <c r="J12" s="5">
        <v>40000</v>
      </c>
      <c r="K12" s="5">
        <v>4000</v>
      </c>
      <c r="L12" s="4" t="s">
        <v>67</v>
      </c>
      <c r="M12" s="4" t="s">
        <v>68</v>
      </c>
      <c r="N12" s="3">
        <v>45870</v>
      </c>
      <c r="O12" s="4" t="s">
        <v>676</v>
      </c>
      <c r="P12" s="2">
        <v>1000</v>
      </c>
      <c r="Q12" s="2">
        <v>2</v>
      </c>
      <c r="R12" s="4" t="s">
        <v>746</v>
      </c>
      <c r="S12" s="5">
        <v>81637020</v>
      </c>
    </row>
    <row r="13" spans="1:19" x14ac:dyDescent="0.25">
      <c r="A13" s="4" t="s">
        <v>61</v>
      </c>
      <c r="B13" s="4" t="s">
        <v>59</v>
      </c>
      <c r="C13" s="4" t="s">
        <v>62</v>
      </c>
      <c r="D13" s="4" t="s">
        <v>63</v>
      </c>
      <c r="E13" s="4" t="s">
        <v>688</v>
      </c>
      <c r="F13" s="4" t="s">
        <v>689</v>
      </c>
      <c r="G13" s="4" t="s">
        <v>381</v>
      </c>
      <c r="H13" s="4" t="s">
        <v>26</v>
      </c>
      <c r="I13" s="5">
        <v>90000000</v>
      </c>
      <c r="J13" s="5">
        <v>40000</v>
      </c>
      <c r="K13" s="5">
        <v>4000</v>
      </c>
      <c r="L13" s="4" t="s">
        <v>67</v>
      </c>
      <c r="M13" s="4" t="s">
        <v>68</v>
      </c>
      <c r="N13" s="3">
        <v>45870</v>
      </c>
      <c r="O13" s="4" t="s">
        <v>690</v>
      </c>
      <c r="P13" s="2">
        <v>1000</v>
      </c>
      <c r="Q13" s="2">
        <v>2</v>
      </c>
      <c r="R13" s="4" t="s">
        <v>746</v>
      </c>
      <c r="S13" s="5">
        <v>90000000</v>
      </c>
    </row>
    <row r="14" spans="1:19" x14ac:dyDescent="0.25">
      <c r="A14" s="4" t="s">
        <v>61</v>
      </c>
      <c r="B14" s="4" t="s">
        <v>59</v>
      </c>
      <c r="C14" s="4" t="s">
        <v>62</v>
      </c>
      <c r="D14" s="4" t="s">
        <v>63</v>
      </c>
      <c r="E14" s="4" t="s">
        <v>464</v>
      </c>
      <c r="F14" s="4" t="s">
        <v>465</v>
      </c>
      <c r="G14" s="4" t="s">
        <v>190</v>
      </c>
      <c r="H14" s="4" t="s">
        <v>26</v>
      </c>
      <c r="I14" s="5">
        <v>90000000</v>
      </c>
      <c r="J14" s="5">
        <v>40000</v>
      </c>
      <c r="K14" s="5">
        <v>4000</v>
      </c>
      <c r="L14" s="4" t="s">
        <v>67</v>
      </c>
      <c r="M14" s="4" t="s">
        <v>68</v>
      </c>
      <c r="N14" s="3">
        <v>45870</v>
      </c>
      <c r="O14" s="4" t="s">
        <v>698</v>
      </c>
      <c r="P14" s="2">
        <v>1000</v>
      </c>
      <c r="Q14" s="2">
        <v>2</v>
      </c>
      <c r="R14" s="4" t="s">
        <v>746</v>
      </c>
      <c r="S14" s="5">
        <v>81637020</v>
      </c>
    </row>
    <row r="15" spans="1:19" x14ac:dyDescent="0.25">
      <c r="A15" s="4" t="s">
        <v>61</v>
      </c>
      <c r="B15" s="4" t="s">
        <v>59</v>
      </c>
      <c r="C15" s="4" t="s">
        <v>62</v>
      </c>
      <c r="D15" s="4" t="s">
        <v>63</v>
      </c>
      <c r="E15" s="4" t="s">
        <v>464</v>
      </c>
      <c r="F15" s="4" t="s">
        <v>465</v>
      </c>
      <c r="G15" s="4" t="s">
        <v>190</v>
      </c>
      <c r="H15" s="4" t="s">
        <v>26</v>
      </c>
      <c r="I15" s="5">
        <v>90000000</v>
      </c>
      <c r="J15" s="5">
        <v>40000</v>
      </c>
      <c r="K15" s="5">
        <v>4000</v>
      </c>
      <c r="L15" s="4" t="s">
        <v>67</v>
      </c>
      <c r="M15" s="4" t="s">
        <v>68</v>
      </c>
      <c r="N15" s="3">
        <v>45870</v>
      </c>
      <c r="O15" s="4" t="s">
        <v>709</v>
      </c>
      <c r="P15" s="2">
        <v>1000</v>
      </c>
      <c r="Q15" s="2">
        <v>2</v>
      </c>
      <c r="R15" s="4" t="s">
        <v>746</v>
      </c>
      <c r="S15" s="5">
        <v>81637020</v>
      </c>
    </row>
    <row r="16" spans="1:19" x14ac:dyDescent="0.25">
      <c r="A16" s="4" t="s">
        <v>61</v>
      </c>
      <c r="B16" s="4" t="s">
        <v>59</v>
      </c>
      <c r="C16" s="4" t="s">
        <v>62</v>
      </c>
      <c r="D16" s="4" t="s">
        <v>63</v>
      </c>
      <c r="E16" s="4" t="s">
        <v>464</v>
      </c>
      <c r="F16" s="4" t="s">
        <v>465</v>
      </c>
      <c r="G16" s="4" t="s">
        <v>190</v>
      </c>
      <c r="H16" s="4" t="s">
        <v>26</v>
      </c>
      <c r="I16" s="5">
        <v>90000000</v>
      </c>
      <c r="J16" s="5">
        <v>40000</v>
      </c>
      <c r="K16" s="5">
        <v>4000</v>
      </c>
      <c r="L16" s="4" t="s">
        <v>67</v>
      </c>
      <c r="M16" s="4" t="s">
        <v>68</v>
      </c>
      <c r="N16" s="3">
        <v>45870</v>
      </c>
      <c r="O16" s="4" t="s">
        <v>716</v>
      </c>
      <c r="P16" s="2">
        <v>1000</v>
      </c>
      <c r="Q16" s="2">
        <v>2</v>
      </c>
      <c r="R16" s="4" t="s">
        <v>746</v>
      </c>
      <c r="S16" s="5">
        <v>81637020</v>
      </c>
    </row>
    <row r="17" spans="1:19" x14ac:dyDescent="0.25">
      <c r="A17" s="4" t="s">
        <v>61</v>
      </c>
      <c r="B17" s="4" t="s">
        <v>59</v>
      </c>
      <c r="C17" s="4" t="s">
        <v>62</v>
      </c>
      <c r="D17" s="4" t="s">
        <v>63</v>
      </c>
      <c r="E17" s="4" t="s">
        <v>464</v>
      </c>
      <c r="F17" s="4" t="s">
        <v>465</v>
      </c>
      <c r="G17" s="4" t="s">
        <v>190</v>
      </c>
      <c r="H17" s="4" t="s">
        <v>26</v>
      </c>
      <c r="I17" s="5">
        <v>90000000</v>
      </c>
      <c r="J17" s="5">
        <v>40000</v>
      </c>
      <c r="K17" s="5">
        <v>4000</v>
      </c>
      <c r="L17" s="4" t="s">
        <v>67</v>
      </c>
      <c r="M17" s="4" t="s">
        <v>68</v>
      </c>
      <c r="N17" s="3">
        <v>45870</v>
      </c>
      <c r="O17" s="4" t="s">
        <v>719</v>
      </c>
      <c r="P17" s="2">
        <v>1000</v>
      </c>
      <c r="Q17" s="2">
        <v>2</v>
      </c>
      <c r="R17" s="4" t="s">
        <v>746</v>
      </c>
      <c r="S17" s="5">
        <v>81637020</v>
      </c>
    </row>
    <row r="18" spans="1:19" x14ac:dyDescent="0.25">
      <c r="A18" s="4" t="s">
        <v>61</v>
      </c>
      <c r="B18" s="4" t="s">
        <v>59</v>
      </c>
      <c r="C18" s="4" t="s">
        <v>62</v>
      </c>
      <c r="D18" s="4" t="s">
        <v>63</v>
      </c>
      <c r="E18" s="4" t="s">
        <v>688</v>
      </c>
      <c r="F18" s="4" t="s">
        <v>689</v>
      </c>
      <c r="G18" s="4" t="s">
        <v>381</v>
      </c>
      <c r="H18" s="4" t="s">
        <v>26</v>
      </c>
      <c r="I18" s="5">
        <v>90000000</v>
      </c>
      <c r="J18" s="5">
        <v>40000</v>
      </c>
      <c r="K18" s="5">
        <v>4000</v>
      </c>
      <c r="L18" s="4" t="s">
        <v>67</v>
      </c>
      <c r="M18" s="4" t="s">
        <v>68</v>
      </c>
      <c r="N18" s="3">
        <v>45870</v>
      </c>
      <c r="O18" s="4" t="s">
        <v>732</v>
      </c>
      <c r="P18" s="2">
        <v>1000</v>
      </c>
      <c r="Q18" s="2">
        <v>2</v>
      </c>
      <c r="R18" s="4" t="s">
        <v>746</v>
      </c>
      <c r="S18" s="5">
        <v>90000000</v>
      </c>
    </row>
    <row r="19" spans="1:19" x14ac:dyDescent="0.25">
      <c r="A19" s="4" t="s">
        <v>61</v>
      </c>
      <c r="B19" s="4" t="s">
        <v>59</v>
      </c>
      <c r="C19" s="4" t="s">
        <v>62</v>
      </c>
      <c r="D19" s="4" t="s">
        <v>63</v>
      </c>
      <c r="E19" s="4" t="s">
        <v>688</v>
      </c>
      <c r="F19" s="4" t="s">
        <v>689</v>
      </c>
      <c r="G19" s="4" t="s">
        <v>381</v>
      </c>
      <c r="H19" s="4" t="s">
        <v>26</v>
      </c>
      <c r="I19" s="5">
        <v>90000000</v>
      </c>
      <c r="J19" s="5">
        <v>40000</v>
      </c>
      <c r="K19" s="5">
        <v>4000</v>
      </c>
      <c r="L19" s="4" t="s">
        <v>67</v>
      </c>
      <c r="M19" s="4" t="s">
        <v>68</v>
      </c>
      <c r="N19" s="3">
        <v>45870</v>
      </c>
      <c r="O19" s="4" t="s">
        <v>733</v>
      </c>
      <c r="P19" s="2">
        <v>1000</v>
      </c>
      <c r="Q19" s="2">
        <v>2</v>
      </c>
      <c r="R19" s="4" t="s">
        <v>746</v>
      </c>
      <c r="S19" s="5">
        <v>90000000</v>
      </c>
    </row>
    <row r="20" spans="1:19" x14ac:dyDescent="0.25">
      <c r="A20" s="4" t="s">
        <v>61</v>
      </c>
      <c r="B20" s="4" t="s">
        <v>59</v>
      </c>
      <c r="C20" s="4" t="s">
        <v>62</v>
      </c>
      <c r="D20" s="4" t="s">
        <v>63</v>
      </c>
      <c r="E20" s="4" t="s">
        <v>64</v>
      </c>
      <c r="F20" s="4" t="s">
        <v>65</v>
      </c>
      <c r="G20" s="4" t="s">
        <v>66</v>
      </c>
      <c r="H20" s="4" t="s">
        <v>26</v>
      </c>
      <c r="I20" s="5">
        <v>90000000</v>
      </c>
      <c r="J20" s="5">
        <v>-40000</v>
      </c>
      <c r="K20" s="5">
        <v>-4000</v>
      </c>
      <c r="L20" s="4" t="s">
        <v>67</v>
      </c>
      <c r="M20" s="4" t="s">
        <v>68</v>
      </c>
      <c r="N20" s="3">
        <v>45870</v>
      </c>
      <c r="O20" s="4" t="s">
        <v>51</v>
      </c>
      <c r="P20" s="2">
        <v>1000</v>
      </c>
      <c r="Q20" s="2">
        <v>3</v>
      </c>
      <c r="R20" s="4" t="s">
        <v>746</v>
      </c>
      <c r="S20" s="5">
        <v>90000000</v>
      </c>
    </row>
    <row r="21" spans="1:19" x14ac:dyDescent="0.25">
      <c r="A21" s="4" t="s">
        <v>61</v>
      </c>
      <c r="B21" s="4" t="s">
        <v>59</v>
      </c>
      <c r="C21" s="4" t="s">
        <v>62</v>
      </c>
      <c r="D21" s="4" t="s">
        <v>63</v>
      </c>
      <c r="E21" s="4" t="s">
        <v>64</v>
      </c>
      <c r="F21" s="4" t="s">
        <v>65</v>
      </c>
      <c r="G21" s="4" t="s">
        <v>66</v>
      </c>
      <c r="H21" s="4" t="s">
        <v>26</v>
      </c>
      <c r="I21" s="5">
        <v>90000000</v>
      </c>
      <c r="J21" s="5">
        <v>-40000</v>
      </c>
      <c r="K21" s="5">
        <v>-4000</v>
      </c>
      <c r="L21" s="4" t="s">
        <v>67</v>
      </c>
      <c r="M21" s="4" t="s">
        <v>68</v>
      </c>
      <c r="N21" s="3">
        <v>45870</v>
      </c>
      <c r="O21" s="4" t="s">
        <v>154</v>
      </c>
      <c r="P21" s="2">
        <v>1000</v>
      </c>
      <c r="Q21" s="2">
        <v>3</v>
      </c>
      <c r="R21" s="4" t="s">
        <v>746</v>
      </c>
      <c r="S21" s="5">
        <v>90000000</v>
      </c>
    </row>
    <row r="22" spans="1:19" x14ac:dyDescent="0.25">
      <c r="A22" s="4" t="s">
        <v>61</v>
      </c>
      <c r="B22" s="4" t="s">
        <v>59</v>
      </c>
      <c r="C22" s="4" t="s">
        <v>62</v>
      </c>
      <c r="D22" s="4" t="s">
        <v>63</v>
      </c>
      <c r="E22" s="4" t="s">
        <v>64</v>
      </c>
      <c r="F22" s="4" t="s">
        <v>65</v>
      </c>
      <c r="G22" s="4" t="s">
        <v>66</v>
      </c>
      <c r="H22" s="4" t="s">
        <v>26</v>
      </c>
      <c r="I22" s="5">
        <v>90000000</v>
      </c>
      <c r="J22" s="5">
        <v>-40000</v>
      </c>
      <c r="K22" s="5">
        <v>-4000</v>
      </c>
      <c r="L22" s="4" t="s">
        <v>67</v>
      </c>
      <c r="M22" s="4" t="s">
        <v>68</v>
      </c>
      <c r="N22" s="3">
        <v>45870</v>
      </c>
      <c r="O22" s="4" t="s">
        <v>283</v>
      </c>
      <c r="P22" s="2">
        <v>1000</v>
      </c>
      <c r="Q22" s="2">
        <v>3</v>
      </c>
      <c r="R22" s="4" t="s">
        <v>746</v>
      </c>
      <c r="S22" s="5">
        <v>90000000</v>
      </c>
    </row>
    <row r="23" spans="1:19" x14ac:dyDescent="0.25">
      <c r="A23" s="4" t="s">
        <v>61</v>
      </c>
      <c r="B23" s="4" t="s">
        <v>59</v>
      </c>
      <c r="C23" s="4" t="s">
        <v>62</v>
      </c>
      <c r="D23" s="4" t="s">
        <v>63</v>
      </c>
      <c r="E23" s="4" t="s">
        <v>64</v>
      </c>
      <c r="F23" s="4" t="s">
        <v>65</v>
      </c>
      <c r="G23" s="4" t="s">
        <v>66</v>
      </c>
      <c r="H23" s="4" t="s">
        <v>26</v>
      </c>
      <c r="I23" s="5">
        <v>90000000</v>
      </c>
      <c r="J23" s="5">
        <v>-40000</v>
      </c>
      <c r="K23" s="5">
        <v>-4000</v>
      </c>
      <c r="L23" s="4" t="s">
        <v>67</v>
      </c>
      <c r="M23" s="4" t="s">
        <v>68</v>
      </c>
      <c r="N23" s="3">
        <v>45870</v>
      </c>
      <c r="O23" s="4" t="s">
        <v>432</v>
      </c>
      <c r="P23" s="2">
        <v>1000</v>
      </c>
      <c r="Q23" s="2">
        <v>3</v>
      </c>
      <c r="R23" s="4" t="s">
        <v>746</v>
      </c>
      <c r="S23" s="5">
        <v>90000000</v>
      </c>
    </row>
    <row r="24" spans="1:19" x14ac:dyDescent="0.25">
      <c r="A24" s="4" t="s">
        <v>61</v>
      </c>
      <c r="B24" s="4" t="s">
        <v>59</v>
      </c>
      <c r="C24" s="4" t="s">
        <v>62</v>
      </c>
      <c r="D24" s="4" t="s">
        <v>63</v>
      </c>
      <c r="E24" s="4" t="s">
        <v>64</v>
      </c>
      <c r="F24" s="4" t="s">
        <v>65</v>
      </c>
      <c r="G24" s="4" t="s">
        <v>66</v>
      </c>
      <c r="H24" s="4" t="s">
        <v>26</v>
      </c>
      <c r="I24" s="5">
        <v>90000000</v>
      </c>
      <c r="J24" s="5">
        <v>-40000</v>
      </c>
      <c r="K24" s="5">
        <v>-4000</v>
      </c>
      <c r="L24" s="4" t="s">
        <v>67</v>
      </c>
      <c r="M24" s="4" t="s">
        <v>68</v>
      </c>
      <c r="N24" s="3">
        <v>45870</v>
      </c>
      <c r="O24" s="4" t="s">
        <v>565</v>
      </c>
      <c r="P24" s="2">
        <v>1000</v>
      </c>
      <c r="Q24" s="2">
        <v>3</v>
      </c>
      <c r="R24" s="4" t="s">
        <v>746</v>
      </c>
      <c r="S24" s="5">
        <v>90000000</v>
      </c>
    </row>
    <row r="25" spans="1:19" x14ac:dyDescent="0.25">
      <c r="A25" s="4" t="s">
        <v>61</v>
      </c>
      <c r="B25" s="4" t="s">
        <v>59</v>
      </c>
      <c r="C25" s="4" t="s">
        <v>62</v>
      </c>
      <c r="D25" s="4" t="s">
        <v>63</v>
      </c>
      <c r="E25" s="4" t="s">
        <v>64</v>
      </c>
      <c r="F25" s="4" t="s">
        <v>65</v>
      </c>
      <c r="G25" s="4" t="s">
        <v>66</v>
      </c>
      <c r="H25" s="4" t="s">
        <v>26</v>
      </c>
      <c r="I25" s="5">
        <v>90000000</v>
      </c>
      <c r="J25" s="5">
        <v>-40000</v>
      </c>
      <c r="K25" s="5">
        <v>-4000</v>
      </c>
      <c r="L25" s="4" t="s">
        <v>67</v>
      </c>
      <c r="M25" s="4" t="s">
        <v>68</v>
      </c>
      <c r="N25" s="3">
        <v>45870</v>
      </c>
      <c r="O25" s="4" t="s">
        <v>584</v>
      </c>
      <c r="P25" s="2">
        <v>1000</v>
      </c>
      <c r="Q25" s="2">
        <v>3</v>
      </c>
      <c r="R25" s="4" t="s">
        <v>746</v>
      </c>
      <c r="S25" s="5">
        <v>90000000</v>
      </c>
    </row>
    <row r="26" spans="1:19" x14ac:dyDescent="0.25">
      <c r="A26" s="4" t="s">
        <v>61</v>
      </c>
      <c r="B26" s="4" t="s">
        <v>59</v>
      </c>
      <c r="C26" s="4" t="s">
        <v>62</v>
      </c>
      <c r="D26" s="4" t="s">
        <v>63</v>
      </c>
      <c r="E26" s="4" t="s">
        <v>284</v>
      </c>
      <c r="F26" s="4" t="s">
        <v>285</v>
      </c>
      <c r="G26" s="4" t="s">
        <v>286</v>
      </c>
      <c r="H26" s="4" t="s">
        <v>26</v>
      </c>
      <c r="I26" s="5">
        <v>110000000</v>
      </c>
      <c r="J26" s="5">
        <v>40000</v>
      </c>
      <c r="K26" s="5">
        <v>4000</v>
      </c>
      <c r="L26" s="4" t="s">
        <v>67</v>
      </c>
      <c r="M26" s="4" t="s">
        <v>68</v>
      </c>
      <c r="N26" s="3">
        <v>45870</v>
      </c>
      <c r="O26" s="4" t="s">
        <v>639</v>
      </c>
      <c r="P26" s="2">
        <v>1000</v>
      </c>
      <c r="Q26" s="2">
        <v>3</v>
      </c>
      <c r="R26" s="4" t="s">
        <v>746</v>
      </c>
      <c r="S26" s="5">
        <v>108405000</v>
      </c>
    </row>
    <row r="27" spans="1:19" x14ac:dyDescent="0.25">
      <c r="A27" s="4" t="s">
        <v>61</v>
      </c>
      <c r="B27" s="4" t="s">
        <v>59</v>
      </c>
      <c r="C27" s="4" t="s">
        <v>62</v>
      </c>
      <c r="D27" s="4" t="s">
        <v>63</v>
      </c>
      <c r="E27" s="4" t="s">
        <v>464</v>
      </c>
      <c r="F27" s="4" t="s">
        <v>465</v>
      </c>
      <c r="G27" s="4" t="s">
        <v>190</v>
      </c>
      <c r="H27" s="4" t="s">
        <v>26</v>
      </c>
      <c r="I27" s="5">
        <v>90000000</v>
      </c>
      <c r="J27" s="5">
        <v>-40000</v>
      </c>
      <c r="K27" s="5">
        <v>-4000</v>
      </c>
      <c r="L27" s="4" t="s">
        <v>67</v>
      </c>
      <c r="M27" s="4" t="s">
        <v>68</v>
      </c>
      <c r="N27" s="3">
        <v>45870</v>
      </c>
      <c r="O27" s="4" t="s">
        <v>671</v>
      </c>
      <c r="P27" s="2">
        <v>1000</v>
      </c>
      <c r="Q27" s="2">
        <v>3</v>
      </c>
      <c r="R27" s="4" t="s">
        <v>746</v>
      </c>
      <c r="S27" s="5">
        <v>81637020</v>
      </c>
    </row>
    <row r="28" spans="1:19" x14ac:dyDescent="0.25">
      <c r="A28" s="4" t="s">
        <v>61</v>
      </c>
      <c r="B28" s="4" t="s">
        <v>59</v>
      </c>
      <c r="C28" s="4" t="s">
        <v>62</v>
      </c>
      <c r="D28" s="4" t="s">
        <v>63</v>
      </c>
      <c r="E28" s="4" t="s">
        <v>464</v>
      </c>
      <c r="F28" s="4" t="s">
        <v>465</v>
      </c>
      <c r="G28" s="4" t="s">
        <v>190</v>
      </c>
      <c r="H28" s="4" t="s">
        <v>26</v>
      </c>
      <c r="I28" s="5">
        <v>90000000</v>
      </c>
      <c r="J28" s="5">
        <v>-40000</v>
      </c>
      <c r="K28" s="5">
        <v>-4000</v>
      </c>
      <c r="L28" s="4" t="s">
        <v>67</v>
      </c>
      <c r="M28" s="4" t="s">
        <v>68</v>
      </c>
      <c r="N28" s="3">
        <v>45870</v>
      </c>
      <c r="O28" s="4" t="s">
        <v>672</v>
      </c>
      <c r="P28" s="2">
        <v>1000</v>
      </c>
      <c r="Q28" s="2">
        <v>3</v>
      </c>
      <c r="R28" s="4" t="s">
        <v>746</v>
      </c>
      <c r="S28" s="5">
        <v>81637020</v>
      </c>
    </row>
    <row r="29" spans="1:19" x14ac:dyDescent="0.25">
      <c r="A29" s="4" t="s">
        <v>61</v>
      </c>
      <c r="B29" s="4" t="s">
        <v>59</v>
      </c>
      <c r="C29" s="4" t="s">
        <v>62</v>
      </c>
      <c r="D29" s="4" t="s">
        <v>63</v>
      </c>
      <c r="E29" s="4" t="s">
        <v>464</v>
      </c>
      <c r="F29" s="4" t="s">
        <v>465</v>
      </c>
      <c r="G29" s="4" t="s">
        <v>190</v>
      </c>
      <c r="H29" s="4" t="s">
        <v>26</v>
      </c>
      <c r="I29" s="5">
        <v>90000000</v>
      </c>
      <c r="J29" s="5">
        <v>-40000</v>
      </c>
      <c r="K29" s="5">
        <v>-4000</v>
      </c>
      <c r="L29" s="4" t="s">
        <v>67</v>
      </c>
      <c r="M29" s="4" t="s">
        <v>68</v>
      </c>
      <c r="N29" s="3">
        <v>45870</v>
      </c>
      <c r="O29" s="4" t="s">
        <v>676</v>
      </c>
      <c r="P29" s="2">
        <v>1000</v>
      </c>
      <c r="Q29" s="2">
        <v>3</v>
      </c>
      <c r="R29" s="4" t="s">
        <v>746</v>
      </c>
      <c r="S29" s="5">
        <v>81637020</v>
      </c>
    </row>
    <row r="30" spans="1:19" x14ac:dyDescent="0.25">
      <c r="A30" s="4" t="s">
        <v>61</v>
      </c>
      <c r="B30" s="4" t="s">
        <v>59</v>
      </c>
      <c r="C30" s="4" t="s">
        <v>62</v>
      </c>
      <c r="D30" s="4" t="s">
        <v>63</v>
      </c>
      <c r="E30" s="4" t="s">
        <v>688</v>
      </c>
      <c r="F30" s="4" t="s">
        <v>689</v>
      </c>
      <c r="G30" s="4" t="s">
        <v>381</v>
      </c>
      <c r="H30" s="4" t="s">
        <v>26</v>
      </c>
      <c r="I30" s="5">
        <v>90000000</v>
      </c>
      <c r="J30" s="5">
        <v>-40000</v>
      </c>
      <c r="K30" s="5">
        <v>-4000</v>
      </c>
      <c r="L30" s="4" t="s">
        <v>67</v>
      </c>
      <c r="M30" s="4" t="s">
        <v>68</v>
      </c>
      <c r="N30" s="3">
        <v>45870</v>
      </c>
      <c r="O30" s="4" t="s">
        <v>690</v>
      </c>
      <c r="P30" s="2">
        <v>1000</v>
      </c>
      <c r="Q30" s="2">
        <v>3</v>
      </c>
      <c r="R30" s="4" t="s">
        <v>746</v>
      </c>
      <c r="S30" s="5">
        <v>90000000</v>
      </c>
    </row>
    <row r="31" spans="1:19" x14ac:dyDescent="0.25">
      <c r="A31" s="4" t="s">
        <v>61</v>
      </c>
      <c r="B31" s="4" t="s">
        <v>59</v>
      </c>
      <c r="C31" s="4" t="s">
        <v>62</v>
      </c>
      <c r="D31" s="4" t="s">
        <v>63</v>
      </c>
      <c r="E31" s="4" t="s">
        <v>464</v>
      </c>
      <c r="F31" s="4" t="s">
        <v>465</v>
      </c>
      <c r="G31" s="4" t="s">
        <v>190</v>
      </c>
      <c r="H31" s="4" t="s">
        <v>26</v>
      </c>
      <c r="I31" s="5">
        <v>90000000</v>
      </c>
      <c r="J31" s="5">
        <v>-40000</v>
      </c>
      <c r="K31" s="5">
        <v>-4000</v>
      </c>
      <c r="L31" s="4" t="s">
        <v>67</v>
      </c>
      <c r="M31" s="4" t="s">
        <v>68</v>
      </c>
      <c r="N31" s="3">
        <v>45870</v>
      </c>
      <c r="O31" s="4" t="s">
        <v>698</v>
      </c>
      <c r="P31" s="2">
        <v>1000</v>
      </c>
      <c r="Q31" s="2">
        <v>3</v>
      </c>
      <c r="R31" s="4" t="s">
        <v>746</v>
      </c>
      <c r="S31" s="5">
        <v>81637020</v>
      </c>
    </row>
    <row r="32" spans="1:19" x14ac:dyDescent="0.25">
      <c r="A32" s="4" t="s">
        <v>61</v>
      </c>
      <c r="B32" s="4" t="s">
        <v>59</v>
      </c>
      <c r="C32" s="4" t="s">
        <v>62</v>
      </c>
      <c r="D32" s="4" t="s">
        <v>63</v>
      </c>
      <c r="E32" s="4" t="s">
        <v>464</v>
      </c>
      <c r="F32" s="4" t="s">
        <v>465</v>
      </c>
      <c r="G32" s="4" t="s">
        <v>190</v>
      </c>
      <c r="H32" s="4" t="s">
        <v>26</v>
      </c>
      <c r="I32" s="5">
        <v>90000000</v>
      </c>
      <c r="J32" s="5">
        <v>-40000</v>
      </c>
      <c r="K32" s="5">
        <v>-4000</v>
      </c>
      <c r="L32" s="4" t="s">
        <v>67</v>
      </c>
      <c r="M32" s="4" t="s">
        <v>68</v>
      </c>
      <c r="N32" s="3">
        <v>45870</v>
      </c>
      <c r="O32" s="4" t="s">
        <v>709</v>
      </c>
      <c r="P32" s="2">
        <v>1000</v>
      </c>
      <c r="Q32" s="2">
        <v>3</v>
      </c>
      <c r="R32" s="4" t="s">
        <v>746</v>
      </c>
      <c r="S32" s="5">
        <v>81637020</v>
      </c>
    </row>
    <row r="33" spans="1:19" x14ac:dyDescent="0.25">
      <c r="A33" s="4" t="s">
        <v>61</v>
      </c>
      <c r="B33" s="4" t="s">
        <v>59</v>
      </c>
      <c r="C33" s="4" t="s">
        <v>62</v>
      </c>
      <c r="D33" s="4" t="s">
        <v>63</v>
      </c>
      <c r="E33" s="4" t="s">
        <v>464</v>
      </c>
      <c r="F33" s="4" t="s">
        <v>465</v>
      </c>
      <c r="G33" s="4" t="s">
        <v>190</v>
      </c>
      <c r="H33" s="4" t="s">
        <v>26</v>
      </c>
      <c r="I33" s="5">
        <v>90000000</v>
      </c>
      <c r="J33" s="5">
        <v>-40000</v>
      </c>
      <c r="K33" s="5">
        <v>-4000</v>
      </c>
      <c r="L33" s="4" t="s">
        <v>67</v>
      </c>
      <c r="M33" s="4" t="s">
        <v>68</v>
      </c>
      <c r="N33" s="3">
        <v>45870</v>
      </c>
      <c r="O33" s="4" t="s">
        <v>716</v>
      </c>
      <c r="P33" s="2">
        <v>1000</v>
      </c>
      <c r="Q33" s="2">
        <v>3</v>
      </c>
      <c r="R33" s="4" t="s">
        <v>746</v>
      </c>
      <c r="S33" s="5">
        <v>81637020</v>
      </c>
    </row>
    <row r="34" spans="1:19" x14ac:dyDescent="0.25">
      <c r="A34" s="4" t="s">
        <v>61</v>
      </c>
      <c r="B34" s="4" t="s">
        <v>59</v>
      </c>
      <c r="C34" s="4" t="s">
        <v>62</v>
      </c>
      <c r="D34" s="4" t="s">
        <v>63</v>
      </c>
      <c r="E34" s="4" t="s">
        <v>464</v>
      </c>
      <c r="F34" s="4" t="s">
        <v>465</v>
      </c>
      <c r="G34" s="4" t="s">
        <v>190</v>
      </c>
      <c r="H34" s="4" t="s">
        <v>26</v>
      </c>
      <c r="I34" s="5">
        <v>90000000</v>
      </c>
      <c r="J34" s="5">
        <v>-40000</v>
      </c>
      <c r="K34" s="5">
        <v>-4000</v>
      </c>
      <c r="L34" s="4" t="s">
        <v>67</v>
      </c>
      <c r="M34" s="4" t="s">
        <v>68</v>
      </c>
      <c r="N34" s="3">
        <v>45870</v>
      </c>
      <c r="O34" s="4" t="s">
        <v>719</v>
      </c>
      <c r="P34" s="2">
        <v>1000</v>
      </c>
      <c r="Q34" s="2">
        <v>3</v>
      </c>
      <c r="R34" s="4" t="s">
        <v>746</v>
      </c>
      <c r="S34" s="5">
        <v>81637020</v>
      </c>
    </row>
    <row r="35" spans="1:19" x14ac:dyDescent="0.25">
      <c r="A35" s="4" t="s">
        <v>61</v>
      </c>
      <c r="B35" s="4" t="s">
        <v>59</v>
      </c>
      <c r="C35" s="4" t="s">
        <v>62</v>
      </c>
      <c r="D35" s="4" t="s">
        <v>63</v>
      </c>
      <c r="E35" s="4" t="s">
        <v>688</v>
      </c>
      <c r="F35" s="4" t="s">
        <v>689</v>
      </c>
      <c r="G35" s="4" t="s">
        <v>381</v>
      </c>
      <c r="H35" s="4" t="s">
        <v>26</v>
      </c>
      <c r="I35" s="5">
        <v>90000000</v>
      </c>
      <c r="J35" s="5">
        <v>-40000</v>
      </c>
      <c r="K35" s="5">
        <v>-4000</v>
      </c>
      <c r="L35" s="4" t="s">
        <v>67</v>
      </c>
      <c r="M35" s="4" t="s">
        <v>68</v>
      </c>
      <c r="N35" s="3">
        <v>45870</v>
      </c>
      <c r="O35" s="4" t="s">
        <v>732</v>
      </c>
      <c r="P35" s="2">
        <v>1000</v>
      </c>
      <c r="Q35" s="2">
        <v>3</v>
      </c>
      <c r="R35" s="4" t="s">
        <v>746</v>
      </c>
      <c r="S35" s="5">
        <v>90000000</v>
      </c>
    </row>
    <row r="36" spans="1:19" x14ac:dyDescent="0.25">
      <c r="A36" s="4" t="s">
        <v>61</v>
      </c>
      <c r="B36" s="4" t="s">
        <v>59</v>
      </c>
      <c r="C36" s="4" t="s">
        <v>62</v>
      </c>
      <c r="D36" s="4" t="s">
        <v>63</v>
      </c>
      <c r="E36" s="4" t="s">
        <v>688</v>
      </c>
      <c r="F36" s="4" t="s">
        <v>689</v>
      </c>
      <c r="G36" s="4" t="s">
        <v>381</v>
      </c>
      <c r="H36" s="4" t="s">
        <v>26</v>
      </c>
      <c r="I36" s="5">
        <v>90000000</v>
      </c>
      <c r="J36" s="5">
        <v>-40000</v>
      </c>
      <c r="K36" s="5">
        <v>-4000</v>
      </c>
      <c r="L36" s="4" t="s">
        <v>67</v>
      </c>
      <c r="M36" s="4" t="s">
        <v>68</v>
      </c>
      <c r="N36" s="3">
        <v>45870</v>
      </c>
      <c r="O36" s="4" t="s">
        <v>733</v>
      </c>
      <c r="P36" s="2">
        <v>1000</v>
      </c>
      <c r="Q36" s="2">
        <v>3</v>
      </c>
      <c r="R36" s="4" t="s">
        <v>746</v>
      </c>
      <c r="S36" s="5">
        <v>90000000</v>
      </c>
    </row>
    <row r="37" spans="1:19" x14ac:dyDescent="0.25">
      <c r="A37" s="4" t="s">
        <v>61</v>
      </c>
      <c r="B37" s="4" t="s">
        <v>59</v>
      </c>
      <c r="C37" s="4" t="s">
        <v>62</v>
      </c>
      <c r="D37" s="4" t="s">
        <v>63</v>
      </c>
      <c r="E37" s="4" t="s">
        <v>64</v>
      </c>
      <c r="F37" s="4" t="s">
        <v>65</v>
      </c>
      <c r="G37" s="4" t="s">
        <v>66</v>
      </c>
      <c r="H37" s="4" t="s">
        <v>26</v>
      </c>
      <c r="I37" s="5">
        <v>90000000</v>
      </c>
      <c r="J37" s="5">
        <v>-40000</v>
      </c>
      <c r="K37" s="5">
        <v>-4000</v>
      </c>
      <c r="L37" s="4" t="s">
        <v>67</v>
      </c>
      <c r="M37" s="4" t="s">
        <v>68</v>
      </c>
      <c r="N37" s="3">
        <v>45870</v>
      </c>
      <c r="O37" s="4" t="s">
        <v>532</v>
      </c>
      <c r="P37" s="2">
        <v>1000</v>
      </c>
      <c r="Q37" s="2">
        <v>4</v>
      </c>
      <c r="R37" s="4" t="s">
        <v>746</v>
      </c>
      <c r="S37" s="5">
        <v>90000000</v>
      </c>
    </row>
    <row r="38" spans="1:19" x14ac:dyDescent="0.25">
      <c r="A38" s="4" t="s">
        <v>61</v>
      </c>
      <c r="B38" s="4" t="s">
        <v>59</v>
      </c>
      <c r="C38" s="4" t="s">
        <v>62</v>
      </c>
      <c r="D38" s="4" t="s">
        <v>63</v>
      </c>
      <c r="E38" s="4" t="s">
        <v>464</v>
      </c>
      <c r="F38" s="4" t="s">
        <v>465</v>
      </c>
      <c r="G38" s="4" t="s">
        <v>190</v>
      </c>
      <c r="H38" s="4" t="s">
        <v>26</v>
      </c>
      <c r="I38" s="5">
        <v>90000000</v>
      </c>
      <c r="J38" s="5">
        <v>-40000</v>
      </c>
      <c r="K38" s="5">
        <v>-4000</v>
      </c>
      <c r="L38" s="4" t="s">
        <v>67</v>
      </c>
      <c r="M38" s="4" t="s">
        <v>68</v>
      </c>
      <c r="N38" s="3">
        <v>45870</v>
      </c>
      <c r="O38" s="4" t="s">
        <v>673</v>
      </c>
      <c r="P38" s="2">
        <v>1000</v>
      </c>
      <c r="Q38" s="2">
        <v>5</v>
      </c>
      <c r="R38" s="4" t="s">
        <v>746</v>
      </c>
      <c r="S38" s="5">
        <v>81637020</v>
      </c>
    </row>
    <row r="39" spans="1:19" x14ac:dyDescent="0.25">
      <c r="A39" s="4" t="s">
        <v>61</v>
      </c>
      <c r="B39" s="4" t="s">
        <v>59</v>
      </c>
      <c r="C39" s="4" t="s">
        <v>62</v>
      </c>
      <c r="D39" s="4" t="s">
        <v>63</v>
      </c>
      <c r="E39" s="4" t="s">
        <v>284</v>
      </c>
      <c r="F39" s="4" t="s">
        <v>285</v>
      </c>
      <c r="G39" s="4" t="s">
        <v>286</v>
      </c>
      <c r="H39" s="4" t="s">
        <v>26</v>
      </c>
      <c r="I39" s="5">
        <v>110000000</v>
      </c>
      <c r="J39" s="5">
        <v>-40000</v>
      </c>
      <c r="K39" s="5">
        <v>-4000</v>
      </c>
      <c r="L39" s="4" t="s">
        <v>67</v>
      </c>
      <c r="M39" s="4" t="s">
        <v>68</v>
      </c>
      <c r="N39" s="3">
        <v>45870</v>
      </c>
      <c r="O39" s="4" t="s">
        <v>639</v>
      </c>
      <c r="P39" s="2">
        <v>1000</v>
      </c>
      <c r="Q39" s="2">
        <v>15</v>
      </c>
      <c r="R39" s="4" t="s">
        <v>746</v>
      </c>
      <c r="S39" s="5">
        <v>108405000</v>
      </c>
    </row>
    <row r="40" spans="1:19" x14ac:dyDescent="0.25">
      <c r="A40" s="4" t="s">
        <v>61</v>
      </c>
      <c r="B40" s="4" t="s">
        <v>59</v>
      </c>
      <c r="C40" s="4" t="s">
        <v>62</v>
      </c>
      <c r="D40" s="4" t="s">
        <v>63</v>
      </c>
      <c r="E40" s="4" t="s">
        <v>64</v>
      </c>
      <c r="F40" s="4" t="s">
        <v>65</v>
      </c>
      <c r="G40" s="4" t="s">
        <v>66</v>
      </c>
      <c r="H40" s="4" t="s">
        <v>26</v>
      </c>
      <c r="I40" s="5">
        <v>90000000</v>
      </c>
      <c r="J40" s="5">
        <v>40000</v>
      </c>
      <c r="K40" s="5">
        <v>4000</v>
      </c>
      <c r="L40" s="4" t="s">
        <v>67</v>
      </c>
      <c r="M40" s="4" t="s">
        <v>68</v>
      </c>
      <c r="N40" s="3">
        <v>45870</v>
      </c>
      <c r="O40" s="4" t="s">
        <v>147</v>
      </c>
      <c r="P40" s="2">
        <v>1000</v>
      </c>
      <c r="Q40" s="2">
        <v>16</v>
      </c>
      <c r="R40" s="4" t="s">
        <v>746</v>
      </c>
      <c r="S40" s="5">
        <v>90000000</v>
      </c>
    </row>
    <row r="41" spans="1:19" x14ac:dyDescent="0.25">
      <c r="A41" s="4" t="s">
        <v>61</v>
      </c>
      <c r="B41" s="4" t="s">
        <v>59</v>
      </c>
      <c r="C41" s="4" t="s">
        <v>62</v>
      </c>
      <c r="D41" s="4" t="s">
        <v>63</v>
      </c>
      <c r="E41" s="4" t="s">
        <v>64</v>
      </c>
      <c r="F41" s="4" t="s">
        <v>65</v>
      </c>
      <c r="G41" s="4" t="s">
        <v>66</v>
      </c>
      <c r="H41" s="4" t="s">
        <v>26</v>
      </c>
      <c r="I41" s="5">
        <v>90000000</v>
      </c>
      <c r="J41" s="5">
        <v>-40000</v>
      </c>
      <c r="K41" s="5">
        <v>-4000</v>
      </c>
      <c r="L41" s="4" t="s">
        <v>67</v>
      </c>
      <c r="M41" s="4" t="s">
        <v>68</v>
      </c>
      <c r="N41" s="3">
        <v>45870</v>
      </c>
      <c r="O41" s="4" t="s">
        <v>147</v>
      </c>
      <c r="P41" s="2">
        <v>1000</v>
      </c>
      <c r="Q41" s="2">
        <v>17</v>
      </c>
      <c r="R41" s="4" t="s">
        <v>746</v>
      </c>
      <c r="S41" s="5">
        <v>90000000</v>
      </c>
    </row>
    <row r="42" spans="1:19" x14ac:dyDescent="0.25">
      <c r="A42" s="4" t="s">
        <v>61</v>
      </c>
      <c r="B42" s="4" t="s">
        <v>59</v>
      </c>
      <c r="C42" s="4" t="s">
        <v>62</v>
      </c>
      <c r="D42" s="4" t="s">
        <v>63</v>
      </c>
      <c r="E42" s="4" t="s">
        <v>284</v>
      </c>
      <c r="F42" s="4" t="s">
        <v>285</v>
      </c>
      <c r="G42" s="4" t="s">
        <v>286</v>
      </c>
      <c r="H42" s="4" t="s">
        <v>26</v>
      </c>
      <c r="I42" s="5">
        <v>110000000</v>
      </c>
      <c r="J42" s="5">
        <v>40000</v>
      </c>
      <c r="K42" s="5">
        <v>4000</v>
      </c>
      <c r="L42" s="4" t="s">
        <v>67</v>
      </c>
      <c r="M42" s="4" t="s">
        <v>68</v>
      </c>
      <c r="N42" s="3">
        <v>45870</v>
      </c>
      <c r="O42" s="4" t="s">
        <v>626</v>
      </c>
      <c r="P42" s="2">
        <v>1000</v>
      </c>
      <c r="Q42" s="2">
        <v>21</v>
      </c>
      <c r="R42" s="4" t="s">
        <v>746</v>
      </c>
      <c r="S42" s="5">
        <v>108405000</v>
      </c>
    </row>
    <row r="43" spans="1:19" x14ac:dyDescent="0.25">
      <c r="A43" s="4" t="s">
        <v>61</v>
      </c>
      <c r="B43" s="4" t="s">
        <v>59</v>
      </c>
      <c r="C43" s="4" t="s">
        <v>62</v>
      </c>
      <c r="D43" s="4" t="s">
        <v>63</v>
      </c>
      <c r="E43" s="4" t="s">
        <v>284</v>
      </c>
      <c r="F43" s="4" t="s">
        <v>285</v>
      </c>
      <c r="G43" s="4" t="s">
        <v>286</v>
      </c>
      <c r="H43" s="4" t="s">
        <v>26</v>
      </c>
      <c r="I43" s="5">
        <v>110000000</v>
      </c>
      <c r="J43" s="5">
        <v>-40000</v>
      </c>
      <c r="K43" s="5">
        <v>-4000</v>
      </c>
      <c r="L43" s="4" t="s">
        <v>67</v>
      </c>
      <c r="M43" s="4" t="s">
        <v>68</v>
      </c>
      <c r="N43" s="3">
        <v>45870</v>
      </c>
      <c r="O43" s="4" t="s">
        <v>626</v>
      </c>
      <c r="P43" s="2">
        <v>1000</v>
      </c>
      <c r="Q43" s="2">
        <v>22</v>
      </c>
      <c r="R43" s="4" t="s">
        <v>746</v>
      </c>
      <c r="S43" s="5">
        <v>108405000</v>
      </c>
    </row>
    <row r="44" spans="1:19" x14ac:dyDescent="0.25">
      <c r="A44" s="4" t="s">
        <v>61</v>
      </c>
      <c r="B44" s="4" t="s">
        <v>59</v>
      </c>
      <c r="C44" s="4" t="s">
        <v>62</v>
      </c>
      <c r="D44" s="4" t="s">
        <v>63</v>
      </c>
      <c r="E44" s="4" t="s">
        <v>447</v>
      </c>
      <c r="F44" s="4" t="s">
        <v>448</v>
      </c>
      <c r="G44" s="4" t="s">
        <v>419</v>
      </c>
      <c r="H44" s="4" t="s">
        <v>26</v>
      </c>
      <c r="I44" s="5">
        <v>155000000</v>
      </c>
      <c r="J44" s="5">
        <v>49500</v>
      </c>
      <c r="K44" s="5">
        <v>4950</v>
      </c>
      <c r="L44" s="4" t="s">
        <v>26</v>
      </c>
      <c r="M44" s="4" t="s">
        <v>26</v>
      </c>
      <c r="N44" s="3">
        <v>45870</v>
      </c>
      <c r="O44" s="4" t="s">
        <v>459</v>
      </c>
      <c r="P44" s="2">
        <v>1000</v>
      </c>
      <c r="Q44" s="2">
        <v>25</v>
      </c>
      <c r="R44" s="4" t="s">
        <v>747</v>
      </c>
      <c r="S44" s="5">
        <v>152533250</v>
      </c>
    </row>
    <row r="45" spans="1:19" x14ac:dyDescent="0.25">
      <c r="A45" s="4" t="s">
        <v>61</v>
      </c>
      <c r="B45" s="4" t="s">
        <v>59</v>
      </c>
      <c r="C45" s="4" t="s">
        <v>62</v>
      </c>
      <c r="D45" s="4" t="s">
        <v>63</v>
      </c>
      <c r="E45" s="4" t="s">
        <v>608</v>
      </c>
      <c r="F45" s="4" t="s">
        <v>609</v>
      </c>
      <c r="G45" s="4" t="s">
        <v>419</v>
      </c>
      <c r="H45" s="4" t="s">
        <v>26</v>
      </c>
      <c r="I45" s="5">
        <v>155000000</v>
      </c>
      <c r="J45" s="5">
        <v>4908100</v>
      </c>
      <c r="K45" s="5">
        <v>490810</v>
      </c>
      <c r="L45" s="4" t="s">
        <v>677</v>
      </c>
      <c r="M45" s="4" t="s">
        <v>678</v>
      </c>
      <c r="N45" s="3">
        <v>45870</v>
      </c>
      <c r="O45" s="4" t="s">
        <v>676</v>
      </c>
      <c r="P45" s="2">
        <v>1000</v>
      </c>
      <c r="Q45" s="2">
        <v>29</v>
      </c>
      <c r="R45" s="4" t="s">
        <v>748</v>
      </c>
      <c r="S45" s="5">
        <v>148509830</v>
      </c>
    </row>
    <row r="46" spans="1:19" x14ac:dyDescent="0.25">
      <c r="A46" s="4" t="s">
        <v>61</v>
      </c>
      <c r="B46" s="4" t="s">
        <v>59</v>
      </c>
      <c r="C46" s="4" t="s">
        <v>62</v>
      </c>
      <c r="D46" s="4" t="s">
        <v>63</v>
      </c>
      <c r="E46" s="4" t="s">
        <v>69</v>
      </c>
      <c r="F46" s="4" t="s">
        <v>70</v>
      </c>
      <c r="G46" s="4" t="s">
        <v>71</v>
      </c>
      <c r="H46" s="4" t="s">
        <v>26</v>
      </c>
      <c r="I46" s="5">
        <v>155000000</v>
      </c>
      <c r="J46" s="5">
        <v>41300</v>
      </c>
      <c r="K46" s="5">
        <v>4130</v>
      </c>
      <c r="L46" s="4" t="s">
        <v>72</v>
      </c>
      <c r="M46" s="4" t="s">
        <v>73</v>
      </c>
      <c r="N46" s="3">
        <v>45870</v>
      </c>
      <c r="O46" s="4" t="s">
        <v>51</v>
      </c>
      <c r="P46" s="2">
        <v>1000</v>
      </c>
      <c r="Q46" s="2">
        <v>34</v>
      </c>
      <c r="R46" s="4" t="s">
        <v>749</v>
      </c>
      <c r="S46" s="5">
        <v>143018000</v>
      </c>
    </row>
    <row r="47" spans="1:19" x14ac:dyDescent="0.25">
      <c r="A47" s="4" t="s">
        <v>61</v>
      </c>
      <c r="B47" s="4" t="s">
        <v>59</v>
      </c>
      <c r="C47" s="4" t="s">
        <v>62</v>
      </c>
      <c r="D47" s="4" t="s">
        <v>63</v>
      </c>
      <c r="E47" s="4" t="s">
        <v>426</v>
      </c>
      <c r="F47" s="4" t="s">
        <v>427</v>
      </c>
      <c r="G47" s="4" t="s">
        <v>157</v>
      </c>
      <c r="H47" s="4" t="s">
        <v>26</v>
      </c>
      <c r="I47" s="5">
        <v>90000000</v>
      </c>
      <c r="J47" s="5">
        <v>135000</v>
      </c>
      <c r="K47" s="5">
        <v>13500</v>
      </c>
      <c r="L47" s="4" t="s">
        <v>428</v>
      </c>
      <c r="M47" s="4" t="s">
        <v>429</v>
      </c>
      <c r="N47" s="3">
        <v>45870</v>
      </c>
      <c r="O47" s="4" t="s">
        <v>565</v>
      </c>
      <c r="P47" s="2">
        <v>1000</v>
      </c>
      <c r="Q47" s="2">
        <v>35</v>
      </c>
      <c r="R47" s="4" t="s">
        <v>26</v>
      </c>
      <c r="S47" s="5">
        <v>89653500</v>
      </c>
    </row>
    <row r="48" spans="1:19" x14ac:dyDescent="0.25">
      <c r="A48" s="4" t="s">
        <v>61</v>
      </c>
      <c r="B48" s="4" t="s">
        <v>59</v>
      </c>
      <c r="C48" s="4" t="s">
        <v>62</v>
      </c>
      <c r="D48" s="4" t="s">
        <v>63</v>
      </c>
      <c r="E48" s="4" t="s">
        <v>426</v>
      </c>
      <c r="F48" s="4" t="s">
        <v>427</v>
      </c>
      <c r="G48" s="4" t="s">
        <v>157</v>
      </c>
      <c r="H48" s="4" t="s">
        <v>26</v>
      </c>
      <c r="I48" s="5">
        <v>90000000</v>
      </c>
      <c r="J48" s="5">
        <v>67500</v>
      </c>
      <c r="K48" s="5">
        <v>6750</v>
      </c>
      <c r="L48" s="4" t="s">
        <v>428</v>
      </c>
      <c r="M48" s="4" t="s">
        <v>429</v>
      </c>
      <c r="N48" s="3">
        <v>45870</v>
      </c>
      <c r="O48" s="4" t="s">
        <v>565</v>
      </c>
      <c r="P48" s="2">
        <v>2000</v>
      </c>
      <c r="Q48" s="2">
        <v>35</v>
      </c>
      <c r="R48" s="4" t="s">
        <v>26</v>
      </c>
      <c r="S48" s="5">
        <v>89653500</v>
      </c>
    </row>
    <row r="49" spans="1:19" x14ac:dyDescent="0.25">
      <c r="A49" s="4" t="s">
        <v>61</v>
      </c>
      <c r="B49" s="4" t="s">
        <v>59</v>
      </c>
      <c r="C49" s="4" t="s">
        <v>62</v>
      </c>
      <c r="D49" s="4" t="s">
        <v>63</v>
      </c>
      <c r="E49" s="4" t="s">
        <v>74</v>
      </c>
      <c r="F49" s="4" t="s">
        <v>75</v>
      </c>
      <c r="G49" s="4" t="s">
        <v>76</v>
      </c>
      <c r="H49" s="4" t="s">
        <v>26</v>
      </c>
      <c r="I49" s="5">
        <v>110000000</v>
      </c>
      <c r="J49" s="5">
        <v>60000</v>
      </c>
      <c r="K49" s="5">
        <v>6000</v>
      </c>
      <c r="L49" s="4" t="s">
        <v>77</v>
      </c>
      <c r="M49" s="4" t="s">
        <v>78</v>
      </c>
      <c r="N49" s="3">
        <v>45870</v>
      </c>
      <c r="O49" s="4" t="s">
        <v>51</v>
      </c>
      <c r="P49" s="2">
        <v>1000</v>
      </c>
      <c r="Q49" s="2">
        <v>39</v>
      </c>
      <c r="R49" s="4" t="s">
        <v>26</v>
      </c>
      <c r="S49" s="5">
        <v>108586000</v>
      </c>
    </row>
    <row r="50" spans="1:19" x14ac:dyDescent="0.25">
      <c r="A50" s="4" t="s">
        <v>61</v>
      </c>
      <c r="B50" s="4" t="s">
        <v>59</v>
      </c>
      <c r="C50" s="4" t="s">
        <v>62</v>
      </c>
      <c r="D50" s="4" t="s">
        <v>63</v>
      </c>
      <c r="E50" s="4" t="s">
        <v>460</v>
      </c>
      <c r="F50" s="4" t="s">
        <v>461</v>
      </c>
      <c r="G50" s="4" t="s">
        <v>199</v>
      </c>
      <c r="H50" s="4" t="s">
        <v>26</v>
      </c>
      <c r="I50" s="5">
        <v>65000000</v>
      </c>
      <c r="J50" s="5">
        <v>58500</v>
      </c>
      <c r="K50" s="5">
        <v>5850</v>
      </c>
      <c r="L50" s="4" t="s">
        <v>462</v>
      </c>
      <c r="M50" s="4" t="s">
        <v>463</v>
      </c>
      <c r="N50" s="3">
        <v>45870</v>
      </c>
      <c r="O50" s="4" t="s">
        <v>459</v>
      </c>
      <c r="P50" s="2">
        <v>1000</v>
      </c>
      <c r="Q50" s="2">
        <v>46</v>
      </c>
      <c r="R50" s="4" t="s">
        <v>26</v>
      </c>
      <c r="S50" s="5">
        <v>64941500</v>
      </c>
    </row>
    <row r="51" spans="1:19" x14ac:dyDescent="0.25">
      <c r="A51" s="4" t="s">
        <v>61</v>
      </c>
      <c r="B51" s="4" t="s">
        <v>59</v>
      </c>
      <c r="C51" s="4" t="s">
        <v>62</v>
      </c>
      <c r="D51" s="4" t="s">
        <v>63</v>
      </c>
      <c r="E51" s="4" t="s">
        <v>131</v>
      </c>
      <c r="F51" s="4" t="s">
        <v>132</v>
      </c>
      <c r="G51" s="4" t="s">
        <v>100</v>
      </c>
      <c r="H51" s="4" t="s">
        <v>26</v>
      </c>
      <c r="I51" s="5">
        <v>65000000</v>
      </c>
      <c r="J51" s="5">
        <v>708900</v>
      </c>
      <c r="K51" s="5">
        <v>70890</v>
      </c>
      <c r="L51" s="4" t="s">
        <v>133</v>
      </c>
      <c r="M51" s="4" t="s">
        <v>134</v>
      </c>
      <c r="N51" s="3">
        <v>45870</v>
      </c>
      <c r="O51" s="4" t="s">
        <v>709</v>
      </c>
      <c r="P51" s="2">
        <v>1000</v>
      </c>
      <c r="Q51" s="2">
        <v>47</v>
      </c>
      <c r="R51" s="4" t="s">
        <v>750</v>
      </c>
      <c r="S51" s="5">
        <v>63739700</v>
      </c>
    </row>
    <row r="52" spans="1:19" x14ac:dyDescent="0.25">
      <c r="A52" s="4" t="s">
        <v>61</v>
      </c>
      <c r="B52" s="4" t="s">
        <v>59</v>
      </c>
      <c r="C52" s="4" t="s">
        <v>62</v>
      </c>
      <c r="D52" s="4" t="s">
        <v>63</v>
      </c>
      <c r="E52" s="4" t="s">
        <v>284</v>
      </c>
      <c r="F52" s="4" t="s">
        <v>285</v>
      </c>
      <c r="G52" s="4" t="s">
        <v>286</v>
      </c>
      <c r="H52" s="4" t="s">
        <v>26</v>
      </c>
      <c r="I52" s="5">
        <v>110000000</v>
      </c>
      <c r="J52" s="5">
        <v>80000</v>
      </c>
      <c r="K52" s="5">
        <v>8000</v>
      </c>
      <c r="L52" s="4" t="s">
        <v>287</v>
      </c>
      <c r="M52" s="4" t="s">
        <v>288</v>
      </c>
      <c r="N52" s="3">
        <v>45870</v>
      </c>
      <c r="O52" s="4" t="s">
        <v>283</v>
      </c>
      <c r="P52" s="2">
        <v>1000</v>
      </c>
      <c r="Q52" s="2">
        <v>62</v>
      </c>
      <c r="R52" s="4" t="s">
        <v>26</v>
      </c>
      <c r="S52" s="5">
        <v>108405000</v>
      </c>
    </row>
    <row r="53" spans="1:19" x14ac:dyDescent="0.25">
      <c r="A53" s="4" t="s">
        <v>61</v>
      </c>
      <c r="B53" s="4" t="s">
        <v>59</v>
      </c>
      <c r="C53" s="4" t="s">
        <v>62</v>
      </c>
      <c r="D53" s="4" t="s">
        <v>63</v>
      </c>
      <c r="E53" s="4" t="s">
        <v>284</v>
      </c>
      <c r="F53" s="4" t="s">
        <v>285</v>
      </c>
      <c r="G53" s="4" t="s">
        <v>286</v>
      </c>
      <c r="H53" s="4" t="s">
        <v>26</v>
      </c>
      <c r="I53" s="5">
        <v>110000000</v>
      </c>
      <c r="J53" s="5">
        <v>77000</v>
      </c>
      <c r="K53" s="5">
        <v>7700</v>
      </c>
      <c r="L53" s="4" t="s">
        <v>287</v>
      </c>
      <c r="M53" s="4" t="s">
        <v>288</v>
      </c>
      <c r="N53" s="3">
        <v>45870</v>
      </c>
      <c r="O53" s="4" t="s">
        <v>283</v>
      </c>
      <c r="P53" s="2">
        <v>2000</v>
      </c>
      <c r="Q53" s="2">
        <v>62</v>
      </c>
      <c r="R53" s="4" t="s">
        <v>26</v>
      </c>
      <c r="S53" s="5">
        <v>108405000</v>
      </c>
    </row>
    <row r="54" spans="1:19" x14ac:dyDescent="0.25">
      <c r="A54" s="4" t="s">
        <v>61</v>
      </c>
      <c r="B54" s="4" t="s">
        <v>59</v>
      </c>
      <c r="C54" s="4" t="s">
        <v>62</v>
      </c>
      <c r="D54" s="4" t="s">
        <v>63</v>
      </c>
      <c r="E54" s="4" t="s">
        <v>188</v>
      </c>
      <c r="F54" s="4" t="s">
        <v>189</v>
      </c>
      <c r="G54" s="4" t="s">
        <v>190</v>
      </c>
      <c r="H54" s="4" t="s">
        <v>26</v>
      </c>
      <c r="I54" s="5">
        <v>90000000</v>
      </c>
      <c r="J54" s="5">
        <v>149000</v>
      </c>
      <c r="K54" s="5">
        <v>14900</v>
      </c>
      <c r="L54" s="4" t="s">
        <v>191</v>
      </c>
      <c r="M54" s="4" t="s">
        <v>192</v>
      </c>
      <c r="N54" s="3">
        <v>45870</v>
      </c>
      <c r="O54" s="4" t="s">
        <v>716</v>
      </c>
      <c r="P54" s="2">
        <v>1000</v>
      </c>
      <c r="Q54" s="2">
        <v>71</v>
      </c>
      <c r="R54" s="4" t="s">
        <v>751</v>
      </c>
      <c r="S54" s="5">
        <v>87040690</v>
      </c>
    </row>
    <row r="55" spans="1:19" x14ac:dyDescent="0.25">
      <c r="A55" s="4" t="s">
        <v>61</v>
      </c>
      <c r="B55" s="4" t="s">
        <v>59</v>
      </c>
      <c r="C55" s="4" t="s">
        <v>62</v>
      </c>
      <c r="D55" s="4" t="s">
        <v>63</v>
      </c>
      <c r="E55" s="4" t="s">
        <v>188</v>
      </c>
      <c r="F55" s="4" t="s">
        <v>189</v>
      </c>
      <c r="G55" s="4" t="s">
        <v>190</v>
      </c>
      <c r="H55" s="4" t="s">
        <v>26</v>
      </c>
      <c r="I55" s="5">
        <v>90000000</v>
      </c>
      <c r="J55" s="5">
        <v>89000</v>
      </c>
      <c r="K55" s="5">
        <v>8900</v>
      </c>
      <c r="L55" s="4" t="s">
        <v>191</v>
      </c>
      <c r="M55" s="4" t="s">
        <v>192</v>
      </c>
      <c r="N55" s="3">
        <v>45870</v>
      </c>
      <c r="O55" s="4" t="s">
        <v>716</v>
      </c>
      <c r="P55" s="2">
        <v>2000</v>
      </c>
      <c r="Q55" s="2">
        <v>71</v>
      </c>
      <c r="R55" s="4" t="s">
        <v>751</v>
      </c>
      <c r="S55" s="5">
        <v>87040690</v>
      </c>
    </row>
    <row r="56" spans="1:19" x14ac:dyDescent="0.25">
      <c r="A56" s="4" t="s">
        <v>61</v>
      </c>
      <c r="B56" s="4" t="s">
        <v>59</v>
      </c>
      <c r="C56" s="4" t="s">
        <v>62</v>
      </c>
      <c r="D56" s="4" t="s">
        <v>63</v>
      </c>
      <c r="E56" s="4" t="s">
        <v>533</v>
      </c>
      <c r="F56" s="4" t="s">
        <v>534</v>
      </c>
      <c r="G56" s="4" t="s">
        <v>309</v>
      </c>
      <c r="H56" s="4" t="s">
        <v>26</v>
      </c>
      <c r="I56" s="5">
        <v>90000000</v>
      </c>
      <c r="J56" s="5">
        <v>3060000</v>
      </c>
      <c r="K56" s="5">
        <v>306000</v>
      </c>
      <c r="L56" s="4" t="s">
        <v>655</v>
      </c>
      <c r="M56" s="4" t="s">
        <v>656</v>
      </c>
      <c r="N56" s="3">
        <v>45871</v>
      </c>
      <c r="O56" s="4" t="s">
        <v>738</v>
      </c>
      <c r="P56" s="2">
        <v>1000</v>
      </c>
      <c r="Q56" s="2">
        <v>80</v>
      </c>
      <c r="R56" s="4" t="s">
        <v>746</v>
      </c>
      <c r="S56" s="5">
        <v>83993600</v>
      </c>
    </row>
    <row r="57" spans="1:19" x14ac:dyDescent="0.25">
      <c r="A57" s="4" t="s">
        <v>61</v>
      </c>
      <c r="B57" s="4" t="s">
        <v>59</v>
      </c>
      <c r="C57" s="4" t="s">
        <v>62</v>
      </c>
      <c r="D57" s="4" t="s">
        <v>63</v>
      </c>
      <c r="E57" s="4" t="s">
        <v>533</v>
      </c>
      <c r="F57" s="4" t="s">
        <v>534</v>
      </c>
      <c r="G57" s="4" t="s">
        <v>309</v>
      </c>
      <c r="H57" s="4" t="s">
        <v>26</v>
      </c>
      <c r="I57" s="5">
        <v>90000000</v>
      </c>
      <c r="J57" s="5">
        <v>2700000</v>
      </c>
      <c r="K57" s="5">
        <v>270000</v>
      </c>
      <c r="L57" s="4" t="s">
        <v>655</v>
      </c>
      <c r="M57" s="4" t="s">
        <v>656</v>
      </c>
      <c r="N57" s="3">
        <v>45871</v>
      </c>
      <c r="O57" s="4" t="s">
        <v>738</v>
      </c>
      <c r="P57" s="2">
        <v>2000</v>
      </c>
      <c r="Q57" s="2">
        <v>80</v>
      </c>
      <c r="R57" s="4" t="s">
        <v>746</v>
      </c>
      <c r="S57" s="5">
        <v>83993600</v>
      </c>
    </row>
    <row r="58" spans="1:19" x14ac:dyDescent="0.25">
      <c r="A58" s="4" t="s">
        <v>61</v>
      </c>
      <c r="B58" s="4" t="s">
        <v>59</v>
      </c>
      <c r="C58" s="4" t="s">
        <v>62</v>
      </c>
      <c r="D58" s="4" t="s">
        <v>63</v>
      </c>
      <c r="E58" s="4" t="s">
        <v>482</v>
      </c>
      <c r="F58" s="4" t="s">
        <v>483</v>
      </c>
      <c r="G58" s="4" t="s">
        <v>419</v>
      </c>
      <c r="H58" s="4" t="s">
        <v>26</v>
      </c>
      <c r="I58" s="5">
        <v>155000000</v>
      </c>
      <c r="J58" s="5">
        <v>2355000</v>
      </c>
      <c r="K58" s="5">
        <v>235500</v>
      </c>
      <c r="L58" s="4" t="s">
        <v>559</v>
      </c>
      <c r="M58" s="4" t="s">
        <v>560</v>
      </c>
      <c r="N58" s="3">
        <v>45870</v>
      </c>
      <c r="O58" s="4" t="s">
        <v>642</v>
      </c>
      <c r="P58" s="2">
        <v>1000</v>
      </c>
      <c r="Q58" s="2">
        <v>81</v>
      </c>
      <c r="R58" s="4" t="s">
        <v>26</v>
      </c>
      <c r="S58" s="5">
        <v>148644500</v>
      </c>
    </row>
    <row r="59" spans="1:19" x14ac:dyDescent="0.25">
      <c r="A59" s="4" t="s">
        <v>61</v>
      </c>
      <c r="B59" s="4" t="s">
        <v>59</v>
      </c>
      <c r="C59" s="4" t="s">
        <v>62</v>
      </c>
      <c r="D59" s="4" t="s">
        <v>63</v>
      </c>
      <c r="E59" s="4" t="s">
        <v>265</v>
      </c>
      <c r="F59" s="4" t="s">
        <v>266</v>
      </c>
      <c r="G59" s="4" t="s">
        <v>71</v>
      </c>
      <c r="H59" s="4" t="s">
        <v>26</v>
      </c>
      <c r="I59" s="5">
        <v>155000000</v>
      </c>
      <c r="J59" s="5">
        <v>195000</v>
      </c>
      <c r="K59" s="5">
        <v>19500</v>
      </c>
      <c r="L59" s="4" t="s">
        <v>267</v>
      </c>
      <c r="M59" s="4" t="s">
        <v>268</v>
      </c>
      <c r="N59" s="3">
        <v>45870</v>
      </c>
      <c r="O59" s="4" t="s">
        <v>642</v>
      </c>
      <c r="P59" s="2">
        <v>1000</v>
      </c>
      <c r="Q59" s="2">
        <v>85</v>
      </c>
      <c r="R59" s="4" t="s">
        <v>752</v>
      </c>
      <c r="S59" s="5">
        <v>151606650</v>
      </c>
    </row>
    <row r="60" spans="1:19" x14ac:dyDescent="0.25">
      <c r="A60" s="4" t="s">
        <v>61</v>
      </c>
      <c r="B60" s="4" t="s">
        <v>59</v>
      </c>
      <c r="C60" s="4" t="s">
        <v>62</v>
      </c>
      <c r="D60" s="4" t="s">
        <v>63</v>
      </c>
      <c r="E60" s="4" t="s">
        <v>188</v>
      </c>
      <c r="F60" s="4" t="s">
        <v>189</v>
      </c>
      <c r="G60" s="4" t="s">
        <v>190</v>
      </c>
      <c r="H60" s="4" t="s">
        <v>26</v>
      </c>
      <c r="I60" s="5">
        <v>90000000</v>
      </c>
      <c r="J60" s="5">
        <v>54430</v>
      </c>
      <c r="K60" s="5">
        <v>5443</v>
      </c>
      <c r="L60" s="4" t="s">
        <v>191</v>
      </c>
      <c r="M60" s="4" t="s">
        <v>192</v>
      </c>
      <c r="N60" s="3">
        <v>45870</v>
      </c>
      <c r="O60" s="4" t="s">
        <v>283</v>
      </c>
      <c r="P60" s="2">
        <v>1000</v>
      </c>
      <c r="Q60" s="2">
        <v>90</v>
      </c>
      <c r="R60" s="4" t="s">
        <v>747</v>
      </c>
      <c r="S60" s="5">
        <v>87040690</v>
      </c>
    </row>
    <row r="61" spans="1:19" x14ac:dyDescent="0.25">
      <c r="A61" s="4" t="s">
        <v>61</v>
      </c>
      <c r="B61" s="4" t="s">
        <v>59</v>
      </c>
      <c r="C61" s="4" t="s">
        <v>62</v>
      </c>
      <c r="D61" s="4" t="s">
        <v>63</v>
      </c>
      <c r="E61" s="4" t="s">
        <v>188</v>
      </c>
      <c r="F61" s="4" t="s">
        <v>189</v>
      </c>
      <c r="G61" s="4" t="s">
        <v>190</v>
      </c>
      <c r="H61" s="4" t="s">
        <v>26</v>
      </c>
      <c r="I61" s="5">
        <v>90000000</v>
      </c>
      <c r="J61" s="5">
        <v>58620</v>
      </c>
      <c r="K61" s="5">
        <v>5862</v>
      </c>
      <c r="L61" s="4" t="s">
        <v>191</v>
      </c>
      <c r="M61" s="4" t="s">
        <v>192</v>
      </c>
      <c r="N61" s="3">
        <v>45870</v>
      </c>
      <c r="O61" s="4" t="s">
        <v>283</v>
      </c>
      <c r="P61" s="2">
        <v>2000</v>
      </c>
      <c r="Q61" s="2">
        <v>90</v>
      </c>
      <c r="R61" s="4" t="s">
        <v>747</v>
      </c>
      <c r="S61" s="5">
        <v>87040690</v>
      </c>
    </row>
    <row r="62" spans="1:19" x14ac:dyDescent="0.25">
      <c r="A62" s="4" t="s">
        <v>61</v>
      </c>
      <c r="B62" s="4" t="s">
        <v>59</v>
      </c>
      <c r="C62" s="4" t="s">
        <v>62</v>
      </c>
      <c r="D62" s="4" t="s">
        <v>63</v>
      </c>
      <c r="E62" s="4" t="s">
        <v>188</v>
      </c>
      <c r="F62" s="4" t="s">
        <v>189</v>
      </c>
      <c r="G62" s="4" t="s">
        <v>190</v>
      </c>
      <c r="H62" s="4" t="s">
        <v>26</v>
      </c>
      <c r="I62" s="5">
        <v>90000000</v>
      </c>
      <c r="J62" s="5">
        <v>54430</v>
      </c>
      <c r="K62" s="5">
        <v>5443</v>
      </c>
      <c r="L62" s="4" t="s">
        <v>191</v>
      </c>
      <c r="M62" s="4" t="s">
        <v>192</v>
      </c>
      <c r="N62" s="3">
        <v>45870</v>
      </c>
      <c r="O62" s="4" t="s">
        <v>283</v>
      </c>
      <c r="P62" s="2">
        <v>3000</v>
      </c>
      <c r="Q62" s="2">
        <v>90</v>
      </c>
      <c r="R62" s="4" t="s">
        <v>747</v>
      </c>
      <c r="S62" s="5">
        <v>87040690</v>
      </c>
    </row>
    <row r="63" spans="1:19" x14ac:dyDescent="0.25">
      <c r="A63" s="4" t="s">
        <v>61</v>
      </c>
      <c r="B63" s="4" t="s">
        <v>59</v>
      </c>
      <c r="C63" s="4" t="s">
        <v>62</v>
      </c>
      <c r="D63" s="4" t="s">
        <v>63</v>
      </c>
      <c r="E63" s="4" t="s">
        <v>188</v>
      </c>
      <c r="F63" s="4" t="s">
        <v>189</v>
      </c>
      <c r="G63" s="4" t="s">
        <v>190</v>
      </c>
      <c r="H63" s="4" t="s">
        <v>26</v>
      </c>
      <c r="I63" s="5">
        <v>90000000</v>
      </c>
      <c r="J63" s="5">
        <v>58620</v>
      </c>
      <c r="K63" s="5">
        <v>5862</v>
      </c>
      <c r="L63" s="4" t="s">
        <v>191</v>
      </c>
      <c r="M63" s="4" t="s">
        <v>192</v>
      </c>
      <c r="N63" s="3">
        <v>45870</v>
      </c>
      <c r="O63" s="4" t="s">
        <v>283</v>
      </c>
      <c r="P63" s="2">
        <v>1000</v>
      </c>
      <c r="Q63" s="2">
        <v>91</v>
      </c>
      <c r="R63" s="4" t="s">
        <v>26</v>
      </c>
      <c r="S63" s="5">
        <v>87040690</v>
      </c>
    </row>
    <row r="64" spans="1:19" x14ac:dyDescent="0.25">
      <c r="A64" s="4" t="s">
        <v>61</v>
      </c>
      <c r="B64" s="4" t="s">
        <v>59</v>
      </c>
      <c r="C64" s="4" t="s">
        <v>62</v>
      </c>
      <c r="D64" s="4" t="s">
        <v>63</v>
      </c>
      <c r="E64" s="4" t="s">
        <v>232</v>
      </c>
      <c r="F64" s="4" t="s">
        <v>233</v>
      </c>
      <c r="G64" s="4" t="s">
        <v>81</v>
      </c>
      <c r="H64" s="4" t="s">
        <v>26</v>
      </c>
      <c r="I64" s="5">
        <v>65000000</v>
      </c>
      <c r="J64" s="5">
        <v>351000</v>
      </c>
      <c r="K64" s="5">
        <v>35100</v>
      </c>
      <c r="L64" s="4" t="s">
        <v>234</v>
      </c>
      <c r="M64" s="4" t="s">
        <v>235</v>
      </c>
      <c r="N64" s="3">
        <v>45870</v>
      </c>
      <c r="O64" s="4" t="s">
        <v>709</v>
      </c>
      <c r="P64" s="2">
        <v>1000</v>
      </c>
      <c r="Q64" s="2">
        <v>91</v>
      </c>
      <c r="R64" s="4" t="s">
        <v>26</v>
      </c>
      <c r="S64" s="5">
        <v>56050260</v>
      </c>
    </row>
    <row r="65" spans="1:19" x14ac:dyDescent="0.25">
      <c r="A65" s="4" t="s">
        <v>61</v>
      </c>
      <c r="B65" s="4" t="s">
        <v>59</v>
      </c>
      <c r="C65" s="4" t="s">
        <v>62</v>
      </c>
      <c r="D65" s="4" t="s">
        <v>63</v>
      </c>
      <c r="E65" s="4" t="s">
        <v>188</v>
      </c>
      <c r="F65" s="4" t="s">
        <v>189</v>
      </c>
      <c r="G65" s="4" t="s">
        <v>190</v>
      </c>
      <c r="H65" s="4" t="s">
        <v>26</v>
      </c>
      <c r="I65" s="5">
        <v>90000000</v>
      </c>
      <c r="J65" s="5">
        <v>54430</v>
      </c>
      <c r="K65" s="5">
        <v>5443</v>
      </c>
      <c r="L65" s="4" t="s">
        <v>191</v>
      </c>
      <c r="M65" s="4" t="s">
        <v>192</v>
      </c>
      <c r="N65" s="3">
        <v>45870</v>
      </c>
      <c r="O65" s="4" t="s">
        <v>283</v>
      </c>
      <c r="P65" s="2">
        <v>2000</v>
      </c>
      <c r="Q65" s="2">
        <v>91</v>
      </c>
      <c r="R65" s="4" t="s">
        <v>26</v>
      </c>
      <c r="S65" s="5">
        <v>87040690</v>
      </c>
    </row>
    <row r="66" spans="1:19" x14ac:dyDescent="0.25">
      <c r="A66" s="4" t="s">
        <v>61</v>
      </c>
      <c r="B66" s="4" t="s">
        <v>59</v>
      </c>
      <c r="C66" s="4" t="s">
        <v>62</v>
      </c>
      <c r="D66" s="4" t="s">
        <v>63</v>
      </c>
      <c r="E66" s="4" t="s">
        <v>188</v>
      </c>
      <c r="F66" s="4" t="s">
        <v>189</v>
      </c>
      <c r="G66" s="4" t="s">
        <v>190</v>
      </c>
      <c r="H66" s="4" t="s">
        <v>26</v>
      </c>
      <c r="I66" s="5">
        <v>90000000</v>
      </c>
      <c r="J66" s="5">
        <v>54430</v>
      </c>
      <c r="K66" s="5">
        <v>5443</v>
      </c>
      <c r="L66" s="4" t="s">
        <v>191</v>
      </c>
      <c r="M66" s="4" t="s">
        <v>192</v>
      </c>
      <c r="N66" s="3">
        <v>45870</v>
      </c>
      <c r="O66" s="4" t="s">
        <v>283</v>
      </c>
      <c r="P66" s="2">
        <v>3000</v>
      </c>
      <c r="Q66" s="2">
        <v>91</v>
      </c>
      <c r="R66" s="4" t="s">
        <v>26</v>
      </c>
      <c r="S66" s="5">
        <v>87040690</v>
      </c>
    </row>
    <row r="67" spans="1:19" x14ac:dyDescent="0.25">
      <c r="A67" s="4" t="s">
        <v>61</v>
      </c>
      <c r="B67" s="4" t="s">
        <v>59</v>
      </c>
      <c r="C67" s="4" t="s">
        <v>62</v>
      </c>
      <c r="D67" s="4" t="s">
        <v>63</v>
      </c>
      <c r="E67" s="4" t="s">
        <v>271</v>
      </c>
      <c r="F67" s="4" t="s">
        <v>272</v>
      </c>
      <c r="G67" s="4" t="s">
        <v>115</v>
      </c>
      <c r="H67" s="4" t="s">
        <v>26</v>
      </c>
      <c r="I67" s="5">
        <v>65000000</v>
      </c>
      <c r="J67" s="5">
        <v>725000</v>
      </c>
      <c r="K67" s="5">
        <v>72500</v>
      </c>
      <c r="L67" s="4" t="s">
        <v>322</v>
      </c>
      <c r="M67" s="4" t="s">
        <v>323</v>
      </c>
      <c r="N67" s="3">
        <v>45870</v>
      </c>
      <c r="O67" s="4" t="s">
        <v>639</v>
      </c>
      <c r="P67" s="2">
        <v>1000</v>
      </c>
      <c r="Q67" s="2">
        <v>127</v>
      </c>
      <c r="R67" s="4" t="s">
        <v>753</v>
      </c>
      <c r="S67" s="5">
        <v>64027000</v>
      </c>
    </row>
    <row r="68" spans="1:19" x14ac:dyDescent="0.25">
      <c r="A68" s="4" t="s">
        <v>61</v>
      </c>
      <c r="B68" s="4" t="s">
        <v>59</v>
      </c>
      <c r="C68" s="4" t="s">
        <v>62</v>
      </c>
      <c r="D68" s="4" t="s">
        <v>63</v>
      </c>
      <c r="E68" s="4" t="s">
        <v>184</v>
      </c>
      <c r="F68" s="4" t="s">
        <v>185</v>
      </c>
      <c r="G68" s="4" t="s">
        <v>100</v>
      </c>
      <c r="H68" s="4" t="s">
        <v>26</v>
      </c>
      <c r="I68" s="5">
        <v>65000000</v>
      </c>
      <c r="J68" s="5">
        <v>39200</v>
      </c>
      <c r="K68" s="5">
        <v>3920</v>
      </c>
      <c r="L68" s="4" t="s">
        <v>566</v>
      </c>
      <c r="M68" s="4" t="s">
        <v>567</v>
      </c>
      <c r="N68" s="3">
        <v>45870</v>
      </c>
      <c r="O68" s="4" t="s">
        <v>565</v>
      </c>
      <c r="P68" s="2">
        <v>1000</v>
      </c>
      <c r="Q68" s="2">
        <v>147</v>
      </c>
      <c r="R68" s="4" t="s">
        <v>749</v>
      </c>
      <c r="S68" s="5">
        <v>64079500</v>
      </c>
    </row>
    <row r="69" spans="1:19" x14ac:dyDescent="0.25">
      <c r="A69" s="4" t="s">
        <v>61</v>
      </c>
      <c r="B69" s="4" t="s">
        <v>59</v>
      </c>
      <c r="C69" s="4" t="s">
        <v>62</v>
      </c>
      <c r="D69" s="4" t="s">
        <v>63</v>
      </c>
      <c r="E69" s="4" t="s">
        <v>382</v>
      </c>
      <c r="F69" s="4" t="s">
        <v>383</v>
      </c>
      <c r="G69" s="4" t="s">
        <v>115</v>
      </c>
      <c r="H69" s="4" t="s">
        <v>26</v>
      </c>
      <c r="I69" s="5">
        <v>65000000</v>
      </c>
      <c r="J69" s="5">
        <v>175000</v>
      </c>
      <c r="K69" s="5">
        <v>17500</v>
      </c>
      <c r="L69" s="4" t="s">
        <v>384</v>
      </c>
      <c r="M69" s="4" t="s">
        <v>385</v>
      </c>
      <c r="N69" s="3">
        <v>45870</v>
      </c>
      <c r="O69" s="4" t="s">
        <v>716</v>
      </c>
      <c r="P69" s="2">
        <v>1000</v>
      </c>
      <c r="Q69" s="2">
        <v>171</v>
      </c>
      <c r="R69" s="4" t="s">
        <v>754</v>
      </c>
      <c r="S69" s="5">
        <v>50115750</v>
      </c>
    </row>
    <row r="70" spans="1:19" x14ac:dyDescent="0.25">
      <c r="A70" s="4" t="s">
        <v>61</v>
      </c>
      <c r="B70" s="4" t="s">
        <v>59</v>
      </c>
      <c r="C70" s="4" t="s">
        <v>62</v>
      </c>
      <c r="D70" s="4" t="s">
        <v>63</v>
      </c>
      <c r="E70" s="4" t="s">
        <v>382</v>
      </c>
      <c r="F70" s="4" t="s">
        <v>383</v>
      </c>
      <c r="G70" s="4" t="s">
        <v>115</v>
      </c>
      <c r="H70" s="4" t="s">
        <v>26</v>
      </c>
      <c r="I70" s="5">
        <v>65000000</v>
      </c>
      <c r="J70" s="5">
        <v>279300</v>
      </c>
      <c r="K70" s="5">
        <v>27930</v>
      </c>
      <c r="L70" s="4" t="s">
        <v>384</v>
      </c>
      <c r="M70" s="4" t="s">
        <v>385</v>
      </c>
      <c r="N70" s="3">
        <v>45870</v>
      </c>
      <c r="O70" s="4" t="s">
        <v>716</v>
      </c>
      <c r="P70" s="2">
        <v>2000</v>
      </c>
      <c r="Q70" s="2">
        <v>171</v>
      </c>
      <c r="R70" s="4" t="s">
        <v>754</v>
      </c>
      <c r="S70" s="5">
        <v>50115750</v>
      </c>
    </row>
    <row r="71" spans="1:19" x14ac:dyDescent="0.25">
      <c r="A71" s="4" t="s">
        <v>61</v>
      </c>
      <c r="B71" s="4" t="s">
        <v>59</v>
      </c>
      <c r="C71" s="4" t="s">
        <v>62</v>
      </c>
      <c r="D71" s="4" t="s">
        <v>63</v>
      </c>
      <c r="E71" s="4" t="s">
        <v>382</v>
      </c>
      <c r="F71" s="4" t="s">
        <v>383</v>
      </c>
      <c r="G71" s="4" t="s">
        <v>115</v>
      </c>
      <c r="H71" s="4" t="s">
        <v>26</v>
      </c>
      <c r="I71" s="5">
        <v>65000000</v>
      </c>
      <c r="J71" s="5">
        <v>566300</v>
      </c>
      <c r="K71" s="5">
        <v>56630</v>
      </c>
      <c r="L71" s="4" t="s">
        <v>384</v>
      </c>
      <c r="M71" s="4" t="s">
        <v>385</v>
      </c>
      <c r="N71" s="3">
        <v>45870</v>
      </c>
      <c r="O71" s="4" t="s">
        <v>716</v>
      </c>
      <c r="P71" s="2">
        <v>3000</v>
      </c>
      <c r="Q71" s="2">
        <v>171</v>
      </c>
      <c r="R71" s="4" t="s">
        <v>754</v>
      </c>
      <c r="S71" s="5">
        <v>50115750</v>
      </c>
    </row>
    <row r="72" spans="1:19" x14ac:dyDescent="0.25">
      <c r="A72" s="4" t="s">
        <v>61</v>
      </c>
      <c r="B72" s="4" t="s">
        <v>59</v>
      </c>
      <c r="C72" s="4" t="s">
        <v>62</v>
      </c>
      <c r="D72" s="4" t="s">
        <v>63</v>
      </c>
      <c r="E72" s="4" t="s">
        <v>382</v>
      </c>
      <c r="F72" s="4" t="s">
        <v>383</v>
      </c>
      <c r="G72" s="4" t="s">
        <v>115</v>
      </c>
      <c r="H72" s="4" t="s">
        <v>26</v>
      </c>
      <c r="I72" s="5">
        <v>65000000</v>
      </c>
      <c r="J72" s="5">
        <v>129000</v>
      </c>
      <c r="K72" s="5">
        <v>12900</v>
      </c>
      <c r="L72" s="4" t="s">
        <v>384</v>
      </c>
      <c r="M72" s="4" t="s">
        <v>385</v>
      </c>
      <c r="N72" s="3">
        <v>45870</v>
      </c>
      <c r="O72" s="4" t="s">
        <v>716</v>
      </c>
      <c r="P72" s="2">
        <v>4000</v>
      </c>
      <c r="Q72" s="2">
        <v>171</v>
      </c>
      <c r="R72" s="4" t="s">
        <v>754</v>
      </c>
      <c r="S72" s="5">
        <v>50115750</v>
      </c>
    </row>
    <row r="73" spans="1:19" x14ac:dyDescent="0.25">
      <c r="A73" s="4" t="s">
        <v>61</v>
      </c>
      <c r="B73" s="4" t="s">
        <v>59</v>
      </c>
      <c r="C73" s="4" t="s">
        <v>62</v>
      </c>
      <c r="D73" s="4" t="s">
        <v>63</v>
      </c>
      <c r="E73" s="4" t="s">
        <v>382</v>
      </c>
      <c r="F73" s="4" t="s">
        <v>383</v>
      </c>
      <c r="G73" s="4" t="s">
        <v>115</v>
      </c>
      <c r="H73" s="4" t="s">
        <v>26</v>
      </c>
      <c r="I73" s="5">
        <v>65000000</v>
      </c>
      <c r="J73" s="5">
        <v>454500</v>
      </c>
      <c r="K73" s="5">
        <v>45450</v>
      </c>
      <c r="L73" s="4" t="s">
        <v>384</v>
      </c>
      <c r="M73" s="4" t="s">
        <v>385</v>
      </c>
      <c r="N73" s="3">
        <v>45870</v>
      </c>
      <c r="O73" s="4" t="s">
        <v>716</v>
      </c>
      <c r="P73" s="2">
        <v>5000</v>
      </c>
      <c r="Q73" s="2">
        <v>171</v>
      </c>
      <c r="R73" s="4" t="s">
        <v>754</v>
      </c>
      <c r="S73" s="5">
        <v>50115750</v>
      </c>
    </row>
    <row r="74" spans="1:19" x14ac:dyDescent="0.25">
      <c r="A74" s="4" t="s">
        <v>61</v>
      </c>
      <c r="B74" s="4" t="s">
        <v>59</v>
      </c>
      <c r="C74" s="4" t="s">
        <v>62</v>
      </c>
      <c r="D74" s="4" t="s">
        <v>63</v>
      </c>
      <c r="E74" s="4" t="s">
        <v>382</v>
      </c>
      <c r="F74" s="4" t="s">
        <v>383</v>
      </c>
      <c r="G74" s="4" t="s">
        <v>115</v>
      </c>
      <c r="H74" s="4" t="s">
        <v>26</v>
      </c>
      <c r="I74" s="5">
        <v>65000000</v>
      </c>
      <c r="J74" s="5">
        <v>609500</v>
      </c>
      <c r="K74" s="5">
        <v>60950</v>
      </c>
      <c r="L74" s="4" t="s">
        <v>384</v>
      </c>
      <c r="M74" s="4" t="s">
        <v>385</v>
      </c>
      <c r="N74" s="3">
        <v>45870</v>
      </c>
      <c r="O74" s="4" t="s">
        <v>716</v>
      </c>
      <c r="P74" s="2">
        <v>6000</v>
      </c>
      <c r="Q74" s="2">
        <v>171</v>
      </c>
      <c r="R74" s="4" t="s">
        <v>754</v>
      </c>
      <c r="S74" s="5">
        <v>50115750</v>
      </c>
    </row>
    <row r="75" spans="1:19" x14ac:dyDescent="0.25">
      <c r="A75" s="4" t="s">
        <v>61</v>
      </c>
      <c r="B75" s="4" t="s">
        <v>59</v>
      </c>
      <c r="C75" s="4" t="s">
        <v>62</v>
      </c>
      <c r="D75" s="4" t="s">
        <v>63</v>
      </c>
      <c r="E75" s="4" t="s">
        <v>382</v>
      </c>
      <c r="F75" s="4" t="s">
        <v>383</v>
      </c>
      <c r="G75" s="4" t="s">
        <v>115</v>
      </c>
      <c r="H75" s="4" t="s">
        <v>26</v>
      </c>
      <c r="I75" s="5">
        <v>65000000</v>
      </c>
      <c r="J75" s="5">
        <v>99000</v>
      </c>
      <c r="K75" s="5">
        <v>9900</v>
      </c>
      <c r="L75" s="4" t="s">
        <v>384</v>
      </c>
      <c r="M75" s="4" t="s">
        <v>385</v>
      </c>
      <c r="N75" s="3">
        <v>45870</v>
      </c>
      <c r="O75" s="4" t="s">
        <v>716</v>
      </c>
      <c r="P75" s="2">
        <v>7000</v>
      </c>
      <c r="Q75" s="2">
        <v>171</v>
      </c>
      <c r="R75" s="4" t="s">
        <v>754</v>
      </c>
      <c r="S75" s="5">
        <v>50115750</v>
      </c>
    </row>
    <row r="76" spans="1:19" x14ac:dyDescent="0.25">
      <c r="A76" s="4" t="s">
        <v>61</v>
      </c>
      <c r="B76" s="4" t="s">
        <v>59</v>
      </c>
      <c r="C76" s="4" t="s">
        <v>62</v>
      </c>
      <c r="D76" s="4" t="s">
        <v>63</v>
      </c>
      <c r="E76" s="4" t="s">
        <v>155</v>
      </c>
      <c r="F76" s="4" t="s">
        <v>156</v>
      </c>
      <c r="G76" s="4" t="s">
        <v>157</v>
      </c>
      <c r="H76" s="4" t="s">
        <v>26</v>
      </c>
      <c r="I76" s="5">
        <v>90000000</v>
      </c>
      <c r="J76" s="5">
        <v>34000</v>
      </c>
      <c r="K76" s="5">
        <v>3400</v>
      </c>
      <c r="L76" s="4" t="s">
        <v>158</v>
      </c>
      <c r="M76" s="4" t="s">
        <v>159</v>
      </c>
      <c r="N76" s="3">
        <v>45870</v>
      </c>
      <c r="O76" s="4" t="s">
        <v>154</v>
      </c>
      <c r="P76" s="2">
        <v>1000</v>
      </c>
      <c r="Q76" s="2">
        <v>188</v>
      </c>
      <c r="R76" s="4" t="s">
        <v>84</v>
      </c>
      <c r="S76" s="5">
        <v>87868500</v>
      </c>
    </row>
    <row r="77" spans="1:19" x14ac:dyDescent="0.25">
      <c r="A77" s="4" t="s">
        <v>61</v>
      </c>
      <c r="B77" s="4" t="s">
        <v>59</v>
      </c>
      <c r="C77" s="4" t="s">
        <v>62</v>
      </c>
      <c r="D77" s="4" t="s">
        <v>63</v>
      </c>
      <c r="E77" s="4" t="s">
        <v>310</v>
      </c>
      <c r="F77" s="4" t="s">
        <v>311</v>
      </c>
      <c r="G77" s="4" t="s">
        <v>190</v>
      </c>
      <c r="H77" s="4" t="s">
        <v>26</v>
      </c>
      <c r="I77" s="5">
        <v>90000000</v>
      </c>
      <c r="J77" s="5">
        <v>30000</v>
      </c>
      <c r="K77" s="5">
        <v>3000</v>
      </c>
      <c r="L77" s="4" t="s">
        <v>26</v>
      </c>
      <c r="M77" s="4" t="s">
        <v>26</v>
      </c>
      <c r="N77" s="3">
        <v>45870</v>
      </c>
      <c r="O77" s="4" t="s">
        <v>459</v>
      </c>
      <c r="P77" s="2">
        <v>1000</v>
      </c>
      <c r="Q77" s="2">
        <v>196</v>
      </c>
      <c r="R77" s="4" t="s">
        <v>84</v>
      </c>
      <c r="S77" s="5">
        <v>86184030</v>
      </c>
    </row>
    <row r="78" spans="1:19" x14ac:dyDescent="0.25">
      <c r="A78" s="4" t="s">
        <v>61</v>
      </c>
      <c r="B78" s="4" t="s">
        <v>59</v>
      </c>
      <c r="C78" s="4" t="s">
        <v>62</v>
      </c>
      <c r="D78" s="4" t="s">
        <v>63</v>
      </c>
      <c r="E78" s="4" t="s">
        <v>504</v>
      </c>
      <c r="F78" s="4" t="s">
        <v>505</v>
      </c>
      <c r="G78" s="4" t="s">
        <v>108</v>
      </c>
      <c r="H78" s="4" t="s">
        <v>26</v>
      </c>
      <c r="I78" s="5">
        <v>150000000</v>
      </c>
      <c r="J78" s="5">
        <v>169000</v>
      </c>
      <c r="K78" s="5">
        <v>16900</v>
      </c>
      <c r="L78" s="4" t="s">
        <v>506</v>
      </c>
      <c r="M78" s="4" t="s">
        <v>507</v>
      </c>
      <c r="N78" s="3">
        <v>45870</v>
      </c>
      <c r="O78" s="4" t="s">
        <v>716</v>
      </c>
      <c r="P78" s="2">
        <v>1000</v>
      </c>
      <c r="Q78" s="2">
        <v>204</v>
      </c>
      <c r="R78" s="4" t="s">
        <v>754</v>
      </c>
      <c r="S78" s="5">
        <v>148092900</v>
      </c>
    </row>
    <row r="79" spans="1:19" x14ac:dyDescent="0.25">
      <c r="A79" s="4" t="s">
        <v>61</v>
      </c>
      <c r="B79" s="4" t="s">
        <v>59</v>
      </c>
      <c r="C79" s="4" t="s">
        <v>62</v>
      </c>
      <c r="D79" s="4" t="s">
        <v>63</v>
      </c>
      <c r="E79" s="4" t="s">
        <v>504</v>
      </c>
      <c r="F79" s="4" t="s">
        <v>505</v>
      </c>
      <c r="G79" s="4" t="s">
        <v>108</v>
      </c>
      <c r="H79" s="4" t="s">
        <v>26</v>
      </c>
      <c r="I79" s="5">
        <v>150000000</v>
      </c>
      <c r="J79" s="5">
        <v>199000</v>
      </c>
      <c r="K79" s="5">
        <v>19900</v>
      </c>
      <c r="L79" s="4" t="s">
        <v>506</v>
      </c>
      <c r="M79" s="4" t="s">
        <v>507</v>
      </c>
      <c r="N79" s="3">
        <v>45870</v>
      </c>
      <c r="O79" s="4" t="s">
        <v>716</v>
      </c>
      <c r="P79" s="2">
        <v>2000</v>
      </c>
      <c r="Q79" s="2">
        <v>204</v>
      </c>
      <c r="R79" s="4" t="s">
        <v>754</v>
      </c>
      <c r="S79" s="5">
        <v>148092900</v>
      </c>
    </row>
    <row r="80" spans="1:19" x14ac:dyDescent="0.25">
      <c r="A80" s="4" t="s">
        <v>61</v>
      </c>
      <c r="B80" s="4" t="s">
        <v>59</v>
      </c>
      <c r="C80" s="4" t="s">
        <v>62</v>
      </c>
      <c r="D80" s="4" t="s">
        <v>63</v>
      </c>
      <c r="E80" s="4" t="s">
        <v>504</v>
      </c>
      <c r="F80" s="4" t="s">
        <v>505</v>
      </c>
      <c r="G80" s="4" t="s">
        <v>108</v>
      </c>
      <c r="H80" s="4" t="s">
        <v>26</v>
      </c>
      <c r="I80" s="5">
        <v>150000000</v>
      </c>
      <c r="J80" s="5">
        <v>169000</v>
      </c>
      <c r="K80" s="5">
        <v>16900</v>
      </c>
      <c r="L80" s="4" t="s">
        <v>506</v>
      </c>
      <c r="M80" s="4" t="s">
        <v>507</v>
      </c>
      <c r="N80" s="3">
        <v>45870</v>
      </c>
      <c r="O80" s="4" t="s">
        <v>716</v>
      </c>
      <c r="P80" s="2">
        <v>1000</v>
      </c>
      <c r="Q80" s="2">
        <v>205</v>
      </c>
      <c r="R80" s="4" t="s">
        <v>754</v>
      </c>
      <c r="S80" s="5">
        <v>148092900</v>
      </c>
    </row>
    <row r="81" spans="1:19" x14ac:dyDescent="0.25">
      <c r="A81" s="4" t="s">
        <v>61</v>
      </c>
      <c r="B81" s="4" t="s">
        <v>59</v>
      </c>
      <c r="C81" s="4" t="s">
        <v>62</v>
      </c>
      <c r="D81" s="4" t="s">
        <v>63</v>
      </c>
      <c r="E81" s="4" t="s">
        <v>504</v>
      </c>
      <c r="F81" s="4" t="s">
        <v>505</v>
      </c>
      <c r="G81" s="4" t="s">
        <v>108</v>
      </c>
      <c r="H81" s="4" t="s">
        <v>26</v>
      </c>
      <c r="I81" s="5">
        <v>150000000</v>
      </c>
      <c r="J81" s="5">
        <v>169000</v>
      </c>
      <c r="K81" s="5">
        <v>16900</v>
      </c>
      <c r="L81" s="4" t="s">
        <v>506</v>
      </c>
      <c r="M81" s="4" t="s">
        <v>507</v>
      </c>
      <c r="N81" s="3">
        <v>45870</v>
      </c>
      <c r="O81" s="4" t="s">
        <v>716</v>
      </c>
      <c r="P81" s="2">
        <v>2000</v>
      </c>
      <c r="Q81" s="2">
        <v>205</v>
      </c>
      <c r="R81" s="4" t="s">
        <v>754</v>
      </c>
      <c r="S81" s="5">
        <v>148092900</v>
      </c>
    </row>
    <row r="82" spans="1:19" x14ac:dyDescent="0.25">
      <c r="A82" s="4" t="s">
        <v>61</v>
      </c>
      <c r="B82" s="4" t="s">
        <v>59</v>
      </c>
      <c r="C82" s="4" t="s">
        <v>62</v>
      </c>
      <c r="D82" s="4" t="s">
        <v>63</v>
      </c>
      <c r="E82" s="4" t="s">
        <v>127</v>
      </c>
      <c r="F82" s="4" t="s">
        <v>128</v>
      </c>
      <c r="G82" s="4" t="s">
        <v>50</v>
      </c>
      <c r="H82" s="4" t="s">
        <v>26</v>
      </c>
      <c r="I82" s="5">
        <v>65000000</v>
      </c>
      <c r="J82" s="5">
        <v>30000</v>
      </c>
      <c r="K82" s="5">
        <v>3000</v>
      </c>
      <c r="L82" s="4" t="s">
        <v>26</v>
      </c>
      <c r="M82" s="4" t="s">
        <v>26</v>
      </c>
      <c r="N82" s="3">
        <v>45870</v>
      </c>
      <c r="O82" s="4" t="s">
        <v>459</v>
      </c>
      <c r="P82" s="2">
        <v>1000</v>
      </c>
      <c r="Q82" s="2">
        <v>224</v>
      </c>
      <c r="R82" s="4" t="s">
        <v>84</v>
      </c>
      <c r="S82" s="5">
        <v>60417600</v>
      </c>
    </row>
    <row r="83" spans="1:19" x14ac:dyDescent="0.25">
      <c r="A83" s="4" t="s">
        <v>61</v>
      </c>
      <c r="B83" s="4" t="s">
        <v>59</v>
      </c>
      <c r="C83" s="4" t="s">
        <v>62</v>
      </c>
      <c r="D83" s="4" t="s">
        <v>63</v>
      </c>
      <c r="E83" s="4" t="s">
        <v>289</v>
      </c>
      <c r="F83" s="4" t="s">
        <v>290</v>
      </c>
      <c r="G83" s="4" t="s">
        <v>100</v>
      </c>
      <c r="H83" s="4" t="s">
        <v>26</v>
      </c>
      <c r="I83" s="5">
        <v>65000000</v>
      </c>
      <c r="J83" s="5">
        <v>79900</v>
      </c>
      <c r="K83" s="5">
        <v>7990</v>
      </c>
      <c r="L83" s="4" t="s">
        <v>182</v>
      </c>
      <c r="M83" s="4" t="s">
        <v>183</v>
      </c>
      <c r="N83" s="3">
        <v>45870</v>
      </c>
      <c r="O83" s="4" t="s">
        <v>459</v>
      </c>
      <c r="P83" s="2">
        <v>1000</v>
      </c>
      <c r="Q83" s="2">
        <v>253</v>
      </c>
      <c r="R83" s="4" t="s">
        <v>755</v>
      </c>
      <c r="S83" s="5">
        <v>64257350</v>
      </c>
    </row>
    <row r="84" spans="1:19" x14ac:dyDescent="0.25">
      <c r="A84" s="4" t="s">
        <v>61</v>
      </c>
      <c r="B84" s="4" t="s">
        <v>59</v>
      </c>
      <c r="C84" s="4" t="s">
        <v>62</v>
      </c>
      <c r="D84" s="4" t="s">
        <v>63</v>
      </c>
      <c r="E84" s="4" t="s">
        <v>289</v>
      </c>
      <c r="F84" s="4" t="s">
        <v>290</v>
      </c>
      <c r="G84" s="4" t="s">
        <v>100</v>
      </c>
      <c r="H84" s="4" t="s">
        <v>26</v>
      </c>
      <c r="I84" s="5">
        <v>65000000</v>
      </c>
      <c r="J84" s="5">
        <v>70550</v>
      </c>
      <c r="K84" s="5">
        <v>7055</v>
      </c>
      <c r="L84" s="4" t="s">
        <v>182</v>
      </c>
      <c r="M84" s="4" t="s">
        <v>183</v>
      </c>
      <c r="N84" s="3">
        <v>45870</v>
      </c>
      <c r="O84" s="4" t="s">
        <v>459</v>
      </c>
      <c r="P84" s="2">
        <v>2000</v>
      </c>
      <c r="Q84" s="2">
        <v>253</v>
      </c>
      <c r="R84" s="4" t="s">
        <v>755</v>
      </c>
      <c r="S84" s="5">
        <v>64257350</v>
      </c>
    </row>
    <row r="85" spans="1:19" x14ac:dyDescent="0.25">
      <c r="A85" s="4" t="s">
        <v>61</v>
      </c>
      <c r="B85" s="4" t="s">
        <v>59</v>
      </c>
      <c r="C85" s="4" t="s">
        <v>62</v>
      </c>
      <c r="D85" s="4" t="s">
        <v>63</v>
      </c>
      <c r="E85" s="4" t="s">
        <v>289</v>
      </c>
      <c r="F85" s="4" t="s">
        <v>290</v>
      </c>
      <c r="G85" s="4" t="s">
        <v>100</v>
      </c>
      <c r="H85" s="4" t="s">
        <v>26</v>
      </c>
      <c r="I85" s="5">
        <v>65000000</v>
      </c>
      <c r="J85" s="5">
        <v>23800</v>
      </c>
      <c r="K85" s="5">
        <v>2380</v>
      </c>
      <c r="L85" s="4" t="s">
        <v>182</v>
      </c>
      <c r="M85" s="4" t="s">
        <v>183</v>
      </c>
      <c r="N85" s="3">
        <v>45870</v>
      </c>
      <c r="O85" s="4" t="s">
        <v>459</v>
      </c>
      <c r="P85" s="2">
        <v>3000</v>
      </c>
      <c r="Q85" s="2">
        <v>253</v>
      </c>
      <c r="R85" s="4" t="s">
        <v>755</v>
      </c>
      <c r="S85" s="5">
        <v>64257350</v>
      </c>
    </row>
    <row r="86" spans="1:19" x14ac:dyDescent="0.25">
      <c r="A86" s="4" t="s">
        <v>61</v>
      </c>
      <c r="B86" s="4" t="s">
        <v>59</v>
      </c>
      <c r="C86" s="4" t="s">
        <v>62</v>
      </c>
      <c r="D86" s="4" t="s">
        <v>63</v>
      </c>
      <c r="E86" s="4" t="s">
        <v>160</v>
      </c>
      <c r="F86" s="4" t="s">
        <v>161</v>
      </c>
      <c r="G86" s="4" t="s">
        <v>115</v>
      </c>
      <c r="H86" s="4" t="s">
        <v>26</v>
      </c>
      <c r="I86" s="5">
        <v>65000000</v>
      </c>
      <c r="J86" s="5">
        <v>71400</v>
      </c>
      <c r="K86" s="5">
        <v>7140</v>
      </c>
      <c r="L86" s="4" t="s">
        <v>162</v>
      </c>
      <c r="M86" s="4" t="s">
        <v>163</v>
      </c>
      <c r="N86" s="3">
        <v>45870</v>
      </c>
      <c r="O86" s="4" t="s">
        <v>154</v>
      </c>
      <c r="P86" s="2">
        <v>1000</v>
      </c>
      <c r="Q86" s="2">
        <v>288</v>
      </c>
      <c r="R86" s="4" t="s">
        <v>26</v>
      </c>
      <c r="S86" s="5">
        <v>64250650</v>
      </c>
    </row>
    <row r="87" spans="1:19" x14ac:dyDescent="0.25">
      <c r="A87" s="4" t="s">
        <v>61</v>
      </c>
      <c r="B87" s="4" t="s">
        <v>59</v>
      </c>
      <c r="C87" s="4" t="s">
        <v>62</v>
      </c>
      <c r="D87" s="4" t="s">
        <v>63</v>
      </c>
      <c r="E87" s="4" t="s">
        <v>426</v>
      </c>
      <c r="F87" s="4" t="s">
        <v>427</v>
      </c>
      <c r="G87" s="4" t="s">
        <v>157</v>
      </c>
      <c r="H87" s="4" t="s">
        <v>26</v>
      </c>
      <c r="I87" s="5">
        <v>90000000</v>
      </c>
      <c r="J87" s="5">
        <v>45000</v>
      </c>
      <c r="K87" s="5">
        <v>4500</v>
      </c>
      <c r="L87" s="4" t="s">
        <v>428</v>
      </c>
      <c r="M87" s="4" t="s">
        <v>429</v>
      </c>
      <c r="N87" s="3">
        <v>45870</v>
      </c>
      <c r="O87" s="4" t="s">
        <v>459</v>
      </c>
      <c r="P87" s="2">
        <v>1000</v>
      </c>
      <c r="Q87" s="2">
        <v>288</v>
      </c>
      <c r="R87" s="4" t="s">
        <v>747</v>
      </c>
      <c r="S87" s="5">
        <v>89653500</v>
      </c>
    </row>
    <row r="88" spans="1:19" x14ac:dyDescent="0.25">
      <c r="A88" s="4" t="s">
        <v>61</v>
      </c>
      <c r="B88" s="4" t="s">
        <v>59</v>
      </c>
      <c r="C88" s="4" t="s">
        <v>62</v>
      </c>
      <c r="D88" s="4" t="s">
        <v>63</v>
      </c>
      <c r="E88" s="4" t="s">
        <v>164</v>
      </c>
      <c r="F88" s="4" t="s">
        <v>165</v>
      </c>
      <c r="G88" s="4" t="s">
        <v>50</v>
      </c>
      <c r="H88" s="4" t="s">
        <v>26</v>
      </c>
      <c r="I88" s="5">
        <v>65000000</v>
      </c>
      <c r="J88" s="5">
        <v>79200</v>
      </c>
      <c r="K88" s="5">
        <v>7920</v>
      </c>
      <c r="L88" s="4" t="s">
        <v>166</v>
      </c>
      <c r="M88" s="4" t="s">
        <v>167</v>
      </c>
      <c r="N88" s="3">
        <v>45870</v>
      </c>
      <c r="O88" s="4" t="s">
        <v>154</v>
      </c>
      <c r="P88" s="2">
        <v>1000</v>
      </c>
      <c r="Q88" s="2">
        <v>296</v>
      </c>
      <c r="R88" s="4" t="s">
        <v>755</v>
      </c>
      <c r="S88" s="5">
        <v>64817100</v>
      </c>
    </row>
    <row r="89" spans="1:19" x14ac:dyDescent="0.25">
      <c r="A89" s="4" t="s">
        <v>61</v>
      </c>
      <c r="B89" s="4" t="s">
        <v>59</v>
      </c>
      <c r="C89" s="4" t="s">
        <v>62</v>
      </c>
      <c r="D89" s="4" t="s">
        <v>63</v>
      </c>
      <c r="E89" s="4" t="s">
        <v>131</v>
      </c>
      <c r="F89" s="4" t="s">
        <v>132</v>
      </c>
      <c r="G89" s="4" t="s">
        <v>100</v>
      </c>
      <c r="H89" s="4" t="s">
        <v>26</v>
      </c>
      <c r="I89" s="5">
        <v>65000000</v>
      </c>
      <c r="J89" s="5">
        <v>76500</v>
      </c>
      <c r="K89" s="5">
        <v>7650</v>
      </c>
      <c r="L89" s="4" t="s">
        <v>133</v>
      </c>
      <c r="M89" s="4" t="s">
        <v>134</v>
      </c>
      <c r="N89" s="3">
        <v>45870</v>
      </c>
      <c r="O89" s="4" t="s">
        <v>147</v>
      </c>
      <c r="P89" s="2">
        <v>1000</v>
      </c>
      <c r="Q89" s="2">
        <v>311</v>
      </c>
      <c r="R89" s="4" t="s">
        <v>26</v>
      </c>
      <c r="S89" s="5">
        <v>63739700</v>
      </c>
    </row>
    <row r="90" spans="1:19" x14ac:dyDescent="0.25">
      <c r="A90" s="4" t="s">
        <v>61</v>
      </c>
      <c r="B90" s="4" t="s">
        <v>59</v>
      </c>
      <c r="C90" s="4" t="s">
        <v>62</v>
      </c>
      <c r="D90" s="4" t="s">
        <v>63</v>
      </c>
      <c r="E90" s="4" t="s">
        <v>498</v>
      </c>
      <c r="F90" s="4" t="s">
        <v>499</v>
      </c>
      <c r="G90" s="4" t="s">
        <v>144</v>
      </c>
      <c r="H90" s="4" t="s">
        <v>26</v>
      </c>
      <c r="I90" s="5">
        <v>90000000</v>
      </c>
      <c r="J90" s="5">
        <v>290000</v>
      </c>
      <c r="K90" s="5">
        <v>29000</v>
      </c>
      <c r="L90" s="4" t="s">
        <v>390</v>
      </c>
      <c r="M90" s="4" t="s">
        <v>391</v>
      </c>
      <c r="N90" s="3">
        <v>45871</v>
      </c>
      <c r="O90" s="4" t="s">
        <v>587</v>
      </c>
      <c r="P90" s="2">
        <v>1000</v>
      </c>
      <c r="Q90" s="2">
        <v>323</v>
      </c>
      <c r="R90" s="4" t="s">
        <v>756</v>
      </c>
      <c r="S90" s="5">
        <v>84861850</v>
      </c>
    </row>
    <row r="91" spans="1:19" x14ac:dyDescent="0.25">
      <c r="A91" s="4" t="s">
        <v>61</v>
      </c>
      <c r="B91" s="4" t="s">
        <v>59</v>
      </c>
      <c r="C91" s="4" t="s">
        <v>62</v>
      </c>
      <c r="D91" s="4" t="s">
        <v>63</v>
      </c>
      <c r="E91" s="4" t="s">
        <v>220</v>
      </c>
      <c r="F91" s="4" t="s">
        <v>221</v>
      </c>
      <c r="G91" s="4" t="s">
        <v>222</v>
      </c>
      <c r="H91" s="4" t="s">
        <v>26</v>
      </c>
      <c r="I91" s="5">
        <v>110000000</v>
      </c>
      <c r="J91" s="5">
        <v>350000</v>
      </c>
      <c r="K91" s="5">
        <v>35000</v>
      </c>
      <c r="L91" s="4" t="s">
        <v>223</v>
      </c>
      <c r="M91" s="4" t="s">
        <v>224</v>
      </c>
      <c r="N91" s="3">
        <v>45871</v>
      </c>
      <c r="O91" s="4" t="s">
        <v>657</v>
      </c>
      <c r="P91" s="2">
        <v>1000</v>
      </c>
      <c r="Q91" s="2">
        <v>334</v>
      </c>
      <c r="R91" s="4" t="s">
        <v>746</v>
      </c>
      <c r="S91" s="5">
        <v>109093400</v>
      </c>
    </row>
    <row r="92" spans="1:19" x14ac:dyDescent="0.25">
      <c r="A92" s="4" t="s">
        <v>61</v>
      </c>
      <c r="B92" s="4" t="s">
        <v>59</v>
      </c>
      <c r="C92" s="4" t="s">
        <v>62</v>
      </c>
      <c r="D92" s="4" t="s">
        <v>63</v>
      </c>
      <c r="E92" s="4" t="s">
        <v>79</v>
      </c>
      <c r="F92" s="4" t="s">
        <v>80</v>
      </c>
      <c r="G92" s="4" t="s">
        <v>81</v>
      </c>
      <c r="H92" s="4" t="s">
        <v>26</v>
      </c>
      <c r="I92" s="5">
        <v>65000000</v>
      </c>
      <c r="J92" s="5">
        <v>77000</v>
      </c>
      <c r="K92" s="5">
        <v>7700</v>
      </c>
      <c r="L92" s="4" t="s">
        <v>26</v>
      </c>
      <c r="M92" s="4" t="s">
        <v>26</v>
      </c>
      <c r="N92" s="3">
        <v>45870</v>
      </c>
      <c r="O92" s="4" t="s">
        <v>459</v>
      </c>
      <c r="P92" s="2">
        <v>1000</v>
      </c>
      <c r="Q92" s="2">
        <v>343</v>
      </c>
      <c r="R92" s="4" t="s">
        <v>755</v>
      </c>
      <c r="S92" s="5">
        <v>61690700</v>
      </c>
    </row>
    <row r="93" spans="1:19" x14ac:dyDescent="0.25">
      <c r="A93" s="4" t="s">
        <v>61</v>
      </c>
      <c r="B93" s="4" t="s">
        <v>59</v>
      </c>
      <c r="C93" s="4" t="s">
        <v>62</v>
      </c>
      <c r="D93" s="4" t="s">
        <v>63</v>
      </c>
      <c r="E93" s="4" t="s">
        <v>293</v>
      </c>
      <c r="F93" s="4" t="s">
        <v>294</v>
      </c>
      <c r="G93" s="4" t="s">
        <v>100</v>
      </c>
      <c r="H93" s="4" t="s">
        <v>26</v>
      </c>
      <c r="I93" s="5">
        <v>65000000</v>
      </c>
      <c r="J93" s="5">
        <v>79200</v>
      </c>
      <c r="K93" s="5">
        <v>7920</v>
      </c>
      <c r="L93" s="4" t="s">
        <v>295</v>
      </c>
      <c r="M93" s="4" t="s">
        <v>296</v>
      </c>
      <c r="N93" s="3">
        <v>45871</v>
      </c>
      <c r="O93" s="4" t="s">
        <v>283</v>
      </c>
      <c r="P93" s="2">
        <v>1000</v>
      </c>
      <c r="Q93" s="2">
        <v>362</v>
      </c>
      <c r="R93" s="4" t="s">
        <v>26</v>
      </c>
      <c r="S93" s="5">
        <v>63872000</v>
      </c>
    </row>
    <row r="94" spans="1:19" x14ac:dyDescent="0.25">
      <c r="A94" s="4" t="s">
        <v>61</v>
      </c>
      <c r="B94" s="4" t="s">
        <v>59</v>
      </c>
      <c r="C94" s="4" t="s">
        <v>62</v>
      </c>
      <c r="D94" s="4" t="s">
        <v>63</v>
      </c>
      <c r="E94" s="4" t="s">
        <v>310</v>
      </c>
      <c r="F94" s="4" t="s">
        <v>311</v>
      </c>
      <c r="G94" s="4" t="s">
        <v>190</v>
      </c>
      <c r="H94" s="4" t="s">
        <v>26</v>
      </c>
      <c r="I94" s="5">
        <v>90000000</v>
      </c>
      <c r="J94" s="5">
        <v>490000</v>
      </c>
      <c r="K94" s="5">
        <v>49000</v>
      </c>
      <c r="L94" s="4" t="s">
        <v>312</v>
      </c>
      <c r="M94" s="4" t="s">
        <v>313</v>
      </c>
      <c r="N94" s="3">
        <v>45871</v>
      </c>
      <c r="O94" s="4" t="s">
        <v>587</v>
      </c>
      <c r="P94" s="2">
        <v>1000</v>
      </c>
      <c r="Q94" s="2">
        <v>372</v>
      </c>
      <c r="R94" s="4" t="s">
        <v>759</v>
      </c>
      <c r="S94" s="5">
        <v>86184030</v>
      </c>
    </row>
    <row r="95" spans="1:19" x14ac:dyDescent="0.25">
      <c r="A95" s="4" t="s">
        <v>61</v>
      </c>
      <c r="B95" s="4" t="s">
        <v>59</v>
      </c>
      <c r="C95" s="4" t="s">
        <v>62</v>
      </c>
      <c r="D95" s="4" t="s">
        <v>63</v>
      </c>
      <c r="E95" s="4" t="s">
        <v>514</v>
      </c>
      <c r="F95" s="4" t="s">
        <v>515</v>
      </c>
      <c r="G95" s="4" t="s">
        <v>190</v>
      </c>
      <c r="H95" s="4" t="s">
        <v>26</v>
      </c>
      <c r="I95" s="5">
        <v>90000000</v>
      </c>
      <c r="J95" s="5">
        <v>95000</v>
      </c>
      <c r="K95" s="5">
        <v>9500</v>
      </c>
      <c r="L95" s="4" t="s">
        <v>516</v>
      </c>
      <c r="M95" s="4" t="s">
        <v>517</v>
      </c>
      <c r="N95" s="3">
        <v>45872</v>
      </c>
      <c r="O95" s="4" t="s">
        <v>605</v>
      </c>
      <c r="P95" s="2">
        <v>1000</v>
      </c>
      <c r="Q95" s="2">
        <v>379</v>
      </c>
      <c r="R95" s="4" t="s">
        <v>26</v>
      </c>
      <c r="S95" s="5">
        <v>88751000</v>
      </c>
    </row>
    <row r="96" spans="1:19" x14ac:dyDescent="0.25">
      <c r="A96" s="4" t="s">
        <v>61</v>
      </c>
      <c r="B96" s="4" t="s">
        <v>59</v>
      </c>
      <c r="C96" s="4" t="s">
        <v>62</v>
      </c>
      <c r="D96" s="4" t="s">
        <v>63</v>
      </c>
      <c r="E96" s="4" t="s">
        <v>514</v>
      </c>
      <c r="F96" s="4" t="s">
        <v>515</v>
      </c>
      <c r="G96" s="4" t="s">
        <v>190</v>
      </c>
      <c r="H96" s="4" t="s">
        <v>26</v>
      </c>
      <c r="I96" s="5">
        <v>90000000</v>
      </c>
      <c r="J96" s="5">
        <v>279000</v>
      </c>
      <c r="K96" s="5">
        <v>27900</v>
      </c>
      <c r="L96" s="4" t="s">
        <v>516</v>
      </c>
      <c r="M96" s="4" t="s">
        <v>517</v>
      </c>
      <c r="N96" s="3">
        <v>45872</v>
      </c>
      <c r="O96" s="4" t="s">
        <v>605</v>
      </c>
      <c r="P96" s="2">
        <v>2000</v>
      </c>
      <c r="Q96" s="2">
        <v>379</v>
      </c>
      <c r="R96" s="4" t="s">
        <v>26</v>
      </c>
      <c r="S96" s="5">
        <v>88751000</v>
      </c>
    </row>
    <row r="97" spans="1:19" x14ac:dyDescent="0.25">
      <c r="A97" s="4" t="s">
        <v>61</v>
      </c>
      <c r="B97" s="4" t="s">
        <v>59</v>
      </c>
      <c r="C97" s="4" t="s">
        <v>62</v>
      </c>
      <c r="D97" s="4" t="s">
        <v>63</v>
      </c>
      <c r="E97" s="4" t="s">
        <v>178</v>
      </c>
      <c r="F97" s="4" t="s">
        <v>179</v>
      </c>
      <c r="G97" s="4" t="s">
        <v>124</v>
      </c>
      <c r="H97" s="4" t="s">
        <v>26</v>
      </c>
      <c r="I97" s="5">
        <v>65000000</v>
      </c>
      <c r="J97" s="5">
        <v>450000</v>
      </c>
      <c r="K97" s="5">
        <v>45000</v>
      </c>
      <c r="L97" s="4" t="s">
        <v>158</v>
      </c>
      <c r="M97" s="4" t="s">
        <v>159</v>
      </c>
      <c r="N97" s="3">
        <v>45872</v>
      </c>
      <c r="O97" s="4" t="s">
        <v>690</v>
      </c>
      <c r="P97" s="2">
        <v>1000</v>
      </c>
      <c r="Q97" s="2">
        <v>389</v>
      </c>
      <c r="R97" s="4" t="s">
        <v>26</v>
      </c>
      <c r="S97" s="5">
        <v>54146650</v>
      </c>
    </row>
    <row r="98" spans="1:19" x14ac:dyDescent="0.25">
      <c r="A98" s="4" t="s">
        <v>61</v>
      </c>
      <c r="B98" s="4" t="s">
        <v>59</v>
      </c>
      <c r="C98" s="4" t="s">
        <v>62</v>
      </c>
      <c r="D98" s="4" t="s">
        <v>63</v>
      </c>
      <c r="E98" s="4" t="s">
        <v>533</v>
      </c>
      <c r="F98" s="4" t="s">
        <v>534</v>
      </c>
      <c r="G98" s="4" t="s">
        <v>309</v>
      </c>
      <c r="H98" s="4" t="s">
        <v>26</v>
      </c>
      <c r="I98" s="5">
        <v>90000000</v>
      </c>
      <c r="J98" s="5">
        <v>138600</v>
      </c>
      <c r="K98" s="5">
        <v>13860</v>
      </c>
      <c r="L98" s="4" t="s">
        <v>273</v>
      </c>
      <c r="M98" s="4" t="s">
        <v>274</v>
      </c>
      <c r="N98" s="3">
        <v>45871</v>
      </c>
      <c r="O98" s="4" t="s">
        <v>532</v>
      </c>
      <c r="P98" s="2">
        <v>1000</v>
      </c>
      <c r="Q98" s="2">
        <v>391</v>
      </c>
      <c r="R98" s="4" t="s">
        <v>755</v>
      </c>
      <c r="S98" s="5">
        <v>83993600</v>
      </c>
    </row>
    <row r="99" spans="1:19" x14ac:dyDescent="0.25">
      <c r="A99" s="4" t="s">
        <v>61</v>
      </c>
      <c r="B99" s="4" t="s">
        <v>59</v>
      </c>
      <c r="C99" s="4" t="s">
        <v>62</v>
      </c>
      <c r="D99" s="4" t="s">
        <v>63</v>
      </c>
      <c r="E99" s="4" t="s">
        <v>533</v>
      </c>
      <c r="F99" s="4" t="s">
        <v>534</v>
      </c>
      <c r="G99" s="4" t="s">
        <v>309</v>
      </c>
      <c r="H99" s="4" t="s">
        <v>26</v>
      </c>
      <c r="I99" s="5">
        <v>90000000</v>
      </c>
      <c r="J99" s="5">
        <v>107800</v>
      </c>
      <c r="K99" s="5">
        <v>10780</v>
      </c>
      <c r="L99" s="4" t="s">
        <v>273</v>
      </c>
      <c r="M99" s="4" t="s">
        <v>274</v>
      </c>
      <c r="N99" s="3">
        <v>45871</v>
      </c>
      <c r="O99" s="4" t="s">
        <v>532</v>
      </c>
      <c r="P99" s="2">
        <v>2000</v>
      </c>
      <c r="Q99" s="2">
        <v>391</v>
      </c>
      <c r="R99" s="4" t="s">
        <v>755</v>
      </c>
      <c r="S99" s="5">
        <v>83993600</v>
      </c>
    </row>
    <row r="100" spans="1:19" x14ac:dyDescent="0.25">
      <c r="A100" s="4" t="s">
        <v>61</v>
      </c>
      <c r="B100" s="4" t="s">
        <v>59</v>
      </c>
      <c r="C100" s="4" t="s">
        <v>62</v>
      </c>
      <c r="D100" s="4" t="s">
        <v>63</v>
      </c>
      <c r="E100" s="4" t="s">
        <v>468</v>
      </c>
      <c r="F100" s="4" t="s">
        <v>469</v>
      </c>
      <c r="G100" s="4" t="s">
        <v>76</v>
      </c>
      <c r="H100" s="4" t="s">
        <v>26</v>
      </c>
      <c r="I100" s="5">
        <v>110000000</v>
      </c>
      <c r="J100" s="5">
        <v>81000</v>
      </c>
      <c r="K100" s="5">
        <v>8100</v>
      </c>
      <c r="L100" s="4" t="s">
        <v>470</v>
      </c>
      <c r="M100" s="4" t="s">
        <v>471</v>
      </c>
      <c r="N100" s="3">
        <v>45871</v>
      </c>
      <c r="O100" s="4" t="s">
        <v>459</v>
      </c>
      <c r="P100" s="2">
        <v>1000</v>
      </c>
      <c r="Q100" s="2">
        <v>399</v>
      </c>
      <c r="R100" s="4" t="s">
        <v>26</v>
      </c>
      <c r="S100" s="5">
        <v>109350000</v>
      </c>
    </row>
    <row r="101" spans="1:19" x14ac:dyDescent="0.25">
      <c r="A101" s="4" t="s">
        <v>61</v>
      </c>
      <c r="B101" s="4" t="s">
        <v>59</v>
      </c>
      <c r="C101" s="4" t="s">
        <v>62</v>
      </c>
      <c r="D101" s="4" t="s">
        <v>63</v>
      </c>
      <c r="E101" s="4" t="s">
        <v>122</v>
      </c>
      <c r="F101" s="4" t="s">
        <v>123</v>
      </c>
      <c r="G101" s="4" t="s">
        <v>124</v>
      </c>
      <c r="H101" s="4" t="s">
        <v>26</v>
      </c>
      <c r="I101" s="5">
        <v>65000000</v>
      </c>
      <c r="J101" s="5">
        <v>5590000</v>
      </c>
      <c r="K101" s="5">
        <v>559000</v>
      </c>
      <c r="L101" s="4" t="s">
        <v>655</v>
      </c>
      <c r="M101" s="4" t="s">
        <v>656</v>
      </c>
      <c r="N101" s="3">
        <v>45892</v>
      </c>
      <c r="O101" s="4" t="s">
        <v>670</v>
      </c>
      <c r="P101" s="2">
        <v>1000</v>
      </c>
      <c r="Q101" s="2">
        <v>403</v>
      </c>
      <c r="R101" s="4" t="s">
        <v>760</v>
      </c>
      <c r="S101" s="5">
        <v>54042090</v>
      </c>
    </row>
    <row r="102" spans="1:19" x14ac:dyDescent="0.25">
      <c r="A102" s="4" t="s">
        <v>61</v>
      </c>
      <c r="B102" s="4" t="s">
        <v>59</v>
      </c>
      <c r="C102" s="4" t="s">
        <v>62</v>
      </c>
      <c r="D102" s="4" t="s">
        <v>63</v>
      </c>
      <c r="E102" s="4" t="s">
        <v>310</v>
      </c>
      <c r="F102" s="4" t="s">
        <v>311</v>
      </c>
      <c r="G102" s="4" t="s">
        <v>190</v>
      </c>
      <c r="H102" s="4" t="s">
        <v>26</v>
      </c>
      <c r="I102" s="5">
        <v>90000000</v>
      </c>
      <c r="J102" s="5">
        <v>30000</v>
      </c>
      <c r="K102" s="5">
        <v>3000</v>
      </c>
      <c r="L102" s="4" t="s">
        <v>312</v>
      </c>
      <c r="M102" s="4" t="s">
        <v>313</v>
      </c>
      <c r="N102" s="3">
        <v>45871</v>
      </c>
      <c r="O102" s="4" t="s">
        <v>532</v>
      </c>
      <c r="P102" s="2">
        <v>1000</v>
      </c>
      <c r="Q102" s="2">
        <v>407</v>
      </c>
      <c r="R102" s="4" t="s">
        <v>84</v>
      </c>
      <c r="S102" s="5">
        <v>86184030</v>
      </c>
    </row>
    <row r="103" spans="1:19" x14ac:dyDescent="0.25">
      <c r="A103" s="4" t="s">
        <v>61</v>
      </c>
      <c r="B103" s="4" t="s">
        <v>59</v>
      </c>
      <c r="C103" s="4" t="s">
        <v>62</v>
      </c>
      <c r="D103" s="4" t="s">
        <v>63</v>
      </c>
      <c r="E103" s="4" t="s">
        <v>422</v>
      </c>
      <c r="F103" s="4" t="s">
        <v>423</v>
      </c>
      <c r="G103" s="4" t="s">
        <v>124</v>
      </c>
      <c r="H103" s="4" t="s">
        <v>26</v>
      </c>
      <c r="I103" s="5">
        <v>65000000</v>
      </c>
      <c r="J103" s="5">
        <v>40000</v>
      </c>
      <c r="K103" s="5">
        <v>4000</v>
      </c>
      <c r="L103" s="4" t="s">
        <v>26</v>
      </c>
      <c r="M103" s="4" t="s">
        <v>26</v>
      </c>
      <c r="N103" s="3">
        <v>45871</v>
      </c>
      <c r="O103" s="4" t="s">
        <v>459</v>
      </c>
      <c r="P103" s="2">
        <v>1000</v>
      </c>
      <c r="Q103" s="2">
        <v>417</v>
      </c>
      <c r="R103" s="4" t="s">
        <v>84</v>
      </c>
      <c r="S103" s="5">
        <v>63183000</v>
      </c>
    </row>
    <row r="104" spans="1:19" x14ac:dyDescent="0.25">
      <c r="A104" s="4" t="s">
        <v>61</v>
      </c>
      <c r="B104" s="4" t="s">
        <v>59</v>
      </c>
      <c r="C104" s="4" t="s">
        <v>62</v>
      </c>
      <c r="D104" s="4" t="s">
        <v>63</v>
      </c>
      <c r="E104" s="4" t="s">
        <v>412</v>
      </c>
      <c r="F104" s="4" t="s">
        <v>413</v>
      </c>
      <c r="G104" s="4" t="s">
        <v>157</v>
      </c>
      <c r="H104" s="4" t="s">
        <v>26</v>
      </c>
      <c r="I104" s="5">
        <v>90000000</v>
      </c>
      <c r="J104" s="5">
        <v>49500</v>
      </c>
      <c r="K104" s="5">
        <v>4950</v>
      </c>
      <c r="L104" s="4" t="s">
        <v>414</v>
      </c>
      <c r="M104" s="4" t="s">
        <v>415</v>
      </c>
      <c r="N104" s="3">
        <v>45871</v>
      </c>
      <c r="O104" s="4" t="s">
        <v>416</v>
      </c>
      <c r="P104" s="2">
        <v>1000</v>
      </c>
      <c r="Q104" s="2">
        <v>419</v>
      </c>
      <c r="R104" s="4" t="s">
        <v>26</v>
      </c>
      <c r="S104" s="5">
        <v>87613200</v>
      </c>
    </row>
    <row r="105" spans="1:19" x14ac:dyDescent="0.25">
      <c r="A105" s="4" t="s">
        <v>61</v>
      </c>
      <c r="B105" s="4" t="s">
        <v>59</v>
      </c>
      <c r="C105" s="4" t="s">
        <v>62</v>
      </c>
      <c r="D105" s="4" t="s">
        <v>63</v>
      </c>
      <c r="E105" s="4" t="s">
        <v>365</v>
      </c>
      <c r="F105" s="4" t="s">
        <v>366</v>
      </c>
      <c r="G105" s="4" t="s">
        <v>50</v>
      </c>
      <c r="H105" s="4" t="s">
        <v>26</v>
      </c>
      <c r="I105" s="5">
        <v>65000000</v>
      </c>
      <c r="J105" s="5">
        <v>46200</v>
      </c>
      <c r="K105" s="5">
        <v>4620</v>
      </c>
      <c r="L105" s="4" t="s">
        <v>352</v>
      </c>
      <c r="M105" s="4" t="s">
        <v>353</v>
      </c>
      <c r="N105" s="3">
        <v>45871</v>
      </c>
      <c r="O105" s="4" t="s">
        <v>532</v>
      </c>
      <c r="P105" s="2">
        <v>1000</v>
      </c>
      <c r="Q105" s="2">
        <v>424</v>
      </c>
      <c r="R105" s="4" t="s">
        <v>755</v>
      </c>
      <c r="S105" s="5">
        <v>64509900</v>
      </c>
    </row>
    <row r="106" spans="1:19" x14ac:dyDescent="0.25">
      <c r="A106" s="4" t="s">
        <v>61</v>
      </c>
      <c r="B106" s="4" t="s">
        <v>59</v>
      </c>
      <c r="C106" s="4" t="s">
        <v>62</v>
      </c>
      <c r="D106" s="4" t="s">
        <v>63</v>
      </c>
      <c r="E106" s="4" t="s">
        <v>113</v>
      </c>
      <c r="F106" s="4" t="s">
        <v>114</v>
      </c>
      <c r="G106" s="4" t="s">
        <v>115</v>
      </c>
      <c r="H106" s="4" t="s">
        <v>26</v>
      </c>
      <c r="I106" s="5">
        <v>65000000</v>
      </c>
      <c r="J106" s="5">
        <v>85000</v>
      </c>
      <c r="K106" s="5">
        <v>8500</v>
      </c>
      <c r="L106" s="4" t="s">
        <v>116</v>
      </c>
      <c r="M106" s="4" t="s">
        <v>117</v>
      </c>
      <c r="N106" s="3">
        <v>45871</v>
      </c>
      <c r="O106" s="4" t="s">
        <v>565</v>
      </c>
      <c r="P106" s="2">
        <v>1000</v>
      </c>
      <c r="Q106" s="2">
        <v>425</v>
      </c>
      <c r="R106" s="4" t="s">
        <v>749</v>
      </c>
      <c r="S106" s="5">
        <v>64684400</v>
      </c>
    </row>
    <row r="107" spans="1:19" x14ac:dyDescent="0.25">
      <c r="A107" s="4" t="s">
        <v>61</v>
      </c>
      <c r="B107" s="4" t="s">
        <v>59</v>
      </c>
      <c r="C107" s="4" t="s">
        <v>62</v>
      </c>
      <c r="D107" s="4" t="s">
        <v>63</v>
      </c>
      <c r="E107" s="4" t="s">
        <v>382</v>
      </c>
      <c r="F107" s="4" t="s">
        <v>383</v>
      </c>
      <c r="G107" s="4" t="s">
        <v>115</v>
      </c>
      <c r="H107" s="4" t="s">
        <v>26</v>
      </c>
      <c r="I107" s="5">
        <v>65000000</v>
      </c>
      <c r="J107" s="5">
        <v>350000</v>
      </c>
      <c r="K107" s="5">
        <v>35000</v>
      </c>
      <c r="L107" s="4" t="s">
        <v>384</v>
      </c>
      <c r="M107" s="4" t="s">
        <v>385</v>
      </c>
      <c r="N107" s="3">
        <v>45871</v>
      </c>
      <c r="O107" s="4" t="s">
        <v>532</v>
      </c>
      <c r="P107" s="2">
        <v>1000</v>
      </c>
      <c r="Q107" s="2">
        <v>474</v>
      </c>
      <c r="R107" s="4" t="s">
        <v>749</v>
      </c>
      <c r="S107" s="5">
        <v>50115750</v>
      </c>
    </row>
    <row r="108" spans="1:19" x14ac:dyDescent="0.25">
      <c r="A108" s="4" t="s">
        <v>61</v>
      </c>
      <c r="B108" s="4" t="s">
        <v>59</v>
      </c>
      <c r="C108" s="4" t="s">
        <v>62</v>
      </c>
      <c r="D108" s="4" t="s">
        <v>63</v>
      </c>
      <c r="E108" s="4" t="s">
        <v>742</v>
      </c>
      <c r="F108" s="4" t="s">
        <v>743</v>
      </c>
      <c r="G108" s="4" t="s">
        <v>381</v>
      </c>
      <c r="H108" s="4" t="s">
        <v>26</v>
      </c>
      <c r="I108" s="5">
        <v>90000000</v>
      </c>
      <c r="J108" s="5">
        <v>99000</v>
      </c>
      <c r="K108" s="5">
        <v>9900</v>
      </c>
      <c r="L108" s="4" t="s">
        <v>466</v>
      </c>
      <c r="M108" s="4" t="s">
        <v>467</v>
      </c>
      <c r="N108" s="3">
        <v>45873</v>
      </c>
      <c r="O108" s="4" t="s">
        <v>732</v>
      </c>
      <c r="P108" s="2">
        <v>1000</v>
      </c>
      <c r="Q108" s="2">
        <v>475</v>
      </c>
      <c r="R108" s="4" t="s">
        <v>754</v>
      </c>
      <c r="S108" s="5">
        <v>89802000</v>
      </c>
    </row>
    <row r="109" spans="1:19" x14ac:dyDescent="0.25">
      <c r="A109" s="4" t="s">
        <v>61</v>
      </c>
      <c r="B109" s="4" t="s">
        <v>59</v>
      </c>
      <c r="C109" s="4" t="s">
        <v>62</v>
      </c>
      <c r="D109" s="4" t="s">
        <v>63</v>
      </c>
      <c r="E109" s="4" t="s">
        <v>742</v>
      </c>
      <c r="F109" s="4" t="s">
        <v>743</v>
      </c>
      <c r="G109" s="4" t="s">
        <v>381</v>
      </c>
      <c r="H109" s="4" t="s">
        <v>26</v>
      </c>
      <c r="I109" s="5">
        <v>90000000</v>
      </c>
      <c r="J109" s="5">
        <v>99000</v>
      </c>
      <c r="K109" s="5">
        <v>9900</v>
      </c>
      <c r="L109" s="4" t="s">
        <v>466</v>
      </c>
      <c r="M109" s="4" t="s">
        <v>467</v>
      </c>
      <c r="N109" s="3">
        <v>45873</v>
      </c>
      <c r="O109" s="4" t="s">
        <v>732</v>
      </c>
      <c r="P109" s="2">
        <v>2000</v>
      </c>
      <c r="Q109" s="2">
        <v>475</v>
      </c>
      <c r="R109" s="4" t="s">
        <v>754</v>
      </c>
      <c r="S109" s="5">
        <v>89802000</v>
      </c>
    </row>
    <row r="110" spans="1:19" x14ac:dyDescent="0.25">
      <c r="A110" s="4" t="s">
        <v>61</v>
      </c>
      <c r="B110" s="4" t="s">
        <v>59</v>
      </c>
      <c r="C110" s="4" t="s">
        <v>62</v>
      </c>
      <c r="D110" s="4" t="s">
        <v>63</v>
      </c>
      <c r="E110" s="4" t="s">
        <v>89</v>
      </c>
      <c r="F110" s="4" t="s">
        <v>90</v>
      </c>
      <c r="G110" s="4" t="s">
        <v>91</v>
      </c>
      <c r="H110" s="4" t="s">
        <v>26</v>
      </c>
      <c r="I110" s="5">
        <v>65000000</v>
      </c>
      <c r="J110" s="5">
        <v>150000</v>
      </c>
      <c r="K110" s="5">
        <v>15000</v>
      </c>
      <c r="L110" s="4" t="s">
        <v>320</v>
      </c>
      <c r="M110" s="4" t="s">
        <v>321</v>
      </c>
      <c r="N110" s="3">
        <v>45872</v>
      </c>
      <c r="O110" s="4" t="s">
        <v>587</v>
      </c>
      <c r="P110" s="2">
        <v>1000</v>
      </c>
      <c r="Q110" s="2">
        <v>480</v>
      </c>
      <c r="R110" s="4" t="s">
        <v>26</v>
      </c>
      <c r="S110" s="5">
        <v>60891200</v>
      </c>
    </row>
    <row r="111" spans="1:19" x14ac:dyDescent="0.25">
      <c r="A111" s="4" t="s">
        <v>61</v>
      </c>
      <c r="B111" s="4" t="s">
        <v>59</v>
      </c>
      <c r="C111" s="4" t="s">
        <v>62</v>
      </c>
      <c r="D111" s="4" t="s">
        <v>63</v>
      </c>
      <c r="E111" s="4" t="s">
        <v>89</v>
      </c>
      <c r="F111" s="4" t="s">
        <v>90</v>
      </c>
      <c r="G111" s="4" t="s">
        <v>91</v>
      </c>
      <c r="H111" s="4" t="s">
        <v>26</v>
      </c>
      <c r="I111" s="5">
        <v>65000000</v>
      </c>
      <c r="J111" s="5">
        <v>150000</v>
      </c>
      <c r="K111" s="5">
        <v>15000</v>
      </c>
      <c r="L111" s="4" t="s">
        <v>320</v>
      </c>
      <c r="M111" s="4" t="s">
        <v>321</v>
      </c>
      <c r="N111" s="3">
        <v>45872</v>
      </c>
      <c r="O111" s="4" t="s">
        <v>587</v>
      </c>
      <c r="P111" s="2">
        <v>2000</v>
      </c>
      <c r="Q111" s="2">
        <v>480</v>
      </c>
      <c r="R111" s="4" t="s">
        <v>26</v>
      </c>
      <c r="S111" s="5">
        <v>60891200</v>
      </c>
    </row>
    <row r="112" spans="1:19" x14ac:dyDescent="0.25">
      <c r="A112" s="4" t="s">
        <v>61</v>
      </c>
      <c r="B112" s="4" t="s">
        <v>59</v>
      </c>
      <c r="C112" s="4" t="s">
        <v>62</v>
      </c>
      <c r="D112" s="4" t="s">
        <v>63</v>
      </c>
      <c r="E112" s="4" t="s">
        <v>89</v>
      </c>
      <c r="F112" s="4" t="s">
        <v>90</v>
      </c>
      <c r="G112" s="4" t="s">
        <v>91</v>
      </c>
      <c r="H112" s="4" t="s">
        <v>26</v>
      </c>
      <c r="I112" s="5">
        <v>65000000</v>
      </c>
      <c r="J112" s="5">
        <v>34000</v>
      </c>
      <c r="K112" s="5">
        <v>3400</v>
      </c>
      <c r="L112" s="4" t="s">
        <v>26</v>
      </c>
      <c r="M112" s="4" t="s">
        <v>26</v>
      </c>
      <c r="N112" s="3">
        <v>45871</v>
      </c>
      <c r="O112" s="4" t="s">
        <v>154</v>
      </c>
      <c r="P112" s="2">
        <v>1000</v>
      </c>
      <c r="Q112" s="2">
        <v>498</v>
      </c>
      <c r="R112" s="4" t="s">
        <v>84</v>
      </c>
      <c r="S112" s="5">
        <v>60891200</v>
      </c>
    </row>
    <row r="113" spans="1:19" x14ac:dyDescent="0.25">
      <c r="A113" s="4" t="s">
        <v>61</v>
      </c>
      <c r="B113" s="4" t="s">
        <v>59</v>
      </c>
      <c r="C113" s="4" t="s">
        <v>62</v>
      </c>
      <c r="D113" s="4" t="s">
        <v>63</v>
      </c>
      <c r="E113" s="4" t="s">
        <v>464</v>
      </c>
      <c r="F113" s="4" t="s">
        <v>465</v>
      </c>
      <c r="G113" s="4" t="s">
        <v>190</v>
      </c>
      <c r="H113" s="4" t="s">
        <v>26</v>
      </c>
      <c r="I113" s="5">
        <v>90000000</v>
      </c>
      <c r="J113" s="5">
        <v>99000</v>
      </c>
      <c r="K113" s="5">
        <v>9900</v>
      </c>
      <c r="L113" s="4" t="s">
        <v>466</v>
      </c>
      <c r="M113" s="4" t="s">
        <v>467</v>
      </c>
      <c r="N113" s="3">
        <v>45871</v>
      </c>
      <c r="O113" s="4" t="s">
        <v>716</v>
      </c>
      <c r="P113" s="2">
        <v>1000</v>
      </c>
      <c r="Q113" s="2">
        <v>503</v>
      </c>
      <c r="R113" s="4" t="s">
        <v>754</v>
      </c>
      <c r="S113" s="5">
        <v>81637020</v>
      </c>
    </row>
    <row r="114" spans="1:19" x14ac:dyDescent="0.25">
      <c r="A114" s="4" t="s">
        <v>61</v>
      </c>
      <c r="B114" s="4" t="s">
        <v>59</v>
      </c>
      <c r="C114" s="4" t="s">
        <v>62</v>
      </c>
      <c r="D114" s="4" t="s">
        <v>63</v>
      </c>
      <c r="E114" s="4" t="s">
        <v>464</v>
      </c>
      <c r="F114" s="4" t="s">
        <v>465</v>
      </c>
      <c r="G114" s="4" t="s">
        <v>190</v>
      </c>
      <c r="H114" s="4" t="s">
        <v>26</v>
      </c>
      <c r="I114" s="5">
        <v>90000000</v>
      </c>
      <c r="J114" s="5">
        <v>99000</v>
      </c>
      <c r="K114" s="5">
        <v>9900</v>
      </c>
      <c r="L114" s="4" t="s">
        <v>466</v>
      </c>
      <c r="M114" s="4" t="s">
        <v>467</v>
      </c>
      <c r="N114" s="3">
        <v>45871</v>
      </c>
      <c r="O114" s="4" t="s">
        <v>716</v>
      </c>
      <c r="P114" s="2">
        <v>2000</v>
      </c>
      <c r="Q114" s="2">
        <v>503</v>
      </c>
      <c r="R114" s="4" t="s">
        <v>754</v>
      </c>
      <c r="S114" s="5">
        <v>81637020</v>
      </c>
    </row>
    <row r="115" spans="1:19" x14ac:dyDescent="0.25">
      <c r="A115" s="4" t="s">
        <v>61</v>
      </c>
      <c r="B115" s="4" t="s">
        <v>59</v>
      </c>
      <c r="C115" s="4" t="s">
        <v>62</v>
      </c>
      <c r="D115" s="4" t="s">
        <v>63</v>
      </c>
      <c r="E115" s="4" t="s">
        <v>263</v>
      </c>
      <c r="F115" s="4" t="s">
        <v>264</v>
      </c>
      <c r="G115" s="4" t="s">
        <v>81</v>
      </c>
      <c r="H115" s="4" t="s">
        <v>26</v>
      </c>
      <c r="I115" s="5">
        <v>65000000</v>
      </c>
      <c r="J115" s="5">
        <v>250000</v>
      </c>
      <c r="K115" s="5">
        <v>25000</v>
      </c>
      <c r="L115" s="4" t="s">
        <v>26</v>
      </c>
      <c r="M115" s="4" t="s">
        <v>26</v>
      </c>
      <c r="N115" s="3">
        <v>45873</v>
      </c>
      <c r="O115" s="4" t="s">
        <v>605</v>
      </c>
      <c r="P115" s="2">
        <v>1000</v>
      </c>
      <c r="Q115" s="2">
        <v>513</v>
      </c>
      <c r="R115" s="4" t="s">
        <v>756</v>
      </c>
      <c r="S115" s="5">
        <v>54808900</v>
      </c>
    </row>
    <row r="116" spans="1:19" x14ac:dyDescent="0.25">
      <c r="A116" s="4" t="s">
        <v>61</v>
      </c>
      <c r="B116" s="4" t="s">
        <v>59</v>
      </c>
      <c r="C116" s="4" t="s">
        <v>62</v>
      </c>
      <c r="D116" s="4" t="s">
        <v>63</v>
      </c>
      <c r="E116" s="4" t="s">
        <v>417</v>
      </c>
      <c r="F116" s="4" t="s">
        <v>418</v>
      </c>
      <c r="G116" s="4" t="s">
        <v>419</v>
      </c>
      <c r="H116" s="4" t="s">
        <v>26</v>
      </c>
      <c r="I116" s="5">
        <v>155000000</v>
      </c>
      <c r="J116" s="5">
        <v>14044800</v>
      </c>
      <c r="K116" s="5">
        <v>1404480</v>
      </c>
      <c r="L116" s="4" t="s">
        <v>420</v>
      </c>
      <c r="M116" s="4" t="s">
        <v>421</v>
      </c>
      <c r="N116" s="3">
        <v>45873</v>
      </c>
      <c r="O116" s="4" t="s">
        <v>639</v>
      </c>
      <c r="P116" s="2">
        <v>1000</v>
      </c>
      <c r="Q116" s="2">
        <v>514</v>
      </c>
      <c r="R116" s="4" t="s">
        <v>753</v>
      </c>
      <c r="S116" s="5">
        <v>132256450</v>
      </c>
    </row>
    <row r="117" spans="1:19" x14ac:dyDescent="0.25">
      <c r="A117" s="4" t="s">
        <v>61</v>
      </c>
      <c r="B117" s="4" t="s">
        <v>59</v>
      </c>
      <c r="C117" s="4" t="s">
        <v>62</v>
      </c>
      <c r="D117" s="4" t="s">
        <v>63</v>
      </c>
      <c r="E117" s="4" t="s">
        <v>394</v>
      </c>
      <c r="F117" s="4" t="s">
        <v>395</v>
      </c>
      <c r="G117" s="4" t="s">
        <v>50</v>
      </c>
      <c r="H117" s="4" t="s">
        <v>26</v>
      </c>
      <c r="I117" s="5">
        <v>65000000</v>
      </c>
      <c r="J117" s="5">
        <v>447550</v>
      </c>
      <c r="K117" s="5">
        <v>44755</v>
      </c>
      <c r="L117" s="4" t="s">
        <v>396</v>
      </c>
      <c r="M117" s="4" t="s">
        <v>397</v>
      </c>
      <c r="N117" s="3">
        <v>45877</v>
      </c>
      <c r="O117" s="4" t="s">
        <v>681</v>
      </c>
      <c r="P117" s="2">
        <v>1000</v>
      </c>
      <c r="Q117" s="2">
        <v>521</v>
      </c>
      <c r="R117" s="4" t="s">
        <v>26</v>
      </c>
      <c r="S117" s="5">
        <v>54375310</v>
      </c>
    </row>
    <row r="118" spans="1:19" x14ac:dyDescent="0.25">
      <c r="A118" s="4" t="s">
        <v>61</v>
      </c>
      <c r="B118" s="4" t="s">
        <v>59</v>
      </c>
      <c r="C118" s="4" t="s">
        <v>62</v>
      </c>
      <c r="D118" s="4" t="s">
        <v>63</v>
      </c>
      <c r="E118" s="4" t="s">
        <v>394</v>
      </c>
      <c r="F118" s="4" t="s">
        <v>395</v>
      </c>
      <c r="G118" s="4" t="s">
        <v>50</v>
      </c>
      <c r="H118" s="4" t="s">
        <v>26</v>
      </c>
      <c r="I118" s="5">
        <v>65000000</v>
      </c>
      <c r="J118" s="5">
        <v>447550</v>
      </c>
      <c r="K118" s="5">
        <v>44755</v>
      </c>
      <c r="L118" s="4" t="s">
        <v>396</v>
      </c>
      <c r="M118" s="4" t="s">
        <v>397</v>
      </c>
      <c r="N118" s="3">
        <v>45877</v>
      </c>
      <c r="O118" s="4" t="s">
        <v>681</v>
      </c>
      <c r="P118" s="2">
        <v>2000</v>
      </c>
      <c r="Q118" s="2">
        <v>521</v>
      </c>
      <c r="R118" s="4" t="s">
        <v>26</v>
      </c>
      <c r="S118" s="5">
        <v>54375310</v>
      </c>
    </row>
    <row r="119" spans="1:19" x14ac:dyDescent="0.25">
      <c r="A119" s="4" t="s">
        <v>61</v>
      </c>
      <c r="B119" s="4" t="s">
        <v>59</v>
      </c>
      <c r="C119" s="4" t="s">
        <v>62</v>
      </c>
      <c r="D119" s="4" t="s">
        <v>63</v>
      </c>
      <c r="E119" s="4" t="s">
        <v>394</v>
      </c>
      <c r="F119" s="4" t="s">
        <v>395</v>
      </c>
      <c r="G119" s="4" t="s">
        <v>50</v>
      </c>
      <c r="H119" s="4" t="s">
        <v>26</v>
      </c>
      <c r="I119" s="5">
        <v>65000000</v>
      </c>
      <c r="J119" s="5">
        <v>447550</v>
      </c>
      <c r="K119" s="5">
        <v>44755</v>
      </c>
      <c r="L119" s="4" t="s">
        <v>396</v>
      </c>
      <c r="M119" s="4" t="s">
        <v>397</v>
      </c>
      <c r="N119" s="3">
        <v>45877</v>
      </c>
      <c r="O119" s="4" t="s">
        <v>681</v>
      </c>
      <c r="P119" s="2">
        <v>3000</v>
      </c>
      <c r="Q119" s="2">
        <v>521</v>
      </c>
      <c r="R119" s="4" t="s">
        <v>26</v>
      </c>
      <c r="S119" s="5">
        <v>54375310</v>
      </c>
    </row>
    <row r="120" spans="1:19" x14ac:dyDescent="0.25">
      <c r="A120" s="4" t="s">
        <v>61</v>
      </c>
      <c r="B120" s="4" t="s">
        <v>59</v>
      </c>
      <c r="C120" s="4" t="s">
        <v>62</v>
      </c>
      <c r="D120" s="4" t="s">
        <v>63</v>
      </c>
      <c r="E120" s="4" t="s">
        <v>394</v>
      </c>
      <c r="F120" s="4" t="s">
        <v>395</v>
      </c>
      <c r="G120" s="4" t="s">
        <v>50</v>
      </c>
      <c r="H120" s="4" t="s">
        <v>26</v>
      </c>
      <c r="I120" s="5">
        <v>65000000</v>
      </c>
      <c r="J120" s="5">
        <v>447550</v>
      </c>
      <c r="K120" s="5">
        <v>44755</v>
      </c>
      <c r="L120" s="4" t="s">
        <v>396</v>
      </c>
      <c r="M120" s="4" t="s">
        <v>397</v>
      </c>
      <c r="N120" s="3">
        <v>45877</v>
      </c>
      <c r="O120" s="4" t="s">
        <v>681</v>
      </c>
      <c r="P120" s="2">
        <v>4000</v>
      </c>
      <c r="Q120" s="2">
        <v>521</v>
      </c>
      <c r="R120" s="4" t="s">
        <v>26</v>
      </c>
      <c r="S120" s="5">
        <v>54375310</v>
      </c>
    </row>
    <row r="121" spans="1:19" x14ac:dyDescent="0.25">
      <c r="A121" s="4" t="s">
        <v>61</v>
      </c>
      <c r="B121" s="4" t="s">
        <v>59</v>
      </c>
      <c r="C121" s="4" t="s">
        <v>62</v>
      </c>
      <c r="D121" s="4" t="s">
        <v>63</v>
      </c>
      <c r="E121" s="4" t="s">
        <v>251</v>
      </c>
      <c r="F121" s="4" t="s">
        <v>252</v>
      </c>
      <c r="G121" s="4" t="s">
        <v>222</v>
      </c>
      <c r="H121" s="4" t="s">
        <v>26</v>
      </c>
      <c r="I121" s="5">
        <v>110000000</v>
      </c>
      <c r="J121" s="5">
        <v>299000</v>
      </c>
      <c r="K121" s="5">
        <v>29900</v>
      </c>
      <c r="L121" s="4" t="s">
        <v>253</v>
      </c>
      <c r="M121" s="4" t="s">
        <v>254</v>
      </c>
      <c r="N121" s="3">
        <v>45871</v>
      </c>
      <c r="O121" s="4" t="s">
        <v>733</v>
      </c>
      <c r="P121" s="2">
        <v>1000</v>
      </c>
      <c r="Q121" s="2">
        <v>525</v>
      </c>
      <c r="R121" s="4" t="s">
        <v>754</v>
      </c>
      <c r="S121" s="5">
        <v>108445000</v>
      </c>
    </row>
    <row r="122" spans="1:19" x14ac:dyDescent="0.25">
      <c r="A122" s="4" t="s">
        <v>61</v>
      </c>
      <c r="B122" s="4" t="s">
        <v>59</v>
      </c>
      <c r="C122" s="4" t="s">
        <v>62</v>
      </c>
      <c r="D122" s="4" t="s">
        <v>63</v>
      </c>
      <c r="E122" s="4" t="s">
        <v>502</v>
      </c>
      <c r="F122" s="4" t="s">
        <v>503</v>
      </c>
      <c r="G122" s="4" t="s">
        <v>81</v>
      </c>
      <c r="H122" s="4" t="s">
        <v>26</v>
      </c>
      <c r="I122" s="5">
        <v>65000000</v>
      </c>
      <c r="J122" s="5">
        <v>391700</v>
      </c>
      <c r="K122" s="5">
        <v>39170</v>
      </c>
      <c r="L122" s="4" t="s">
        <v>26</v>
      </c>
      <c r="M122" s="4" t="s">
        <v>26</v>
      </c>
      <c r="N122" s="3">
        <v>45876</v>
      </c>
      <c r="O122" s="4" t="s">
        <v>673</v>
      </c>
      <c r="P122" s="2">
        <v>1000</v>
      </c>
      <c r="Q122" s="2">
        <v>541</v>
      </c>
      <c r="R122" s="4" t="s">
        <v>26</v>
      </c>
      <c r="S122" s="5">
        <v>61995300</v>
      </c>
    </row>
    <row r="123" spans="1:19" x14ac:dyDescent="0.25">
      <c r="A123" s="4" t="s">
        <v>61</v>
      </c>
      <c r="B123" s="4" t="s">
        <v>59</v>
      </c>
      <c r="C123" s="4" t="s">
        <v>62</v>
      </c>
      <c r="D123" s="4" t="s">
        <v>63</v>
      </c>
      <c r="E123" s="4" t="s">
        <v>464</v>
      </c>
      <c r="F123" s="4" t="s">
        <v>465</v>
      </c>
      <c r="G123" s="4" t="s">
        <v>190</v>
      </c>
      <c r="H123" s="4" t="s">
        <v>26</v>
      </c>
      <c r="I123" s="5">
        <v>90000000</v>
      </c>
      <c r="J123" s="5">
        <v>140250</v>
      </c>
      <c r="K123" s="5">
        <v>14025</v>
      </c>
      <c r="L123" s="4" t="s">
        <v>466</v>
      </c>
      <c r="M123" s="4" t="s">
        <v>467</v>
      </c>
      <c r="N123" s="3">
        <v>45871</v>
      </c>
      <c r="O123" s="4" t="s">
        <v>459</v>
      </c>
      <c r="P123" s="2">
        <v>1000</v>
      </c>
      <c r="Q123" s="2">
        <v>545</v>
      </c>
      <c r="R123" s="4" t="s">
        <v>26</v>
      </c>
      <c r="S123" s="5">
        <v>81637020</v>
      </c>
    </row>
    <row r="124" spans="1:19" x14ac:dyDescent="0.25">
      <c r="A124" s="4" t="s">
        <v>61</v>
      </c>
      <c r="B124" s="4" t="s">
        <v>59</v>
      </c>
      <c r="C124" s="4" t="s">
        <v>62</v>
      </c>
      <c r="D124" s="4" t="s">
        <v>63</v>
      </c>
      <c r="E124" s="4" t="s">
        <v>464</v>
      </c>
      <c r="F124" s="4" t="s">
        <v>465</v>
      </c>
      <c r="G124" s="4" t="s">
        <v>190</v>
      </c>
      <c r="H124" s="4" t="s">
        <v>26</v>
      </c>
      <c r="I124" s="5">
        <v>90000000</v>
      </c>
      <c r="J124" s="5">
        <v>314500</v>
      </c>
      <c r="K124" s="5">
        <v>31450</v>
      </c>
      <c r="L124" s="4" t="s">
        <v>466</v>
      </c>
      <c r="M124" s="4" t="s">
        <v>467</v>
      </c>
      <c r="N124" s="3">
        <v>45871</v>
      </c>
      <c r="O124" s="4" t="s">
        <v>459</v>
      </c>
      <c r="P124" s="2">
        <v>2000</v>
      </c>
      <c r="Q124" s="2">
        <v>545</v>
      </c>
      <c r="R124" s="4" t="s">
        <v>26</v>
      </c>
      <c r="S124" s="5">
        <v>81637020</v>
      </c>
    </row>
    <row r="125" spans="1:19" x14ac:dyDescent="0.25">
      <c r="A125" s="4" t="s">
        <v>61</v>
      </c>
      <c r="B125" s="4" t="s">
        <v>59</v>
      </c>
      <c r="C125" s="4" t="s">
        <v>62</v>
      </c>
      <c r="D125" s="4" t="s">
        <v>63</v>
      </c>
      <c r="E125" s="4" t="s">
        <v>464</v>
      </c>
      <c r="F125" s="4" t="s">
        <v>465</v>
      </c>
      <c r="G125" s="4" t="s">
        <v>190</v>
      </c>
      <c r="H125" s="4" t="s">
        <v>26</v>
      </c>
      <c r="I125" s="5">
        <v>90000000</v>
      </c>
      <c r="J125" s="5">
        <v>242250</v>
      </c>
      <c r="K125" s="5">
        <v>24225</v>
      </c>
      <c r="L125" s="4" t="s">
        <v>466</v>
      </c>
      <c r="M125" s="4" t="s">
        <v>467</v>
      </c>
      <c r="N125" s="3">
        <v>45871</v>
      </c>
      <c r="O125" s="4" t="s">
        <v>459</v>
      </c>
      <c r="P125" s="2">
        <v>3000</v>
      </c>
      <c r="Q125" s="2">
        <v>545</v>
      </c>
      <c r="R125" s="4" t="s">
        <v>26</v>
      </c>
      <c r="S125" s="5">
        <v>81637020</v>
      </c>
    </row>
    <row r="126" spans="1:19" x14ac:dyDescent="0.25">
      <c r="A126" s="4" t="s">
        <v>61</v>
      </c>
      <c r="B126" s="4" t="s">
        <v>59</v>
      </c>
      <c r="C126" s="4" t="s">
        <v>62</v>
      </c>
      <c r="D126" s="4" t="s">
        <v>63</v>
      </c>
      <c r="E126" s="4" t="s">
        <v>464</v>
      </c>
      <c r="F126" s="4" t="s">
        <v>465</v>
      </c>
      <c r="G126" s="4" t="s">
        <v>190</v>
      </c>
      <c r="H126" s="4" t="s">
        <v>26</v>
      </c>
      <c r="I126" s="5">
        <v>90000000</v>
      </c>
      <c r="J126" s="5">
        <v>123250</v>
      </c>
      <c r="K126" s="5">
        <v>12325</v>
      </c>
      <c r="L126" s="4" t="s">
        <v>466</v>
      </c>
      <c r="M126" s="4" t="s">
        <v>467</v>
      </c>
      <c r="N126" s="3">
        <v>45871</v>
      </c>
      <c r="O126" s="4" t="s">
        <v>459</v>
      </c>
      <c r="P126" s="2">
        <v>4000</v>
      </c>
      <c r="Q126" s="2">
        <v>545</v>
      </c>
      <c r="R126" s="4" t="s">
        <v>26</v>
      </c>
      <c r="S126" s="5">
        <v>81637020</v>
      </c>
    </row>
    <row r="127" spans="1:19" x14ac:dyDescent="0.25">
      <c r="A127" s="4" t="s">
        <v>61</v>
      </c>
      <c r="B127" s="4" t="s">
        <v>59</v>
      </c>
      <c r="C127" s="4" t="s">
        <v>62</v>
      </c>
      <c r="D127" s="4" t="s">
        <v>63</v>
      </c>
      <c r="E127" s="4" t="s">
        <v>464</v>
      </c>
      <c r="F127" s="4" t="s">
        <v>465</v>
      </c>
      <c r="G127" s="4" t="s">
        <v>190</v>
      </c>
      <c r="H127" s="4" t="s">
        <v>26</v>
      </c>
      <c r="I127" s="5">
        <v>90000000</v>
      </c>
      <c r="J127" s="5">
        <v>314500</v>
      </c>
      <c r="K127" s="5">
        <v>31450</v>
      </c>
      <c r="L127" s="4" t="s">
        <v>466</v>
      </c>
      <c r="M127" s="4" t="s">
        <v>467</v>
      </c>
      <c r="N127" s="3">
        <v>45871</v>
      </c>
      <c r="O127" s="4" t="s">
        <v>459</v>
      </c>
      <c r="P127" s="2">
        <v>5000</v>
      </c>
      <c r="Q127" s="2">
        <v>545</v>
      </c>
      <c r="R127" s="4" t="s">
        <v>26</v>
      </c>
      <c r="S127" s="5">
        <v>81637020</v>
      </c>
    </row>
    <row r="128" spans="1:19" x14ac:dyDescent="0.25">
      <c r="A128" s="4" t="s">
        <v>61</v>
      </c>
      <c r="B128" s="4" t="s">
        <v>59</v>
      </c>
      <c r="C128" s="4" t="s">
        <v>62</v>
      </c>
      <c r="D128" s="4" t="s">
        <v>63</v>
      </c>
      <c r="E128" s="4" t="s">
        <v>464</v>
      </c>
      <c r="F128" s="4" t="s">
        <v>465</v>
      </c>
      <c r="G128" s="4" t="s">
        <v>190</v>
      </c>
      <c r="H128" s="4" t="s">
        <v>26</v>
      </c>
      <c r="I128" s="5">
        <v>90000000</v>
      </c>
      <c r="J128" s="5">
        <v>4250</v>
      </c>
      <c r="K128" s="5">
        <v>425</v>
      </c>
      <c r="L128" s="4" t="s">
        <v>466</v>
      </c>
      <c r="M128" s="4" t="s">
        <v>467</v>
      </c>
      <c r="N128" s="3">
        <v>45871</v>
      </c>
      <c r="O128" s="4" t="s">
        <v>459</v>
      </c>
      <c r="P128" s="2">
        <v>6000</v>
      </c>
      <c r="Q128" s="2">
        <v>545</v>
      </c>
      <c r="R128" s="4" t="s">
        <v>26</v>
      </c>
      <c r="S128" s="5">
        <v>81637020</v>
      </c>
    </row>
    <row r="129" spans="1:19" x14ac:dyDescent="0.25">
      <c r="A129" s="4" t="s">
        <v>61</v>
      </c>
      <c r="B129" s="4" t="s">
        <v>59</v>
      </c>
      <c r="C129" s="4" t="s">
        <v>62</v>
      </c>
      <c r="D129" s="4" t="s">
        <v>63</v>
      </c>
      <c r="E129" s="4" t="s">
        <v>148</v>
      </c>
      <c r="F129" s="4" t="s">
        <v>149</v>
      </c>
      <c r="G129" s="4" t="s">
        <v>50</v>
      </c>
      <c r="H129" s="4" t="s">
        <v>26</v>
      </c>
      <c r="I129" s="5">
        <v>65000000</v>
      </c>
      <c r="J129" s="5">
        <v>54000</v>
      </c>
      <c r="K129" s="5">
        <v>5400</v>
      </c>
      <c r="L129" s="4" t="s">
        <v>150</v>
      </c>
      <c r="M129" s="4" t="s">
        <v>151</v>
      </c>
      <c r="N129" s="3">
        <v>45871</v>
      </c>
      <c r="O129" s="4" t="s">
        <v>147</v>
      </c>
      <c r="P129" s="2">
        <v>1000</v>
      </c>
      <c r="Q129" s="2">
        <v>552</v>
      </c>
      <c r="R129" s="4" t="s">
        <v>749</v>
      </c>
      <c r="S129" s="5">
        <v>58699710</v>
      </c>
    </row>
    <row r="130" spans="1:19" x14ac:dyDescent="0.25">
      <c r="A130" s="4" t="s">
        <v>61</v>
      </c>
      <c r="B130" s="4" t="s">
        <v>59</v>
      </c>
      <c r="C130" s="4" t="s">
        <v>62</v>
      </c>
      <c r="D130" s="4" t="s">
        <v>63</v>
      </c>
      <c r="E130" s="4" t="s">
        <v>118</v>
      </c>
      <c r="F130" s="4" t="s">
        <v>119</v>
      </c>
      <c r="G130" s="4" t="s">
        <v>100</v>
      </c>
      <c r="H130" s="4" t="s">
        <v>26</v>
      </c>
      <c r="I130" s="5">
        <v>65000000</v>
      </c>
      <c r="J130" s="5">
        <v>60000</v>
      </c>
      <c r="K130" s="5">
        <v>6000</v>
      </c>
      <c r="L130" s="4" t="s">
        <v>26</v>
      </c>
      <c r="M130" s="4" t="s">
        <v>26</v>
      </c>
      <c r="N130" s="3">
        <v>45871</v>
      </c>
      <c r="O130" s="4" t="s">
        <v>459</v>
      </c>
      <c r="P130" s="2">
        <v>1000</v>
      </c>
      <c r="Q130" s="2">
        <v>566</v>
      </c>
      <c r="R130" s="4" t="s">
        <v>84</v>
      </c>
      <c r="S130" s="5">
        <v>63851150</v>
      </c>
    </row>
    <row r="131" spans="1:19" x14ac:dyDescent="0.25">
      <c r="A131" s="4" t="s">
        <v>61</v>
      </c>
      <c r="B131" s="4" t="s">
        <v>59</v>
      </c>
      <c r="C131" s="4" t="s">
        <v>62</v>
      </c>
      <c r="D131" s="4" t="s">
        <v>63</v>
      </c>
      <c r="E131" s="4" t="s">
        <v>359</v>
      </c>
      <c r="F131" s="4" t="s">
        <v>360</v>
      </c>
      <c r="G131" s="4" t="s">
        <v>50</v>
      </c>
      <c r="H131" s="4" t="s">
        <v>26</v>
      </c>
      <c r="I131" s="5">
        <v>65000000</v>
      </c>
      <c r="J131" s="5">
        <v>1500000</v>
      </c>
      <c r="K131" s="5">
        <v>150000</v>
      </c>
      <c r="L131" s="4" t="s">
        <v>361</v>
      </c>
      <c r="M131" s="4" t="s">
        <v>362</v>
      </c>
      <c r="N131" s="3">
        <v>45878</v>
      </c>
      <c r="O131" s="4" t="s">
        <v>639</v>
      </c>
      <c r="P131" s="2">
        <v>1000</v>
      </c>
      <c r="Q131" s="2">
        <v>598</v>
      </c>
      <c r="R131" s="4" t="s">
        <v>753</v>
      </c>
      <c r="S131" s="5">
        <v>60590420</v>
      </c>
    </row>
    <row r="132" spans="1:19" x14ac:dyDescent="0.25">
      <c r="A132" s="4" t="s">
        <v>61</v>
      </c>
      <c r="B132" s="4" t="s">
        <v>59</v>
      </c>
      <c r="C132" s="4" t="s">
        <v>62</v>
      </c>
      <c r="D132" s="4" t="s">
        <v>63</v>
      </c>
      <c r="E132" s="4" t="s">
        <v>359</v>
      </c>
      <c r="F132" s="4" t="s">
        <v>360</v>
      </c>
      <c r="G132" s="4" t="s">
        <v>50</v>
      </c>
      <c r="H132" s="4" t="s">
        <v>26</v>
      </c>
      <c r="I132" s="5">
        <v>65000000</v>
      </c>
      <c r="J132" s="5">
        <v>465000</v>
      </c>
      <c r="K132" s="5">
        <v>46500</v>
      </c>
      <c r="L132" s="4" t="s">
        <v>361</v>
      </c>
      <c r="M132" s="4" t="s">
        <v>362</v>
      </c>
      <c r="N132" s="3">
        <v>45878</v>
      </c>
      <c r="O132" s="4" t="s">
        <v>639</v>
      </c>
      <c r="P132" s="2">
        <v>2000</v>
      </c>
      <c r="Q132" s="2">
        <v>598</v>
      </c>
      <c r="R132" s="4" t="s">
        <v>753</v>
      </c>
      <c r="S132" s="5">
        <v>60590420</v>
      </c>
    </row>
    <row r="133" spans="1:19" x14ac:dyDescent="0.25">
      <c r="A133" s="4" t="s">
        <v>61</v>
      </c>
      <c r="B133" s="4" t="s">
        <v>59</v>
      </c>
      <c r="C133" s="4" t="s">
        <v>62</v>
      </c>
      <c r="D133" s="4" t="s">
        <v>63</v>
      </c>
      <c r="E133" s="4" t="s">
        <v>263</v>
      </c>
      <c r="F133" s="4" t="s">
        <v>264</v>
      </c>
      <c r="G133" s="4" t="s">
        <v>81</v>
      </c>
      <c r="H133" s="4" t="s">
        <v>26</v>
      </c>
      <c r="I133" s="5">
        <v>65000000</v>
      </c>
      <c r="J133" s="5">
        <v>79000</v>
      </c>
      <c r="K133" s="5">
        <v>7900</v>
      </c>
      <c r="L133" s="4" t="s">
        <v>26</v>
      </c>
      <c r="M133" s="4" t="s">
        <v>26</v>
      </c>
      <c r="N133" s="3">
        <v>45871</v>
      </c>
      <c r="O133" s="4" t="s">
        <v>532</v>
      </c>
      <c r="P133" s="2">
        <v>1000</v>
      </c>
      <c r="Q133" s="2">
        <v>602</v>
      </c>
      <c r="R133" s="4" t="s">
        <v>84</v>
      </c>
      <c r="S133" s="5">
        <v>54808900</v>
      </c>
    </row>
    <row r="134" spans="1:19" x14ac:dyDescent="0.25">
      <c r="A134" s="4" t="s">
        <v>61</v>
      </c>
      <c r="B134" s="4" t="s">
        <v>59</v>
      </c>
      <c r="C134" s="4" t="s">
        <v>62</v>
      </c>
      <c r="D134" s="4" t="s">
        <v>63</v>
      </c>
      <c r="E134" s="4" t="s">
        <v>263</v>
      </c>
      <c r="F134" s="4" t="s">
        <v>264</v>
      </c>
      <c r="G134" s="4" t="s">
        <v>81</v>
      </c>
      <c r="H134" s="4" t="s">
        <v>26</v>
      </c>
      <c r="I134" s="5">
        <v>65000000</v>
      </c>
      <c r="J134" s="5">
        <v>79000</v>
      </c>
      <c r="K134" s="5">
        <v>7900</v>
      </c>
      <c r="L134" s="4" t="s">
        <v>26</v>
      </c>
      <c r="M134" s="4" t="s">
        <v>26</v>
      </c>
      <c r="N134" s="3">
        <v>45871</v>
      </c>
      <c r="O134" s="4" t="s">
        <v>532</v>
      </c>
      <c r="P134" s="2">
        <v>2000</v>
      </c>
      <c r="Q134" s="2">
        <v>602</v>
      </c>
      <c r="R134" s="4" t="s">
        <v>84</v>
      </c>
      <c r="S134" s="5">
        <v>54808900</v>
      </c>
    </row>
    <row r="135" spans="1:19" x14ac:dyDescent="0.25">
      <c r="A135" s="4" t="s">
        <v>61</v>
      </c>
      <c r="B135" s="4" t="s">
        <v>59</v>
      </c>
      <c r="C135" s="4" t="s">
        <v>62</v>
      </c>
      <c r="D135" s="4" t="s">
        <v>63</v>
      </c>
      <c r="E135" s="4" t="s">
        <v>297</v>
      </c>
      <c r="F135" s="4" t="s">
        <v>298</v>
      </c>
      <c r="G135" s="4" t="s">
        <v>115</v>
      </c>
      <c r="H135" s="4" t="s">
        <v>26</v>
      </c>
      <c r="I135" s="5">
        <v>65000000</v>
      </c>
      <c r="J135" s="5">
        <v>350000</v>
      </c>
      <c r="K135" s="5">
        <v>35000</v>
      </c>
      <c r="L135" s="4" t="s">
        <v>299</v>
      </c>
      <c r="M135" s="4" t="s">
        <v>300</v>
      </c>
      <c r="N135" s="3">
        <v>45872</v>
      </c>
      <c r="O135" s="4" t="s">
        <v>283</v>
      </c>
      <c r="P135" s="2">
        <v>1000</v>
      </c>
      <c r="Q135" s="2">
        <v>607</v>
      </c>
      <c r="R135" s="4" t="s">
        <v>26</v>
      </c>
      <c r="S135" s="5">
        <v>64344390</v>
      </c>
    </row>
    <row r="136" spans="1:19" x14ac:dyDescent="0.25">
      <c r="A136" s="4" t="s">
        <v>61</v>
      </c>
      <c r="B136" s="4" t="s">
        <v>59</v>
      </c>
      <c r="C136" s="4" t="s">
        <v>62</v>
      </c>
      <c r="D136" s="4" t="s">
        <v>63</v>
      </c>
      <c r="E136" s="4" t="s">
        <v>297</v>
      </c>
      <c r="F136" s="4" t="s">
        <v>298</v>
      </c>
      <c r="G136" s="4" t="s">
        <v>115</v>
      </c>
      <c r="H136" s="4" t="s">
        <v>26</v>
      </c>
      <c r="I136" s="5">
        <v>65000000</v>
      </c>
      <c r="J136" s="5">
        <v>99000</v>
      </c>
      <c r="K136" s="5">
        <v>9900</v>
      </c>
      <c r="L136" s="4" t="s">
        <v>299</v>
      </c>
      <c r="M136" s="4" t="s">
        <v>300</v>
      </c>
      <c r="N136" s="3">
        <v>45872</v>
      </c>
      <c r="O136" s="4" t="s">
        <v>283</v>
      </c>
      <c r="P136" s="2">
        <v>2000</v>
      </c>
      <c r="Q136" s="2">
        <v>607</v>
      </c>
      <c r="R136" s="4" t="s">
        <v>26</v>
      </c>
      <c r="S136" s="5">
        <v>64344390</v>
      </c>
    </row>
    <row r="137" spans="1:19" x14ac:dyDescent="0.25">
      <c r="A137" s="4" t="s">
        <v>61</v>
      </c>
      <c r="B137" s="4" t="s">
        <v>59</v>
      </c>
      <c r="C137" s="4" t="s">
        <v>62</v>
      </c>
      <c r="D137" s="4" t="s">
        <v>63</v>
      </c>
      <c r="E137" s="4" t="s">
        <v>232</v>
      </c>
      <c r="F137" s="4" t="s">
        <v>233</v>
      </c>
      <c r="G137" s="4" t="s">
        <v>81</v>
      </c>
      <c r="H137" s="4" t="s">
        <v>26</v>
      </c>
      <c r="I137" s="5">
        <v>65000000</v>
      </c>
      <c r="J137" s="5">
        <v>2863800</v>
      </c>
      <c r="K137" s="5">
        <v>286380</v>
      </c>
      <c r="L137" s="4" t="s">
        <v>234</v>
      </c>
      <c r="M137" s="4" t="s">
        <v>235</v>
      </c>
      <c r="N137" s="3">
        <v>45872</v>
      </c>
      <c r="O137" s="4" t="s">
        <v>663</v>
      </c>
      <c r="P137" s="2">
        <v>1000</v>
      </c>
      <c r="Q137" s="2">
        <v>613</v>
      </c>
      <c r="R137" s="4" t="s">
        <v>760</v>
      </c>
      <c r="S137" s="5">
        <v>56050260</v>
      </c>
    </row>
    <row r="138" spans="1:19" x14ac:dyDescent="0.25">
      <c r="A138" s="4" t="s">
        <v>61</v>
      </c>
      <c r="B138" s="4" t="s">
        <v>59</v>
      </c>
      <c r="C138" s="4" t="s">
        <v>62</v>
      </c>
      <c r="D138" s="4" t="s">
        <v>63</v>
      </c>
      <c r="E138" s="4" t="s">
        <v>232</v>
      </c>
      <c r="F138" s="4" t="s">
        <v>233</v>
      </c>
      <c r="G138" s="4" t="s">
        <v>81</v>
      </c>
      <c r="H138" s="4" t="s">
        <v>26</v>
      </c>
      <c r="I138" s="5">
        <v>65000000</v>
      </c>
      <c r="J138" s="5">
        <v>1844640</v>
      </c>
      <c r="K138" s="5">
        <v>184464</v>
      </c>
      <c r="L138" s="4" t="s">
        <v>234</v>
      </c>
      <c r="M138" s="4" t="s">
        <v>235</v>
      </c>
      <c r="N138" s="3">
        <v>45872</v>
      </c>
      <c r="O138" s="4" t="s">
        <v>663</v>
      </c>
      <c r="P138" s="2">
        <v>2000</v>
      </c>
      <c r="Q138" s="2">
        <v>613</v>
      </c>
      <c r="R138" s="4" t="s">
        <v>752</v>
      </c>
      <c r="S138" s="5">
        <v>56050260</v>
      </c>
    </row>
    <row r="139" spans="1:19" x14ac:dyDescent="0.25">
      <c r="A139" s="4" t="s">
        <v>61</v>
      </c>
      <c r="B139" s="4" t="s">
        <v>59</v>
      </c>
      <c r="C139" s="4" t="s">
        <v>62</v>
      </c>
      <c r="D139" s="4" t="s">
        <v>63</v>
      </c>
      <c r="E139" s="4" t="s">
        <v>526</v>
      </c>
      <c r="F139" s="4" t="s">
        <v>527</v>
      </c>
      <c r="G139" s="4" t="s">
        <v>81</v>
      </c>
      <c r="H139" s="4" t="s">
        <v>26</v>
      </c>
      <c r="I139" s="5">
        <v>65000000</v>
      </c>
      <c r="J139" s="5">
        <v>90000</v>
      </c>
      <c r="K139" s="5">
        <v>9000</v>
      </c>
      <c r="L139" s="4" t="s">
        <v>588</v>
      </c>
      <c r="M139" s="4" t="s">
        <v>589</v>
      </c>
      <c r="N139" s="3">
        <v>45872</v>
      </c>
      <c r="O139" s="4" t="s">
        <v>587</v>
      </c>
      <c r="P139" s="2">
        <v>1000</v>
      </c>
      <c r="Q139" s="2">
        <v>615</v>
      </c>
      <c r="R139" s="4" t="s">
        <v>26</v>
      </c>
      <c r="S139" s="5">
        <v>62339960</v>
      </c>
    </row>
    <row r="140" spans="1:19" x14ac:dyDescent="0.25">
      <c r="A140" s="4" t="s">
        <v>61</v>
      </c>
      <c r="B140" s="4" t="s">
        <v>59</v>
      </c>
      <c r="C140" s="4" t="s">
        <v>62</v>
      </c>
      <c r="D140" s="4" t="s">
        <v>63</v>
      </c>
      <c r="E140" s="4" t="s">
        <v>526</v>
      </c>
      <c r="F140" s="4" t="s">
        <v>527</v>
      </c>
      <c r="G140" s="4" t="s">
        <v>81</v>
      </c>
      <c r="H140" s="4" t="s">
        <v>26</v>
      </c>
      <c r="I140" s="5">
        <v>65000000</v>
      </c>
      <c r="J140" s="5">
        <v>90000</v>
      </c>
      <c r="K140" s="5">
        <v>9000</v>
      </c>
      <c r="L140" s="4" t="s">
        <v>588</v>
      </c>
      <c r="M140" s="4" t="s">
        <v>589</v>
      </c>
      <c r="N140" s="3">
        <v>45872</v>
      </c>
      <c r="O140" s="4" t="s">
        <v>587</v>
      </c>
      <c r="P140" s="2">
        <v>2000</v>
      </c>
      <c r="Q140" s="2">
        <v>615</v>
      </c>
      <c r="R140" s="4" t="s">
        <v>26</v>
      </c>
      <c r="S140" s="5">
        <v>62339960</v>
      </c>
    </row>
    <row r="141" spans="1:19" x14ac:dyDescent="0.25">
      <c r="A141" s="4" t="s">
        <v>61</v>
      </c>
      <c r="B141" s="4" t="s">
        <v>59</v>
      </c>
      <c r="C141" s="4" t="s">
        <v>62</v>
      </c>
      <c r="D141" s="4" t="s">
        <v>63</v>
      </c>
      <c r="E141" s="4" t="s">
        <v>494</v>
      </c>
      <c r="F141" s="4" t="s">
        <v>495</v>
      </c>
      <c r="G141" s="4" t="s">
        <v>199</v>
      </c>
      <c r="H141" s="4" t="s">
        <v>26</v>
      </c>
      <c r="I141" s="5">
        <v>65000000</v>
      </c>
      <c r="J141" s="5">
        <v>7965490</v>
      </c>
      <c r="K141" s="5">
        <v>796549</v>
      </c>
      <c r="L141" s="4" t="s">
        <v>496</v>
      </c>
      <c r="M141" s="4" t="s">
        <v>497</v>
      </c>
      <c r="N141" s="3">
        <v>45877</v>
      </c>
      <c r="O141" s="4" t="s">
        <v>673</v>
      </c>
      <c r="P141" s="2">
        <v>1000</v>
      </c>
      <c r="Q141" s="2">
        <v>618</v>
      </c>
      <c r="R141" s="4" t="s">
        <v>748</v>
      </c>
      <c r="S141" s="5">
        <v>55802760</v>
      </c>
    </row>
    <row r="142" spans="1:19" x14ac:dyDescent="0.25">
      <c r="A142" s="4" t="s">
        <v>61</v>
      </c>
      <c r="B142" s="4" t="s">
        <v>59</v>
      </c>
      <c r="C142" s="4" t="s">
        <v>62</v>
      </c>
      <c r="D142" s="4" t="s">
        <v>63</v>
      </c>
      <c r="E142" s="4" t="s">
        <v>417</v>
      </c>
      <c r="F142" s="4" t="s">
        <v>418</v>
      </c>
      <c r="G142" s="4" t="s">
        <v>419</v>
      </c>
      <c r="H142" s="4" t="s">
        <v>26</v>
      </c>
      <c r="I142" s="5">
        <v>155000000</v>
      </c>
      <c r="J142" s="5">
        <v>8550000</v>
      </c>
      <c r="K142" s="5">
        <v>855000</v>
      </c>
      <c r="L142" s="4" t="s">
        <v>420</v>
      </c>
      <c r="M142" s="4" t="s">
        <v>421</v>
      </c>
      <c r="N142" s="3">
        <v>45877</v>
      </c>
      <c r="O142" s="4" t="s">
        <v>681</v>
      </c>
      <c r="P142" s="2">
        <v>1000</v>
      </c>
      <c r="Q142" s="2">
        <v>618</v>
      </c>
      <c r="R142" s="4" t="s">
        <v>761</v>
      </c>
      <c r="S142" s="5">
        <v>132256450</v>
      </c>
    </row>
    <row r="143" spans="1:19" x14ac:dyDescent="0.25">
      <c r="A143" s="4" t="s">
        <v>61</v>
      </c>
      <c r="B143" s="4" t="s">
        <v>59</v>
      </c>
      <c r="C143" s="4" t="s">
        <v>62</v>
      </c>
      <c r="D143" s="4" t="s">
        <v>63</v>
      </c>
      <c r="E143" s="4" t="s">
        <v>178</v>
      </c>
      <c r="F143" s="4" t="s">
        <v>179</v>
      </c>
      <c r="G143" s="4" t="s">
        <v>124</v>
      </c>
      <c r="H143" s="4" t="s">
        <v>26</v>
      </c>
      <c r="I143" s="5">
        <v>65000000</v>
      </c>
      <c r="J143" s="5">
        <v>2160000</v>
      </c>
      <c r="K143" s="5">
        <v>216000</v>
      </c>
      <c r="L143" s="4" t="s">
        <v>214</v>
      </c>
      <c r="M143" s="4" t="s">
        <v>215</v>
      </c>
      <c r="N143" s="3">
        <v>45872</v>
      </c>
      <c r="O143" s="4" t="s">
        <v>587</v>
      </c>
      <c r="P143" s="2">
        <v>1000</v>
      </c>
      <c r="Q143" s="2">
        <v>622</v>
      </c>
      <c r="R143" s="4" t="s">
        <v>756</v>
      </c>
      <c r="S143" s="5">
        <v>54146650</v>
      </c>
    </row>
    <row r="144" spans="1:19" x14ac:dyDescent="0.25">
      <c r="A144" s="4" t="s">
        <v>61</v>
      </c>
      <c r="B144" s="4" t="s">
        <v>59</v>
      </c>
      <c r="C144" s="4" t="s">
        <v>62</v>
      </c>
      <c r="D144" s="4" t="s">
        <v>63</v>
      </c>
      <c r="E144" s="4" t="s">
        <v>526</v>
      </c>
      <c r="F144" s="4" t="s">
        <v>527</v>
      </c>
      <c r="G144" s="4" t="s">
        <v>81</v>
      </c>
      <c r="H144" s="4" t="s">
        <v>26</v>
      </c>
      <c r="I144" s="5">
        <v>65000000</v>
      </c>
      <c r="J144" s="5">
        <v>2417040</v>
      </c>
      <c r="K144" s="5">
        <v>241704</v>
      </c>
      <c r="L144" s="4" t="s">
        <v>588</v>
      </c>
      <c r="M144" s="4" t="s">
        <v>589</v>
      </c>
      <c r="N144" s="3">
        <v>45872</v>
      </c>
      <c r="O144" s="4" t="s">
        <v>663</v>
      </c>
      <c r="P144" s="2">
        <v>1000</v>
      </c>
      <c r="Q144" s="2">
        <v>626</v>
      </c>
      <c r="R144" s="4" t="s">
        <v>760</v>
      </c>
      <c r="S144" s="5">
        <v>62339960</v>
      </c>
    </row>
    <row r="145" spans="1:19" x14ac:dyDescent="0.25">
      <c r="A145" s="4" t="s">
        <v>61</v>
      </c>
      <c r="B145" s="4" t="s">
        <v>59</v>
      </c>
      <c r="C145" s="4" t="s">
        <v>62</v>
      </c>
      <c r="D145" s="4" t="s">
        <v>63</v>
      </c>
      <c r="E145" s="4" t="s">
        <v>229</v>
      </c>
      <c r="F145" s="4" t="s">
        <v>230</v>
      </c>
      <c r="G145" s="4" t="s">
        <v>231</v>
      </c>
      <c r="H145" s="4" t="s">
        <v>26</v>
      </c>
      <c r="I145" s="5">
        <v>110000000</v>
      </c>
      <c r="J145" s="5">
        <v>49500</v>
      </c>
      <c r="K145" s="5">
        <v>4950</v>
      </c>
      <c r="L145" s="4" t="s">
        <v>26</v>
      </c>
      <c r="M145" s="4" t="s">
        <v>26</v>
      </c>
      <c r="N145" s="3">
        <v>45871</v>
      </c>
      <c r="O145" s="4" t="s">
        <v>459</v>
      </c>
      <c r="P145" s="2">
        <v>1000</v>
      </c>
      <c r="Q145" s="2">
        <v>627</v>
      </c>
      <c r="R145" s="4" t="s">
        <v>747</v>
      </c>
      <c r="S145" s="5">
        <v>108567750</v>
      </c>
    </row>
    <row r="146" spans="1:19" x14ac:dyDescent="0.25">
      <c r="A146" s="4" t="s">
        <v>61</v>
      </c>
      <c r="B146" s="4" t="s">
        <v>59</v>
      </c>
      <c r="C146" s="4" t="s">
        <v>62</v>
      </c>
      <c r="D146" s="4" t="s">
        <v>63</v>
      </c>
      <c r="E146" s="4" t="s">
        <v>178</v>
      </c>
      <c r="F146" s="4" t="s">
        <v>179</v>
      </c>
      <c r="G146" s="4" t="s">
        <v>124</v>
      </c>
      <c r="H146" s="4" t="s">
        <v>26</v>
      </c>
      <c r="I146" s="5">
        <v>65000000</v>
      </c>
      <c r="J146" s="5">
        <v>27000</v>
      </c>
      <c r="K146" s="5">
        <v>2700</v>
      </c>
      <c r="L146" s="4" t="s">
        <v>214</v>
      </c>
      <c r="M146" s="4" t="s">
        <v>215</v>
      </c>
      <c r="N146" s="3">
        <v>45871</v>
      </c>
      <c r="O146" s="4" t="s">
        <v>459</v>
      </c>
      <c r="P146" s="2">
        <v>1000</v>
      </c>
      <c r="Q146" s="2">
        <v>629</v>
      </c>
      <c r="R146" s="4" t="s">
        <v>26</v>
      </c>
      <c r="S146" s="5">
        <v>54146650</v>
      </c>
    </row>
    <row r="147" spans="1:19" x14ac:dyDescent="0.25">
      <c r="A147" s="4" t="s">
        <v>61</v>
      </c>
      <c r="B147" s="4" t="s">
        <v>59</v>
      </c>
      <c r="C147" s="4" t="s">
        <v>62</v>
      </c>
      <c r="D147" s="4" t="s">
        <v>63</v>
      </c>
      <c r="E147" s="4" t="s">
        <v>142</v>
      </c>
      <c r="F147" s="4" t="s">
        <v>143</v>
      </c>
      <c r="G147" s="4" t="s">
        <v>144</v>
      </c>
      <c r="H147" s="4" t="s">
        <v>26</v>
      </c>
      <c r="I147" s="5">
        <v>90000000</v>
      </c>
      <c r="J147" s="5">
        <v>90000</v>
      </c>
      <c r="K147" s="5">
        <v>9000</v>
      </c>
      <c r="L147" s="4" t="s">
        <v>472</v>
      </c>
      <c r="M147" s="4" t="s">
        <v>473</v>
      </c>
      <c r="N147" s="3">
        <v>45871</v>
      </c>
      <c r="O147" s="4" t="s">
        <v>459</v>
      </c>
      <c r="P147" s="2">
        <v>1000</v>
      </c>
      <c r="Q147" s="2">
        <v>643</v>
      </c>
      <c r="R147" s="4" t="s">
        <v>84</v>
      </c>
      <c r="S147" s="5">
        <v>83720070</v>
      </c>
    </row>
    <row r="148" spans="1:19" x14ac:dyDescent="0.25">
      <c r="A148" s="4" t="s">
        <v>61</v>
      </c>
      <c r="B148" s="4" t="s">
        <v>59</v>
      </c>
      <c r="C148" s="4" t="s">
        <v>62</v>
      </c>
      <c r="D148" s="4" t="s">
        <v>63</v>
      </c>
      <c r="E148" s="4" t="s">
        <v>111</v>
      </c>
      <c r="F148" s="4" t="s">
        <v>112</v>
      </c>
      <c r="G148" s="4" t="s">
        <v>81</v>
      </c>
      <c r="H148" s="4" t="s">
        <v>26</v>
      </c>
      <c r="I148" s="5">
        <v>65000000</v>
      </c>
      <c r="J148" s="5">
        <v>97500</v>
      </c>
      <c r="K148" s="5">
        <v>9750</v>
      </c>
      <c r="L148" s="4" t="s">
        <v>242</v>
      </c>
      <c r="M148" s="4" t="s">
        <v>243</v>
      </c>
      <c r="N148" s="3">
        <v>45875</v>
      </c>
      <c r="O148" s="4" t="s">
        <v>709</v>
      </c>
      <c r="P148" s="2">
        <v>1000</v>
      </c>
      <c r="Q148" s="2">
        <v>682</v>
      </c>
      <c r="R148" s="4" t="s">
        <v>758</v>
      </c>
      <c r="S148" s="5">
        <v>61345000</v>
      </c>
    </row>
    <row r="149" spans="1:19" x14ac:dyDescent="0.25">
      <c r="A149" s="4" t="s">
        <v>61</v>
      </c>
      <c r="B149" s="4" t="s">
        <v>59</v>
      </c>
      <c r="C149" s="4" t="s">
        <v>62</v>
      </c>
      <c r="D149" s="4" t="s">
        <v>63</v>
      </c>
      <c r="E149" s="4" t="s">
        <v>111</v>
      </c>
      <c r="F149" s="4" t="s">
        <v>112</v>
      </c>
      <c r="G149" s="4" t="s">
        <v>81</v>
      </c>
      <c r="H149" s="4" t="s">
        <v>26</v>
      </c>
      <c r="I149" s="5">
        <v>65000000</v>
      </c>
      <c r="J149" s="5">
        <v>109500</v>
      </c>
      <c r="K149" s="5">
        <v>10950</v>
      </c>
      <c r="L149" s="4" t="s">
        <v>242</v>
      </c>
      <c r="M149" s="4" t="s">
        <v>243</v>
      </c>
      <c r="N149" s="3">
        <v>45875</v>
      </c>
      <c r="O149" s="4" t="s">
        <v>709</v>
      </c>
      <c r="P149" s="2">
        <v>2000</v>
      </c>
      <c r="Q149" s="2">
        <v>682</v>
      </c>
      <c r="R149" s="4" t="s">
        <v>758</v>
      </c>
      <c r="S149" s="5">
        <v>61345000</v>
      </c>
    </row>
    <row r="150" spans="1:19" x14ac:dyDescent="0.25">
      <c r="A150" s="4" t="s">
        <v>61</v>
      </c>
      <c r="B150" s="4" t="s">
        <v>59</v>
      </c>
      <c r="C150" s="4" t="s">
        <v>62</v>
      </c>
      <c r="D150" s="4" t="s">
        <v>63</v>
      </c>
      <c r="E150" s="4" t="s">
        <v>111</v>
      </c>
      <c r="F150" s="4" t="s">
        <v>112</v>
      </c>
      <c r="G150" s="4" t="s">
        <v>81</v>
      </c>
      <c r="H150" s="4" t="s">
        <v>26</v>
      </c>
      <c r="I150" s="5">
        <v>65000000</v>
      </c>
      <c r="J150" s="5">
        <v>127500</v>
      </c>
      <c r="K150" s="5">
        <v>12750</v>
      </c>
      <c r="L150" s="4" t="s">
        <v>242</v>
      </c>
      <c r="M150" s="4" t="s">
        <v>243</v>
      </c>
      <c r="N150" s="3">
        <v>45875</v>
      </c>
      <c r="O150" s="4" t="s">
        <v>709</v>
      </c>
      <c r="P150" s="2">
        <v>3000</v>
      </c>
      <c r="Q150" s="2">
        <v>682</v>
      </c>
      <c r="R150" s="4" t="s">
        <v>758</v>
      </c>
      <c r="S150" s="5">
        <v>61345000</v>
      </c>
    </row>
    <row r="151" spans="1:19" x14ac:dyDescent="0.25">
      <c r="A151" s="4" t="s">
        <v>61</v>
      </c>
      <c r="B151" s="4" t="s">
        <v>59</v>
      </c>
      <c r="C151" s="4" t="s">
        <v>62</v>
      </c>
      <c r="D151" s="4" t="s">
        <v>63</v>
      </c>
      <c r="E151" s="4" t="s">
        <v>111</v>
      </c>
      <c r="F151" s="4" t="s">
        <v>112</v>
      </c>
      <c r="G151" s="4" t="s">
        <v>81</v>
      </c>
      <c r="H151" s="4" t="s">
        <v>26</v>
      </c>
      <c r="I151" s="5">
        <v>65000000</v>
      </c>
      <c r="J151" s="5">
        <v>97500</v>
      </c>
      <c r="K151" s="5">
        <v>9750</v>
      </c>
      <c r="L151" s="4" t="s">
        <v>242</v>
      </c>
      <c r="M151" s="4" t="s">
        <v>243</v>
      </c>
      <c r="N151" s="3">
        <v>45875</v>
      </c>
      <c r="O151" s="4" t="s">
        <v>709</v>
      </c>
      <c r="P151" s="2">
        <v>4000</v>
      </c>
      <c r="Q151" s="2">
        <v>682</v>
      </c>
      <c r="R151" s="4" t="s">
        <v>758</v>
      </c>
      <c r="S151" s="5">
        <v>61345000</v>
      </c>
    </row>
    <row r="152" spans="1:19" x14ac:dyDescent="0.25">
      <c r="A152" s="4" t="s">
        <v>61</v>
      </c>
      <c r="B152" s="4" t="s">
        <v>59</v>
      </c>
      <c r="C152" s="4" t="s">
        <v>62</v>
      </c>
      <c r="D152" s="4" t="s">
        <v>63</v>
      </c>
      <c r="E152" s="4" t="s">
        <v>111</v>
      </c>
      <c r="F152" s="4" t="s">
        <v>112</v>
      </c>
      <c r="G152" s="4" t="s">
        <v>81</v>
      </c>
      <c r="H152" s="4" t="s">
        <v>26</v>
      </c>
      <c r="I152" s="5">
        <v>65000000</v>
      </c>
      <c r="J152" s="5">
        <v>107500</v>
      </c>
      <c r="K152" s="5">
        <v>10750</v>
      </c>
      <c r="L152" s="4" t="s">
        <v>242</v>
      </c>
      <c r="M152" s="4" t="s">
        <v>243</v>
      </c>
      <c r="N152" s="3">
        <v>45875</v>
      </c>
      <c r="O152" s="4" t="s">
        <v>709</v>
      </c>
      <c r="P152" s="2">
        <v>5000</v>
      </c>
      <c r="Q152" s="2">
        <v>682</v>
      </c>
      <c r="R152" s="4" t="s">
        <v>758</v>
      </c>
      <c r="S152" s="5">
        <v>61345000</v>
      </c>
    </row>
    <row r="153" spans="1:19" x14ac:dyDescent="0.25">
      <c r="A153" s="4" t="s">
        <v>61</v>
      </c>
      <c r="B153" s="4" t="s">
        <v>59</v>
      </c>
      <c r="C153" s="4" t="s">
        <v>62</v>
      </c>
      <c r="D153" s="4" t="s">
        <v>63</v>
      </c>
      <c r="E153" s="4" t="s">
        <v>111</v>
      </c>
      <c r="F153" s="4" t="s">
        <v>112</v>
      </c>
      <c r="G153" s="4" t="s">
        <v>81</v>
      </c>
      <c r="H153" s="4" t="s">
        <v>26</v>
      </c>
      <c r="I153" s="5">
        <v>65000000</v>
      </c>
      <c r="J153" s="5">
        <v>119500</v>
      </c>
      <c r="K153" s="5">
        <v>11950</v>
      </c>
      <c r="L153" s="4" t="s">
        <v>242</v>
      </c>
      <c r="M153" s="4" t="s">
        <v>243</v>
      </c>
      <c r="N153" s="3">
        <v>45875</v>
      </c>
      <c r="O153" s="4" t="s">
        <v>709</v>
      </c>
      <c r="P153" s="2">
        <v>6000</v>
      </c>
      <c r="Q153" s="2">
        <v>682</v>
      </c>
      <c r="R153" s="4" t="s">
        <v>758</v>
      </c>
      <c r="S153" s="5">
        <v>61345000</v>
      </c>
    </row>
    <row r="154" spans="1:19" x14ac:dyDescent="0.25">
      <c r="A154" s="4" t="s">
        <v>61</v>
      </c>
      <c r="B154" s="4" t="s">
        <v>59</v>
      </c>
      <c r="C154" s="4" t="s">
        <v>62</v>
      </c>
      <c r="D154" s="4" t="s">
        <v>63</v>
      </c>
      <c r="E154" s="4" t="s">
        <v>251</v>
      </c>
      <c r="F154" s="4" t="s">
        <v>252</v>
      </c>
      <c r="G154" s="4" t="s">
        <v>222</v>
      </c>
      <c r="H154" s="4" t="s">
        <v>26</v>
      </c>
      <c r="I154" s="5">
        <v>110000000</v>
      </c>
      <c r="J154" s="5">
        <v>80000</v>
      </c>
      <c r="K154" s="5">
        <v>8000</v>
      </c>
      <c r="L154" s="4" t="s">
        <v>253</v>
      </c>
      <c r="M154" s="4" t="s">
        <v>254</v>
      </c>
      <c r="N154" s="3">
        <v>45871</v>
      </c>
      <c r="O154" s="4" t="s">
        <v>459</v>
      </c>
      <c r="P154" s="2">
        <v>1000</v>
      </c>
      <c r="Q154" s="2">
        <v>683</v>
      </c>
      <c r="R154" s="4" t="s">
        <v>84</v>
      </c>
      <c r="S154" s="5">
        <v>108445000</v>
      </c>
    </row>
    <row r="155" spans="1:19" x14ac:dyDescent="0.25">
      <c r="A155" s="4" t="s">
        <v>61</v>
      </c>
      <c r="B155" s="4" t="s">
        <v>59</v>
      </c>
      <c r="C155" s="4" t="s">
        <v>62</v>
      </c>
      <c r="D155" s="4" t="s">
        <v>63</v>
      </c>
      <c r="E155" s="4" t="s">
        <v>174</v>
      </c>
      <c r="F155" s="4" t="s">
        <v>175</v>
      </c>
      <c r="G155" s="4" t="s">
        <v>50</v>
      </c>
      <c r="H155" s="4" t="s">
        <v>26</v>
      </c>
      <c r="I155" s="5">
        <v>65000000</v>
      </c>
      <c r="J155" s="5">
        <v>68000</v>
      </c>
      <c r="K155" s="5">
        <v>6800</v>
      </c>
      <c r="L155" s="4" t="s">
        <v>212</v>
      </c>
      <c r="M155" s="4" t="s">
        <v>213</v>
      </c>
      <c r="N155" s="3">
        <v>45872</v>
      </c>
      <c r="O155" s="4" t="s">
        <v>283</v>
      </c>
      <c r="P155" s="2">
        <v>1000</v>
      </c>
      <c r="Q155" s="2">
        <v>690</v>
      </c>
      <c r="R155" s="4" t="s">
        <v>26</v>
      </c>
      <c r="S155" s="5">
        <v>63740700</v>
      </c>
    </row>
    <row r="156" spans="1:19" x14ac:dyDescent="0.25">
      <c r="A156" s="4" t="s">
        <v>61</v>
      </c>
      <c r="B156" s="4" t="s">
        <v>59</v>
      </c>
      <c r="C156" s="4" t="s">
        <v>62</v>
      </c>
      <c r="D156" s="4" t="s">
        <v>63</v>
      </c>
      <c r="E156" s="4" t="s">
        <v>174</v>
      </c>
      <c r="F156" s="4" t="s">
        <v>175</v>
      </c>
      <c r="G156" s="4" t="s">
        <v>50</v>
      </c>
      <c r="H156" s="4" t="s">
        <v>26</v>
      </c>
      <c r="I156" s="5">
        <v>65000000</v>
      </c>
      <c r="J156" s="5">
        <v>61600</v>
      </c>
      <c r="K156" s="5">
        <v>6160</v>
      </c>
      <c r="L156" s="4" t="s">
        <v>212</v>
      </c>
      <c r="M156" s="4" t="s">
        <v>213</v>
      </c>
      <c r="N156" s="3">
        <v>45872</v>
      </c>
      <c r="O156" s="4" t="s">
        <v>283</v>
      </c>
      <c r="P156" s="2">
        <v>2000</v>
      </c>
      <c r="Q156" s="2">
        <v>690</v>
      </c>
      <c r="R156" s="4" t="s">
        <v>26</v>
      </c>
      <c r="S156" s="5">
        <v>63740700</v>
      </c>
    </row>
    <row r="157" spans="1:19" x14ac:dyDescent="0.25">
      <c r="A157" s="4" t="s">
        <v>61</v>
      </c>
      <c r="B157" s="4" t="s">
        <v>59</v>
      </c>
      <c r="C157" s="4" t="s">
        <v>62</v>
      </c>
      <c r="D157" s="4" t="s">
        <v>63</v>
      </c>
      <c r="E157" s="4" t="s">
        <v>178</v>
      </c>
      <c r="F157" s="4" t="s">
        <v>179</v>
      </c>
      <c r="G157" s="4" t="s">
        <v>124</v>
      </c>
      <c r="H157" s="4" t="s">
        <v>26</v>
      </c>
      <c r="I157" s="5">
        <v>65000000</v>
      </c>
      <c r="J157" s="5">
        <v>137500</v>
      </c>
      <c r="K157" s="5">
        <v>13750</v>
      </c>
      <c r="L157" s="4" t="s">
        <v>214</v>
      </c>
      <c r="M157" s="4" t="s">
        <v>215</v>
      </c>
      <c r="N157" s="3">
        <v>45875</v>
      </c>
      <c r="O157" s="4" t="s">
        <v>709</v>
      </c>
      <c r="P157" s="2">
        <v>1000</v>
      </c>
      <c r="Q157" s="2">
        <v>691</v>
      </c>
      <c r="R157" s="4" t="s">
        <v>758</v>
      </c>
      <c r="S157" s="5">
        <v>54146650</v>
      </c>
    </row>
    <row r="158" spans="1:19" x14ac:dyDescent="0.25">
      <c r="A158" s="4" t="s">
        <v>61</v>
      </c>
      <c r="B158" s="4" t="s">
        <v>59</v>
      </c>
      <c r="C158" s="4" t="s">
        <v>62</v>
      </c>
      <c r="D158" s="4" t="s">
        <v>63</v>
      </c>
      <c r="E158" s="4" t="s">
        <v>178</v>
      </c>
      <c r="F158" s="4" t="s">
        <v>179</v>
      </c>
      <c r="G158" s="4" t="s">
        <v>124</v>
      </c>
      <c r="H158" s="4" t="s">
        <v>26</v>
      </c>
      <c r="I158" s="5">
        <v>65000000</v>
      </c>
      <c r="J158" s="5">
        <v>97500</v>
      </c>
      <c r="K158" s="5">
        <v>9750</v>
      </c>
      <c r="L158" s="4" t="s">
        <v>214</v>
      </c>
      <c r="M158" s="4" t="s">
        <v>215</v>
      </c>
      <c r="N158" s="3">
        <v>45875</v>
      </c>
      <c r="O158" s="4" t="s">
        <v>709</v>
      </c>
      <c r="P158" s="2">
        <v>2000</v>
      </c>
      <c r="Q158" s="2">
        <v>691</v>
      </c>
      <c r="R158" s="4" t="s">
        <v>758</v>
      </c>
      <c r="S158" s="5">
        <v>54146650</v>
      </c>
    </row>
    <row r="159" spans="1:19" x14ac:dyDescent="0.25">
      <c r="A159" s="4" t="s">
        <v>61</v>
      </c>
      <c r="B159" s="4" t="s">
        <v>59</v>
      </c>
      <c r="C159" s="4" t="s">
        <v>62</v>
      </c>
      <c r="D159" s="4" t="s">
        <v>63</v>
      </c>
      <c r="E159" s="4" t="s">
        <v>178</v>
      </c>
      <c r="F159" s="4" t="s">
        <v>179</v>
      </c>
      <c r="G159" s="4" t="s">
        <v>124</v>
      </c>
      <c r="H159" s="4" t="s">
        <v>26</v>
      </c>
      <c r="I159" s="5">
        <v>65000000</v>
      </c>
      <c r="J159" s="5">
        <v>152500</v>
      </c>
      <c r="K159" s="5">
        <v>15250</v>
      </c>
      <c r="L159" s="4" t="s">
        <v>214</v>
      </c>
      <c r="M159" s="4" t="s">
        <v>215</v>
      </c>
      <c r="N159" s="3">
        <v>45875</v>
      </c>
      <c r="O159" s="4" t="s">
        <v>709</v>
      </c>
      <c r="P159" s="2">
        <v>3000</v>
      </c>
      <c r="Q159" s="2">
        <v>691</v>
      </c>
      <c r="R159" s="4" t="s">
        <v>758</v>
      </c>
      <c r="S159" s="5">
        <v>54146650</v>
      </c>
    </row>
    <row r="160" spans="1:19" x14ac:dyDescent="0.25">
      <c r="A160" s="4" t="s">
        <v>61</v>
      </c>
      <c r="B160" s="4" t="s">
        <v>59</v>
      </c>
      <c r="C160" s="4" t="s">
        <v>62</v>
      </c>
      <c r="D160" s="4" t="s">
        <v>63</v>
      </c>
      <c r="E160" s="4" t="s">
        <v>125</v>
      </c>
      <c r="F160" s="4" t="s">
        <v>126</v>
      </c>
      <c r="G160" s="4" t="s">
        <v>97</v>
      </c>
      <c r="H160" s="4" t="s">
        <v>26</v>
      </c>
      <c r="I160" s="5">
        <v>155000000</v>
      </c>
      <c r="J160" s="5">
        <v>175000</v>
      </c>
      <c r="K160" s="5">
        <v>17500</v>
      </c>
      <c r="L160" s="4" t="s">
        <v>26</v>
      </c>
      <c r="M160" s="4" t="s">
        <v>26</v>
      </c>
      <c r="N160" s="3">
        <v>45872</v>
      </c>
      <c r="O160" s="4" t="s">
        <v>532</v>
      </c>
      <c r="P160" s="2">
        <v>1000</v>
      </c>
      <c r="Q160" s="2">
        <v>693</v>
      </c>
      <c r="R160" s="4" t="s">
        <v>749</v>
      </c>
      <c r="S160" s="5">
        <v>152550000</v>
      </c>
    </row>
    <row r="161" spans="1:19" x14ac:dyDescent="0.25">
      <c r="A161" s="4" t="s">
        <v>61</v>
      </c>
      <c r="B161" s="4" t="s">
        <v>59</v>
      </c>
      <c r="C161" s="4" t="s">
        <v>62</v>
      </c>
      <c r="D161" s="4" t="s">
        <v>63</v>
      </c>
      <c r="E161" s="4" t="s">
        <v>127</v>
      </c>
      <c r="F161" s="4" t="s">
        <v>128</v>
      </c>
      <c r="G161" s="4" t="s">
        <v>50</v>
      </c>
      <c r="H161" s="4" t="s">
        <v>26</v>
      </c>
      <c r="I161" s="5">
        <v>65000000</v>
      </c>
      <c r="J161" s="5">
        <v>79200</v>
      </c>
      <c r="K161" s="5">
        <v>7920</v>
      </c>
      <c r="L161" s="4" t="s">
        <v>129</v>
      </c>
      <c r="M161" s="4" t="s">
        <v>130</v>
      </c>
      <c r="N161" s="3">
        <v>45872</v>
      </c>
      <c r="O161" s="4" t="s">
        <v>283</v>
      </c>
      <c r="P161" s="2">
        <v>1000</v>
      </c>
      <c r="Q161" s="2">
        <v>695</v>
      </c>
      <c r="R161" s="4" t="s">
        <v>26</v>
      </c>
      <c r="S161" s="5">
        <v>60417600</v>
      </c>
    </row>
    <row r="162" spans="1:19" x14ac:dyDescent="0.25">
      <c r="A162" s="4" t="s">
        <v>61</v>
      </c>
      <c r="B162" s="4" t="s">
        <v>59</v>
      </c>
      <c r="C162" s="4" t="s">
        <v>62</v>
      </c>
      <c r="D162" s="4" t="s">
        <v>63</v>
      </c>
      <c r="E162" s="4" t="s">
        <v>127</v>
      </c>
      <c r="F162" s="4" t="s">
        <v>128</v>
      </c>
      <c r="G162" s="4" t="s">
        <v>50</v>
      </c>
      <c r="H162" s="4" t="s">
        <v>26</v>
      </c>
      <c r="I162" s="5">
        <v>65000000</v>
      </c>
      <c r="J162" s="5">
        <v>158400</v>
      </c>
      <c r="K162" s="5">
        <v>15840</v>
      </c>
      <c r="L162" s="4" t="s">
        <v>129</v>
      </c>
      <c r="M162" s="4" t="s">
        <v>130</v>
      </c>
      <c r="N162" s="3">
        <v>45872</v>
      </c>
      <c r="O162" s="4" t="s">
        <v>283</v>
      </c>
      <c r="P162" s="2">
        <v>2000</v>
      </c>
      <c r="Q162" s="2">
        <v>695</v>
      </c>
      <c r="R162" s="4" t="s">
        <v>26</v>
      </c>
      <c r="S162" s="5">
        <v>60417600</v>
      </c>
    </row>
    <row r="163" spans="1:19" x14ac:dyDescent="0.25">
      <c r="A163" s="4" t="s">
        <v>61</v>
      </c>
      <c r="B163" s="4" t="s">
        <v>59</v>
      </c>
      <c r="C163" s="4" t="s">
        <v>62</v>
      </c>
      <c r="D163" s="4" t="s">
        <v>63</v>
      </c>
      <c r="E163" s="4" t="s">
        <v>206</v>
      </c>
      <c r="F163" s="4" t="s">
        <v>207</v>
      </c>
      <c r="G163" s="4" t="s">
        <v>97</v>
      </c>
      <c r="H163" s="4" t="s">
        <v>26</v>
      </c>
      <c r="I163" s="5">
        <v>155000000</v>
      </c>
      <c r="J163" s="5">
        <v>55000</v>
      </c>
      <c r="K163" s="5">
        <v>5500</v>
      </c>
      <c r="L163" s="4" t="s">
        <v>208</v>
      </c>
      <c r="M163" s="4" t="s">
        <v>209</v>
      </c>
      <c r="N163" s="3">
        <v>45871</v>
      </c>
      <c r="O163" s="4" t="s">
        <v>459</v>
      </c>
      <c r="P163" s="2">
        <v>1000</v>
      </c>
      <c r="Q163" s="2">
        <v>703</v>
      </c>
      <c r="R163" s="4" t="s">
        <v>747</v>
      </c>
      <c r="S163" s="5">
        <v>153252100</v>
      </c>
    </row>
    <row r="164" spans="1:19" x14ac:dyDescent="0.25">
      <c r="A164" s="4" t="s">
        <v>61</v>
      </c>
      <c r="B164" s="4" t="s">
        <v>59</v>
      </c>
      <c r="C164" s="4" t="s">
        <v>62</v>
      </c>
      <c r="D164" s="4" t="s">
        <v>63</v>
      </c>
      <c r="E164" s="4" t="s">
        <v>206</v>
      </c>
      <c r="F164" s="4" t="s">
        <v>207</v>
      </c>
      <c r="G164" s="4" t="s">
        <v>97</v>
      </c>
      <c r="H164" s="4" t="s">
        <v>26</v>
      </c>
      <c r="I164" s="5">
        <v>155000000</v>
      </c>
      <c r="J164" s="5">
        <v>10000</v>
      </c>
      <c r="K164" s="5">
        <v>1000</v>
      </c>
      <c r="L164" s="4" t="s">
        <v>208</v>
      </c>
      <c r="M164" s="4" t="s">
        <v>209</v>
      </c>
      <c r="N164" s="3">
        <v>45871</v>
      </c>
      <c r="O164" s="4" t="s">
        <v>459</v>
      </c>
      <c r="P164" s="2">
        <v>2000</v>
      </c>
      <c r="Q164" s="2">
        <v>703</v>
      </c>
      <c r="R164" s="4" t="s">
        <v>747</v>
      </c>
      <c r="S164" s="5">
        <v>153252100</v>
      </c>
    </row>
    <row r="165" spans="1:19" x14ac:dyDescent="0.25">
      <c r="A165" s="4" t="s">
        <v>61</v>
      </c>
      <c r="B165" s="4" t="s">
        <v>59</v>
      </c>
      <c r="C165" s="4" t="s">
        <v>62</v>
      </c>
      <c r="D165" s="4" t="s">
        <v>63</v>
      </c>
      <c r="E165" s="4" t="s">
        <v>263</v>
      </c>
      <c r="F165" s="4" t="s">
        <v>264</v>
      </c>
      <c r="G165" s="4" t="s">
        <v>81</v>
      </c>
      <c r="H165" s="4" t="s">
        <v>26</v>
      </c>
      <c r="I165" s="5">
        <v>65000000</v>
      </c>
      <c r="J165" s="5">
        <v>76500</v>
      </c>
      <c r="K165" s="5">
        <v>7650</v>
      </c>
      <c r="L165" s="4" t="s">
        <v>26</v>
      </c>
      <c r="M165" s="4" t="s">
        <v>26</v>
      </c>
      <c r="N165" s="3">
        <v>45879</v>
      </c>
      <c r="O165" s="4" t="s">
        <v>639</v>
      </c>
      <c r="P165" s="2">
        <v>1000</v>
      </c>
      <c r="Q165" s="2">
        <v>766</v>
      </c>
      <c r="R165" s="4" t="s">
        <v>763</v>
      </c>
      <c r="S165" s="5">
        <v>54808900</v>
      </c>
    </row>
    <row r="166" spans="1:19" x14ac:dyDescent="0.25">
      <c r="A166" s="4" t="s">
        <v>61</v>
      </c>
      <c r="B166" s="4" t="s">
        <v>59</v>
      </c>
      <c r="C166" s="4" t="s">
        <v>62</v>
      </c>
      <c r="D166" s="4" t="s">
        <v>63</v>
      </c>
      <c r="E166" s="4" t="s">
        <v>263</v>
      </c>
      <c r="F166" s="4" t="s">
        <v>264</v>
      </c>
      <c r="G166" s="4" t="s">
        <v>81</v>
      </c>
      <c r="H166" s="4" t="s">
        <v>26</v>
      </c>
      <c r="I166" s="5">
        <v>65000000</v>
      </c>
      <c r="J166" s="5">
        <v>427500</v>
      </c>
      <c r="K166" s="5">
        <v>42750</v>
      </c>
      <c r="L166" s="4" t="s">
        <v>26</v>
      </c>
      <c r="M166" s="4" t="s">
        <v>26</v>
      </c>
      <c r="N166" s="3">
        <v>45879</v>
      </c>
      <c r="O166" s="4" t="s">
        <v>639</v>
      </c>
      <c r="P166" s="2">
        <v>2000</v>
      </c>
      <c r="Q166" s="2">
        <v>766</v>
      </c>
      <c r="R166" s="4" t="s">
        <v>763</v>
      </c>
      <c r="S166" s="5">
        <v>54808900</v>
      </c>
    </row>
    <row r="167" spans="1:19" x14ac:dyDescent="0.25">
      <c r="A167" s="4" t="s">
        <v>61</v>
      </c>
      <c r="B167" s="4" t="s">
        <v>59</v>
      </c>
      <c r="C167" s="4" t="s">
        <v>62</v>
      </c>
      <c r="D167" s="4" t="s">
        <v>63</v>
      </c>
      <c r="E167" s="4" t="s">
        <v>691</v>
      </c>
      <c r="F167" s="4" t="s">
        <v>692</v>
      </c>
      <c r="G167" s="4" t="s">
        <v>50</v>
      </c>
      <c r="H167" s="4" t="s">
        <v>26</v>
      </c>
      <c r="I167" s="5">
        <v>65000000</v>
      </c>
      <c r="J167" s="5">
        <v>-2119860</v>
      </c>
      <c r="K167" s="5">
        <v>-211986</v>
      </c>
      <c r="L167" s="4" t="s">
        <v>26</v>
      </c>
      <c r="M167" s="4" t="s">
        <v>26</v>
      </c>
      <c r="N167" s="3">
        <v>45878</v>
      </c>
      <c r="O167" s="4" t="s">
        <v>690</v>
      </c>
      <c r="P167" s="2">
        <v>1000</v>
      </c>
      <c r="Q167" s="2">
        <v>784</v>
      </c>
      <c r="R167" s="4" t="s">
        <v>764</v>
      </c>
      <c r="S167" s="5">
        <v>68974580</v>
      </c>
    </row>
    <row r="168" spans="1:19" x14ac:dyDescent="0.25">
      <c r="A168" s="4" t="s">
        <v>61</v>
      </c>
      <c r="B168" s="4" t="s">
        <v>59</v>
      </c>
      <c r="C168" s="4" t="s">
        <v>62</v>
      </c>
      <c r="D168" s="4" t="s">
        <v>63</v>
      </c>
      <c r="E168" s="4" t="s">
        <v>691</v>
      </c>
      <c r="F168" s="4" t="s">
        <v>692</v>
      </c>
      <c r="G168" s="4" t="s">
        <v>50</v>
      </c>
      <c r="H168" s="4" t="s">
        <v>26</v>
      </c>
      <c r="I168" s="5">
        <v>65000000</v>
      </c>
      <c r="J168" s="5">
        <v>-1854720</v>
      </c>
      <c r="K168" s="5">
        <v>-185472</v>
      </c>
      <c r="L168" s="4" t="s">
        <v>26</v>
      </c>
      <c r="M168" s="4" t="s">
        <v>26</v>
      </c>
      <c r="N168" s="3">
        <v>45878</v>
      </c>
      <c r="O168" s="4" t="s">
        <v>690</v>
      </c>
      <c r="P168" s="2">
        <v>2000</v>
      </c>
      <c r="Q168" s="2">
        <v>784</v>
      </c>
      <c r="R168" s="4" t="s">
        <v>764</v>
      </c>
      <c r="S168" s="5">
        <v>68974580</v>
      </c>
    </row>
    <row r="169" spans="1:19" x14ac:dyDescent="0.25">
      <c r="A169" s="4" t="s">
        <v>61</v>
      </c>
      <c r="B169" s="4" t="s">
        <v>59</v>
      </c>
      <c r="C169" s="4" t="s">
        <v>62</v>
      </c>
      <c r="D169" s="4" t="s">
        <v>63</v>
      </c>
      <c r="E169" s="4" t="s">
        <v>606</v>
      </c>
      <c r="F169" s="4" t="s">
        <v>607</v>
      </c>
      <c r="G169" s="4" t="s">
        <v>286</v>
      </c>
      <c r="H169" s="4" t="s">
        <v>26</v>
      </c>
      <c r="I169" s="5">
        <v>110000000</v>
      </c>
      <c r="J169" s="5">
        <v>1245000</v>
      </c>
      <c r="K169" s="5">
        <v>124500</v>
      </c>
      <c r="L169" s="4" t="s">
        <v>26</v>
      </c>
      <c r="M169" s="4" t="s">
        <v>26</v>
      </c>
      <c r="N169" s="3">
        <v>45876</v>
      </c>
      <c r="O169" s="4" t="s">
        <v>605</v>
      </c>
      <c r="P169" s="2">
        <v>1000</v>
      </c>
      <c r="Q169" s="2">
        <v>792</v>
      </c>
      <c r="R169" s="4" t="s">
        <v>753</v>
      </c>
      <c r="S169" s="5">
        <v>108755000</v>
      </c>
    </row>
    <row r="170" spans="1:19" x14ac:dyDescent="0.25">
      <c r="A170" s="4" t="s">
        <v>61</v>
      </c>
      <c r="B170" s="4" t="s">
        <v>59</v>
      </c>
      <c r="C170" s="4" t="s">
        <v>62</v>
      </c>
      <c r="D170" s="4" t="s">
        <v>63</v>
      </c>
      <c r="E170" s="4" t="s">
        <v>494</v>
      </c>
      <c r="F170" s="4" t="s">
        <v>495</v>
      </c>
      <c r="G170" s="4" t="s">
        <v>199</v>
      </c>
      <c r="H170" s="4" t="s">
        <v>26</v>
      </c>
      <c r="I170" s="5">
        <v>65000000</v>
      </c>
      <c r="J170" s="5">
        <v>156000</v>
      </c>
      <c r="K170" s="5">
        <v>15600</v>
      </c>
      <c r="L170" s="4" t="s">
        <v>699</v>
      </c>
      <c r="M170" s="4" t="s">
        <v>700</v>
      </c>
      <c r="N170" s="3">
        <v>45877</v>
      </c>
      <c r="O170" s="4" t="s">
        <v>698</v>
      </c>
      <c r="P170" s="2">
        <v>1000</v>
      </c>
      <c r="Q170" s="2">
        <v>806</v>
      </c>
      <c r="R170" s="4" t="s">
        <v>758</v>
      </c>
      <c r="S170" s="5">
        <v>55802760</v>
      </c>
    </row>
    <row r="171" spans="1:19" x14ac:dyDescent="0.25">
      <c r="A171" s="4" t="s">
        <v>61</v>
      </c>
      <c r="B171" s="4" t="s">
        <v>59</v>
      </c>
      <c r="C171" s="4" t="s">
        <v>62</v>
      </c>
      <c r="D171" s="4" t="s">
        <v>63</v>
      </c>
      <c r="E171" s="4" t="s">
        <v>494</v>
      </c>
      <c r="F171" s="4" t="s">
        <v>495</v>
      </c>
      <c r="G171" s="4" t="s">
        <v>199</v>
      </c>
      <c r="H171" s="4" t="s">
        <v>26</v>
      </c>
      <c r="I171" s="5">
        <v>65000000</v>
      </c>
      <c r="J171" s="5">
        <v>207200</v>
      </c>
      <c r="K171" s="5">
        <v>20720</v>
      </c>
      <c r="L171" s="4" t="s">
        <v>699</v>
      </c>
      <c r="M171" s="4" t="s">
        <v>700</v>
      </c>
      <c r="N171" s="3">
        <v>45877</v>
      </c>
      <c r="O171" s="4" t="s">
        <v>698</v>
      </c>
      <c r="P171" s="2">
        <v>2000</v>
      </c>
      <c r="Q171" s="2">
        <v>806</v>
      </c>
      <c r="R171" s="4" t="s">
        <v>26</v>
      </c>
      <c r="S171" s="5">
        <v>55802760</v>
      </c>
    </row>
    <row r="172" spans="1:19" x14ac:dyDescent="0.25">
      <c r="A172" s="4" t="s">
        <v>61</v>
      </c>
      <c r="B172" s="4" t="s">
        <v>59</v>
      </c>
      <c r="C172" s="4" t="s">
        <v>62</v>
      </c>
      <c r="D172" s="4" t="s">
        <v>63</v>
      </c>
      <c r="E172" s="4" t="s">
        <v>334</v>
      </c>
      <c r="F172" s="4" t="s">
        <v>335</v>
      </c>
      <c r="G172" s="4" t="s">
        <v>222</v>
      </c>
      <c r="H172" s="4" t="s">
        <v>26</v>
      </c>
      <c r="I172" s="5">
        <v>110000000</v>
      </c>
      <c r="J172" s="5">
        <v>1125000</v>
      </c>
      <c r="K172" s="5">
        <v>112500</v>
      </c>
      <c r="L172" s="4" t="s">
        <v>336</v>
      </c>
      <c r="M172" s="4" t="s">
        <v>337</v>
      </c>
      <c r="N172" s="3">
        <v>45876</v>
      </c>
      <c r="O172" s="4" t="s">
        <v>626</v>
      </c>
      <c r="P172" s="2">
        <v>1000</v>
      </c>
      <c r="Q172" s="2">
        <v>808</v>
      </c>
      <c r="R172" s="4" t="s">
        <v>26</v>
      </c>
      <c r="S172" s="5">
        <v>101184670</v>
      </c>
    </row>
    <row r="173" spans="1:19" x14ac:dyDescent="0.25">
      <c r="A173" s="4" t="s">
        <v>61</v>
      </c>
      <c r="B173" s="4" t="s">
        <v>59</v>
      </c>
      <c r="C173" s="4" t="s">
        <v>62</v>
      </c>
      <c r="D173" s="4" t="s">
        <v>63</v>
      </c>
      <c r="E173" s="4" t="s">
        <v>334</v>
      </c>
      <c r="F173" s="4" t="s">
        <v>335</v>
      </c>
      <c r="G173" s="4" t="s">
        <v>222</v>
      </c>
      <c r="H173" s="4" t="s">
        <v>26</v>
      </c>
      <c r="I173" s="5">
        <v>110000000</v>
      </c>
      <c r="J173" s="5">
        <v>2295000</v>
      </c>
      <c r="K173" s="5">
        <v>229500</v>
      </c>
      <c r="L173" s="4" t="s">
        <v>336</v>
      </c>
      <c r="M173" s="4" t="s">
        <v>337</v>
      </c>
      <c r="N173" s="3">
        <v>45876</v>
      </c>
      <c r="O173" s="4" t="s">
        <v>626</v>
      </c>
      <c r="P173" s="2">
        <v>2000</v>
      </c>
      <c r="Q173" s="2">
        <v>808</v>
      </c>
      <c r="R173" s="4" t="s">
        <v>26</v>
      </c>
      <c r="S173" s="5">
        <v>101184670</v>
      </c>
    </row>
    <row r="174" spans="1:19" x14ac:dyDescent="0.25">
      <c r="A174" s="4" t="s">
        <v>61</v>
      </c>
      <c r="B174" s="4" t="s">
        <v>59</v>
      </c>
      <c r="C174" s="4" t="s">
        <v>62</v>
      </c>
      <c r="D174" s="4" t="s">
        <v>63</v>
      </c>
      <c r="E174" s="4" t="s">
        <v>334</v>
      </c>
      <c r="F174" s="4" t="s">
        <v>335</v>
      </c>
      <c r="G174" s="4" t="s">
        <v>222</v>
      </c>
      <c r="H174" s="4" t="s">
        <v>26</v>
      </c>
      <c r="I174" s="5">
        <v>110000000</v>
      </c>
      <c r="J174" s="5">
        <v>270000</v>
      </c>
      <c r="K174" s="5">
        <v>27000</v>
      </c>
      <c r="L174" s="4" t="s">
        <v>336</v>
      </c>
      <c r="M174" s="4" t="s">
        <v>337</v>
      </c>
      <c r="N174" s="3">
        <v>45876</v>
      </c>
      <c r="O174" s="4" t="s">
        <v>626</v>
      </c>
      <c r="P174" s="2">
        <v>3000</v>
      </c>
      <c r="Q174" s="2">
        <v>808</v>
      </c>
      <c r="R174" s="4" t="s">
        <v>26</v>
      </c>
      <c r="S174" s="5">
        <v>101184670</v>
      </c>
    </row>
    <row r="175" spans="1:19" x14ac:dyDescent="0.25">
      <c r="A175" s="4" t="s">
        <v>61</v>
      </c>
      <c r="B175" s="4" t="s">
        <v>59</v>
      </c>
      <c r="C175" s="4" t="s">
        <v>62</v>
      </c>
      <c r="D175" s="4" t="s">
        <v>63</v>
      </c>
      <c r="E175" s="4" t="s">
        <v>334</v>
      </c>
      <c r="F175" s="4" t="s">
        <v>335</v>
      </c>
      <c r="G175" s="4" t="s">
        <v>222</v>
      </c>
      <c r="H175" s="4" t="s">
        <v>26</v>
      </c>
      <c r="I175" s="5">
        <v>110000000</v>
      </c>
      <c r="J175" s="5">
        <v>455000</v>
      </c>
      <c r="K175" s="5">
        <v>45500</v>
      </c>
      <c r="L175" s="4" t="s">
        <v>336</v>
      </c>
      <c r="M175" s="4" t="s">
        <v>337</v>
      </c>
      <c r="N175" s="3">
        <v>45876</v>
      </c>
      <c r="O175" s="4" t="s">
        <v>626</v>
      </c>
      <c r="P175" s="2">
        <v>4000</v>
      </c>
      <c r="Q175" s="2">
        <v>808</v>
      </c>
      <c r="R175" s="4" t="s">
        <v>26</v>
      </c>
      <c r="S175" s="5">
        <v>101184670</v>
      </c>
    </row>
    <row r="176" spans="1:19" x14ac:dyDescent="0.25">
      <c r="A176" s="4" t="s">
        <v>61</v>
      </c>
      <c r="B176" s="4" t="s">
        <v>59</v>
      </c>
      <c r="C176" s="4" t="s">
        <v>62</v>
      </c>
      <c r="D176" s="4" t="s">
        <v>63</v>
      </c>
      <c r="E176" s="4" t="s">
        <v>74</v>
      </c>
      <c r="F176" s="4" t="s">
        <v>75</v>
      </c>
      <c r="G176" s="4" t="s">
        <v>76</v>
      </c>
      <c r="H176" s="4" t="s">
        <v>26</v>
      </c>
      <c r="I176" s="5">
        <v>110000000</v>
      </c>
      <c r="J176" s="5">
        <v>520000</v>
      </c>
      <c r="K176" s="5">
        <v>52000</v>
      </c>
      <c r="L176" s="4" t="s">
        <v>77</v>
      </c>
      <c r="M176" s="4" t="s">
        <v>78</v>
      </c>
      <c r="N176" s="3">
        <v>45876</v>
      </c>
      <c r="O176" s="4" t="s">
        <v>605</v>
      </c>
      <c r="P176" s="2">
        <v>1000</v>
      </c>
      <c r="Q176" s="2">
        <v>817</v>
      </c>
      <c r="R176" s="4" t="s">
        <v>759</v>
      </c>
      <c r="S176" s="5">
        <v>108586000</v>
      </c>
    </row>
    <row r="177" spans="1:19" x14ac:dyDescent="0.25">
      <c r="A177" s="4" t="s">
        <v>61</v>
      </c>
      <c r="B177" s="4" t="s">
        <v>59</v>
      </c>
      <c r="C177" s="4" t="s">
        <v>62</v>
      </c>
      <c r="D177" s="4" t="s">
        <v>63</v>
      </c>
      <c r="E177" s="4" t="s">
        <v>103</v>
      </c>
      <c r="F177" s="4" t="s">
        <v>104</v>
      </c>
      <c r="G177" s="4" t="s">
        <v>105</v>
      </c>
      <c r="H177" s="4" t="s">
        <v>26</v>
      </c>
      <c r="I177" s="5">
        <v>155000000</v>
      </c>
      <c r="J177" s="5">
        <v>157500</v>
      </c>
      <c r="K177" s="5">
        <v>15750</v>
      </c>
      <c r="L177" s="4" t="s">
        <v>26</v>
      </c>
      <c r="M177" s="4" t="s">
        <v>26</v>
      </c>
      <c r="N177" s="3">
        <v>45872</v>
      </c>
      <c r="O177" s="4" t="s">
        <v>432</v>
      </c>
      <c r="P177" s="2">
        <v>1000</v>
      </c>
      <c r="Q177" s="2">
        <v>825</v>
      </c>
      <c r="R177" s="4" t="s">
        <v>755</v>
      </c>
      <c r="S177" s="5">
        <v>150234500</v>
      </c>
    </row>
    <row r="178" spans="1:19" x14ac:dyDescent="0.25">
      <c r="A178" s="4" t="s">
        <v>61</v>
      </c>
      <c r="B178" s="4" t="s">
        <v>59</v>
      </c>
      <c r="C178" s="4" t="s">
        <v>62</v>
      </c>
      <c r="D178" s="4" t="s">
        <v>63</v>
      </c>
      <c r="E178" s="4" t="s">
        <v>103</v>
      </c>
      <c r="F178" s="4" t="s">
        <v>104</v>
      </c>
      <c r="G178" s="4" t="s">
        <v>105</v>
      </c>
      <c r="H178" s="4" t="s">
        <v>26</v>
      </c>
      <c r="I178" s="5">
        <v>155000000</v>
      </c>
      <c r="J178" s="5">
        <v>157500</v>
      </c>
      <c r="K178" s="5">
        <v>15750</v>
      </c>
      <c r="L178" s="4" t="s">
        <v>26</v>
      </c>
      <c r="M178" s="4" t="s">
        <v>26</v>
      </c>
      <c r="N178" s="3">
        <v>45872</v>
      </c>
      <c r="O178" s="4" t="s">
        <v>432</v>
      </c>
      <c r="P178" s="2">
        <v>2000</v>
      </c>
      <c r="Q178" s="2">
        <v>825</v>
      </c>
      <c r="R178" s="4" t="s">
        <v>755</v>
      </c>
      <c r="S178" s="5">
        <v>150234500</v>
      </c>
    </row>
    <row r="179" spans="1:19" x14ac:dyDescent="0.25">
      <c r="A179" s="4" t="s">
        <v>61</v>
      </c>
      <c r="B179" s="4" t="s">
        <v>59</v>
      </c>
      <c r="C179" s="4" t="s">
        <v>62</v>
      </c>
      <c r="D179" s="4" t="s">
        <v>63</v>
      </c>
      <c r="E179" s="4" t="s">
        <v>103</v>
      </c>
      <c r="F179" s="4" t="s">
        <v>104</v>
      </c>
      <c r="G179" s="4" t="s">
        <v>105</v>
      </c>
      <c r="H179" s="4" t="s">
        <v>26</v>
      </c>
      <c r="I179" s="5">
        <v>155000000</v>
      </c>
      <c r="J179" s="5">
        <v>22500</v>
      </c>
      <c r="K179" s="5">
        <v>2250</v>
      </c>
      <c r="L179" s="4" t="s">
        <v>26</v>
      </c>
      <c r="M179" s="4" t="s">
        <v>26</v>
      </c>
      <c r="N179" s="3">
        <v>45872</v>
      </c>
      <c r="O179" s="4" t="s">
        <v>432</v>
      </c>
      <c r="P179" s="2">
        <v>3000</v>
      </c>
      <c r="Q179" s="2">
        <v>825</v>
      </c>
      <c r="R179" s="4" t="s">
        <v>755</v>
      </c>
      <c r="S179" s="5">
        <v>150234500</v>
      </c>
    </row>
    <row r="180" spans="1:19" x14ac:dyDescent="0.25">
      <c r="A180" s="4" t="s">
        <v>61</v>
      </c>
      <c r="B180" s="4" t="s">
        <v>59</v>
      </c>
      <c r="C180" s="4" t="s">
        <v>62</v>
      </c>
      <c r="D180" s="4" t="s">
        <v>63</v>
      </c>
      <c r="E180" s="4" t="s">
        <v>103</v>
      </c>
      <c r="F180" s="4" t="s">
        <v>104</v>
      </c>
      <c r="G180" s="4" t="s">
        <v>105</v>
      </c>
      <c r="H180" s="4" t="s">
        <v>26</v>
      </c>
      <c r="I180" s="5">
        <v>155000000</v>
      </c>
      <c r="J180" s="5">
        <v>5400</v>
      </c>
      <c r="K180" s="5">
        <v>540</v>
      </c>
      <c r="L180" s="4" t="s">
        <v>26</v>
      </c>
      <c r="M180" s="4" t="s">
        <v>26</v>
      </c>
      <c r="N180" s="3">
        <v>45872</v>
      </c>
      <c r="O180" s="4" t="s">
        <v>432</v>
      </c>
      <c r="P180" s="2">
        <v>4000</v>
      </c>
      <c r="Q180" s="2">
        <v>825</v>
      </c>
      <c r="R180" s="4" t="s">
        <v>755</v>
      </c>
      <c r="S180" s="5">
        <v>150234500</v>
      </c>
    </row>
    <row r="181" spans="1:19" x14ac:dyDescent="0.25">
      <c r="A181" s="4" t="s">
        <v>61</v>
      </c>
      <c r="B181" s="4" t="s">
        <v>59</v>
      </c>
      <c r="C181" s="4" t="s">
        <v>62</v>
      </c>
      <c r="D181" s="4" t="s">
        <v>63</v>
      </c>
      <c r="E181" s="4" t="s">
        <v>127</v>
      </c>
      <c r="F181" s="4" t="s">
        <v>128</v>
      </c>
      <c r="G181" s="4" t="s">
        <v>50</v>
      </c>
      <c r="H181" s="4" t="s">
        <v>26</v>
      </c>
      <c r="I181" s="5">
        <v>65000000</v>
      </c>
      <c r="J181" s="5">
        <v>31000</v>
      </c>
      <c r="K181" s="5">
        <v>3100</v>
      </c>
      <c r="L181" s="4" t="s">
        <v>129</v>
      </c>
      <c r="M181" s="4" t="s">
        <v>130</v>
      </c>
      <c r="N181" s="3">
        <v>45872</v>
      </c>
      <c r="O181" s="4" t="s">
        <v>532</v>
      </c>
      <c r="P181" s="2">
        <v>1000</v>
      </c>
      <c r="Q181" s="2">
        <v>832</v>
      </c>
      <c r="R181" s="4" t="s">
        <v>749</v>
      </c>
      <c r="S181" s="5">
        <v>60417600</v>
      </c>
    </row>
    <row r="182" spans="1:19" x14ac:dyDescent="0.25">
      <c r="A182" s="4" t="s">
        <v>61</v>
      </c>
      <c r="B182" s="4" t="s">
        <v>59</v>
      </c>
      <c r="C182" s="4" t="s">
        <v>62</v>
      </c>
      <c r="D182" s="4" t="s">
        <v>63</v>
      </c>
      <c r="E182" s="4" t="s">
        <v>474</v>
      </c>
      <c r="F182" s="4" t="s">
        <v>475</v>
      </c>
      <c r="G182" s="4" t="s">
        <v>81</v>
      </c>
      <c r="H182" s="4" t="s">
        <v>26</v>
      </c>
      <c r="I182" s="5">
        <v>65000000</v>
      </c>
      <c r="J182" s="5">
        <v>54000</v>
      </c>
      <c r="K182" s="5">
        <v>5400</v>
      </c>
      <c r="L182" s="4" t="s">
        <v>476</v>
      </c>
      <c r="M182" s="4" t="s">
        <v>477</v>
      </c>
      <c r="N182" s="3">
        <v>45872</v>
      </c>
      <c r="O182" s="4" t="s">
        <v>459</v>
      </c>
      <c r="P182" s="2">
        <v>1000</v>
      </c>
      <c r="Q182" s="2">
        <v>851</v>
      </c>
      <c r="R182" s="4" t="s">
        <v>26</v>
      </c>
      <c r="S182" s="5">
        <v>64312830</v>
      </c>
    </row>
    <row r="183" spans="1:19" x14ac:dyDescent="0.25">
      <c r="A183" s="4" t="s">
        <v>61</v>
      </c>
      <c r="B183" s="4" t="s">
        <v>59</v>
      </c>
      <c r="C183" s="4" t="s">
        <v>62</v>
      </c>
      <c r="D183" s="4" t="s">
        <v>63</v>
      </c>
      <c r="E183" s="4" t="s">
        <v>498</v>
      </c>
      <c r="F183" s="4" t="s">
        <v>499</v>
      </c>
      <c r="G183" s="4" t="s">
        <v>144</v>
      </c>
      <c r="H183" s="4" t="s">
        <v>26</v>
      </c>
      <c r="I183" s="5">
        <v>90000000</v>
      </c>
      <c r="J183" s="5">
        <v>396000</v>
      </c>
      <c r="K183" s="5">
        <v>39600</v>
      </c>
      <c r="L183" s="4" t="s">
        <v>500</v>
      </c>
      <c r="M183" s="4" t="s">
        <v>501</v>
      </c>
      <c r="N183" s="3">
        <v>45872</v>
      </c>
      <c r="O183" s="4" t="s">
        <v>532</v>
      </c>
      <c r="P183" s="2">
        <v>1000</v>
      </c>
      <c r="Q183" s="2">
        <v>863</v>
      </c>
      <c r="R183" s="4" t="s">
        <v>26</v>
      </c>
      <c r="S183" s="5">
        <v>84861850</v>
      </c>
    </row>
    <row r="184" spans="1:19" x14ac:dyDescent="0.25">
      <c r="A184" s="4" t="s">
        <v>61</v>
      </c>
      <c r="B184" s="4" t="s">
        <v>59</v>
      </c>
      <c r="C184" s="4" t="s">
        <v>62</v>
      </c>
      <c r="D184" s="4" t="s">
        <v>63</v>
      </c>
      <c r="E184" s="4" t="s">
        <v>232</v>
      </c>
      <c r="F184" s="4" t="s">
        <v>233</v>
      </c>
      <c r="G184" s="4" t="s">
        <v>81</v>
      </c>
      <c r="H184" s="4" t="s">
        <v>26</v>
      </c>
      <c r="I184" s="5">
        <v>65000000</v>
      </c>
      <c r="J184" s="5">
        <v>297000</v>
      </c>
      <c r="K184" s="5">
        <v>29700</v>
      </c>
      <c r="L184" s="4" t="s">
        <v>234</v>
      </c>
      <c r="M184" s="4" t="s">
        <v>235</v>
      </c>
      <c r="N184" s="3">
        <v>45872</v>
      </c>
      <c r="O184" s="4" t="s">
        <v>532</v>
      </c>
      <c r="P184" s="2">
        <v>1000</v>
      </c>
      <c r="Q184" s="2">
        <v>869</v>
      </c>
      <c r="R184" s="4" t="s">
        <v>26</v>
      </c>
      <c r="S184" s="5">
        <v>56050260</v>
      </c>
    </row>
    <row r="185" spans="1:19" x14ac:dyDescent="0.25">
      <c r="A185" s="4" t="s">
        <v>61</v>
      </c>
      <c r="B185" s="4" t="s">
        <v>59</v>
      </c>
      <c r="C185" s="4" t="s">
        <v>62</v>
      </c>
      <c r="D185" s="4" t="s">
        <v>63</v>
      </c>
      <c r="E185" s="4" t="s">
        <v>682</v>
      </c>
      <c r="F185" s="4" t="s">
        <v>683</v>
      </c>
      <c r="G185" s="4" t="s">
        <v>309</v>
      </c>
      <c r="H185" s="4" t="s">
        <v>26</v>
      </c>
      <c r="I185" s="5">
        <v>90000000</v>
      </c>
      <c r="J185" s="5">
        <v>938000</v>
      </c>
      <c r="K185" s="5">
        <v>93800</v>
      </c>
      <c r="L185" s="4" t="s">
        <v>684</v>
      </c>
      <c r="M185" s="4" t="s">
        <v>685</v>
      </c>
      <c r="N185" s="3">
        <v>45880</v>
      </c>
      <c r="O185" s="4" t="s">
        <v>681</v>
      </c>
      <c r="P185" s="2">
        <v>1000</v>
      </c>
      <c r="Q185" s="2">
        <v>900</v>
      </c>
      <c r="R185" s="4" t="s">
        <v>26</v>
      </c>
      <c r="S185" s="5">
        <v>89062000</v>
      </c>
    </row>
    <row r="186" spans="1:19" x14ac:dyDescent="0.25">
      <c r="A186" s="4" t="s">
        <v>61</v>
      </c>
      <c r="B186" s="4" t="s">
        <v>59</v>
      </c>
      <c r="C186" s="4" t="s">
        <v>62</v>
      </c>
      <c r="D186" s="4" t="s">
        <v>63</v>
      </c>
      <c r="E186" s="4" t="s">
        <v>232</v>
      </c>
      <c r="F186" s="4" t="s">
        <v>233</v>
      </c>
      <c r="G186" s="4" t="s">
        <v>81</v>
      </c>
      <c r="H186" s="4" t="s">
        <v>26</v>
      </c>
      <c r="I186" s="5">
        <v>65000000</v>
      </c>
      <c r="J186" s="5">
        <v>1499000</v>
      </c>
      <c r="K186" s="5">
        <v>149900</v>
      </c>
      <c r="L186" s="4" t="s">
        <v>234</v>
      </c>
      <c r="M186" s="4" t="s">
        <v>235</v>
      </c>
      <c r="N186" s="3">
        <v>45877</v>
      </c>
      <c r="O186" s="4" t="s">
        <v>626</v>
      </c>
      <c r="P186" s="2">
        <v>1000</v>
      </c>
      <c r="Q186" s="2">
        <v>904</v>
      </c>
      <c r="R186" s="4" t="s">
        <v>765</v>
      </c>
      <c r="S186" s="5">
        <v>56050260</v>
      </c>
    </row>
    <row r="187" spans="1:19" x14ac:dyDescent="0.25">
      <c r="A187" s="4" t="s">
        <v>61</v>
      </c>
      <c r="B187" s="4" t="s">
        <v>59</v>
      </c>
      <c r="C187" s="4" t="s">
        <v>62</v>
      </c>
      <c r="D187" s="4" t="s">
        <v>63</v>
      </c>
      <c r="E187" s="4" t="s">
        <v>178</v>
      </c>
      <c r="F187" s="4" t="s">
        <v>179</v>
      </c>
      <c r="G187" s="4" t="s">
        <v>124</v>
      </c>
      <c r="H187" s="4" t="s">
        <v>26</v>
      </c>
      <c r="I187" s="5">
        <v>65000000</v>
      </c>
      <c r="J187" s="5">
        <v>550000</v>
      </c>
      <c r="K187" s="5">
        <v>55000</v>
      </c>
      <c r="L187" s="4" t="s">
        <v>701</v>
      </c>
      <c r="M187" s="4" t="s">
        <v>702</v>
      </c>
      <c r="N187" s="3">
        <v>45878</v>
      </c>
      <c r="O187" s="4" t="s">
        <v>698</v>
      </c>
      <c r="P187" s="2">
        <v>1000</v>
      </c>
      <c r="Q187" s="2">
        <v>914</v>
      </c>
      <c r="R187" s="4" t="s">
        <v>761</v>
      </c>
      <c r="S187" s="5">
        <v>54146650</v>
      </c>
    </row>
    <row r="188" spans="1:19" x14ac:dyDescent="0.25">
      <c r="A188" s="4" t="s">
        <v>61</v>
      </c>
      <c r="B188" s="4" t="s">
        <v>59</v>
      </c>
      <c r="C188" s="4" t="s">
        <v>62</v>
      </c>
      <c r="D188" s="4" t="s">
        <v>63</v>
      </c>
      <c r="E188" s="4" t="s">
        <v>568</v>
      </c>
      <c r="F188" s="4" t="s">
        <v>569</v>
      </c>
      <c r="G188" s="4" t="s">
        <v>199</v>
      </c>
      <c r="H188" s="4" t="s">
        <v>26</v>
      </c>
      <c r="I188" s="5">
        <v>65000000</v>
      </c>
      <c r="J188" s="5">
        <v>1900000</v>
      </c>
      <c r="K188" s="5">
        <v>190000</v>
      </c>
      <c r="L188" s="4" t="s">
        <v>592</v>
      </c>
      <c r="M188" s="4" t="s">
        <v>593</v>
      </c>
      <c r="N188" s="3">
        <v>45875</v>
      </c>
      <c r="O188" s="4" t="s">
        <v>663</v>
      </c>
      <c r="P188" s="2">
        <v>1000</v>
      </c>
      <c r="Q188" s="2">
        <v>915</v>
      </c>
      <c r="R188" s="4" t="s">
        <v>26</v>
      </c>
      <c r="S188" s="5">
        <v>60252900</v>
      </c>
    </row>
    <row r="189" spans="1:19" x14ac:dyDescent="0.25">
      <c r="A189" s="4" t="s">
        <v>61</v>
      </c>
      <c r="B189" s="4" t="s">
        <v>59</v>
      </c>
      <c r="C189" s="4" t="s">
        <v>62</v>
      </c>
      <c r="D189" s="4" t="s">
        <v>63</v>
      </c>
      <c r="E189" s="4" t="s">
        <v>255</v>
      </c>
      <c r="F189" s="4" t="s">
        <v>256</v>
      </c>
      <c r="G189" s="4" t="s">
        <v>144</v>
      </c>
      <c r="H189" s="4" t="s">
        <v>26</v>
      </c>
      <c r="I189" s="5">
        <v>90000000</v>
      </c>
      <c r="J189" s="5">
        <v>1449600</v>
      </c>
      <c r="K189" s="5">
        <v>144960</v>
      </c>
      <c r="L189" s="4" t="s">
        <v>26</v>
      </c>
      <c r="M189" s="4" t="s">
        <v>26</v>
      </c>
      <c r="N189" s="3">
        <v>45874</v>
      </c>
      <c r="O189" s="4" t="s">
        <v>642</v>
      </c>
      <c r="P189" s="2">
        <v>1000</v>
      </c>
      <c r="Q189" s="2">
        <v>946</v>
      </c>
      <c r="R189" s="4" t="s">
        <v>760</v>
      </c>
      <c r="S189" s="5">
        <v>81505500</v>
      </c>
    </row>
    <row r="190" spans="1:19" x14ac:dyDescent="0.25">
      <c r="A190" s="4" t="s">
        <v>61</v>
      </c>
      <c r="B190" s="4" t="s">
        <v>59</v>
      </c>
      <c r="C190" s="4" t="s">
        <v>62</v>
      </c>
      <c r="D190" s="4" t="s">
        <v>63</v>
      </c>
      <c r="E190" s="4" t="s">
        <v>263</v>
      </c>
      <c r="F190" s="4" t="s">
        <v>264</v>
      </c>
      <c r="G190" s="4" t="s">
        <v>81</v>
      </c>
      <c r="H190" s="4" t="s">
        <v>26</v>
      </c>
      <c r="I190" s="5">
        <v>65000000</v>
      </c>
      <c r="J190" s="5">
        <v>340000</v>
      </c>
      <c r="K190" s="5">
        <v>34000</v>
      </c>
      <c r="L190" s="4" t="s">
        <v>26</v>
      </c>
      <c r="M190" s="4" t="s">
        <v>26</v>
      </c>
      <c r="N190" s="3">
        <v>45885</v>
      </c>
      <c r="O190" s="4" t="s">
        <v>639</v>
      </c>
      <c r="P190" s="2">
        <v>1000</v>
      </c>
      <c r="Q190" s="2">
        <v>948</v>
      </c>
      <c r="R190" s="4" t="s">
        <v>756</v>
      </c>
      <c r="S190" s="5">
        <v>54808900</v>
      </c>
    </row>
    <row r="191" spans="1:19" x14ac:dyDescent="0.25">
      <c r="A191" s="4" t="s">
        <v>61</v>
      </c>
      <c r="B191" s="4" t="s">
        <v>59</v>
      </c>
      <c r="C191" s="4" t="s">
        <v>62</v>
      </c>
      <c r="D191" s="4" t="s">
        <v>63</v>
      </c>
      <c r="E191" s="4" t="s">
        <v>92</v>
      </c>
      <c r="F191" s="4" t="s">
        <v>93</v>
      </c>
      <c r="G191" s="4" t="s">
        <v>94</v>
      </c>
      <c r="H191" s="4" t="s">
        <v>26</v>
      </c>
      <c r="I191" s="5">
        <v>155000000</v>
      </c>
      <c r="J191" s="5">
        <v>152100</v>
      </c>
      <c r="K191" s="5">
        <v>15210</v>
      </c>
      <c r="L191" s="4" t="s">
        <v>26</v>
      </c>
      <c r="M191" s="4" t="s">
        <v>26</v>
      </c>
      <c r="N191" s="3">
        <v>45873</v>
      </c>
      <c r="O191" s="4" t="s">
        <v>432</v>
      </c>
      <c r="P191" s="2">
        <v>1000</v>
      </c>
      <c r="Q191" s="2">
        <v>951</v>
      </c>
      <c r="R191" s="4" t="s">
        <v>755</v>
      </c>
      <c r="S191" s="5">
        <v>145558700</v>
      </c>
    </row>
    <row r="192" spans="1:19" x14ac:dyDescent="0.25">
      <c r="A192" s="4" t="s">
        <v>61</v>
      </c>
      <c r="B192" s="4" t="s">
        <v>59</v>
      </c>
      <c r="C192" s="4" t="s">
        <v>62</v>
      </c>
      <c r="D192" s="4" t="s">
        <v>63</v>
      </c>
      <c r="E192" s="4" t="s">
        <v>92</v>
      </c>
      <c r="F192" s="4" t="s">
        <v>93</v>
      </c>
      <c r="G192" s="4" t="s">
        <v>94</v>
      </c>
      <c r="H192" s="4" t="s">
        <v>26</v>
      </c>
      <c r="I192" s="5">
        <v>155000000</v>
      </c>
      <c r="J192" s="5">
        <v>125100</v>
      </c>
      <c r="K192" s="5">
        <v>12510</v>
      </c>
      <c r="L192" s="4" t="s">
        <v>26</v>
      </c>
      <c r="M192" s="4" t="s">
        <v>26</v>
      </c>
      <c r="N192" s="3">
        <v>45873</v>
      </c>
      <c r="O192" s="4" t="s">
        <v>432</v>
      </c>
      <c r="P192" s="2">
        <v>2000</v>
      </c>
      <c r="Q192" s="2">
        <v>951</v>
      </c>
      <c r="R192" s="4" t="s">
        <v>755</v>
      </c>
      <c r="S192" s="5">
        <v>145558700</v>
      </c>
    </row>
    <row r="193" spans="1:19" x14ac:dyDescent="0.25">
      <c r="A193" s="4" t="s">
        <v>61</v>
      </c>
      <c r="B193" s="4" t="s">
        <v>59</v>
      </c>
      <c r="C193" s="4" t="s">
        <v>62</v>
      </c>
      <c r="D193" s="4" t="s">
        <v>63</v>
      </c>
      <c r="E193" s="4" t="s">
        <v>92</v>
      </c>
      <c r="F193" s="4" t="s">
        <v>93</v>
      </c>
      <c r="G193" s="4" t="s">
        <v>94</v>
      </c>
      <c r="H193" s="4" t="s">
        <v>26</v>
      </c>
      <c r="I193" s="5">
        <v>155000000</v>
      </c>
      <c r="J193" s="5">
        <v>63000</v>
      </c>
      <c r="K193" s="5">
        <v>6300</v>
      </c>
      <c r="L193" s="4" t="s">
        <v>26</v>
      </c>
      <c r="M193" s="4" t="s">
        <v>26</v>
      </c>
      <c r="N193" s="3">
        <v>45873</v>
      </c>
      <c r="O193" s="4" t="s">
        <v>432</v>
      </c>
      <c r="P193" s="2">
        <v>3000</v>
      </c>
      <c r="Q193" s="2">
        <v>951</v>
      </c>
      <c r="R193" s="4" t="s">
        <v>755</v>
      </c>
      <c r="S193" s="5">
        <v>145558700</v>
      </c>
    </row>
    <row r="194" spans="1:19" x14ac:dyDescent="0.25">
      <c r="A194" s="4" t="s">
        <v>61</v>
      </c>
      <c r="B194" s="4" t="s">
        <v>59</v>
      </c>
      <c r="C194" s="4" t="s">
        <v>62</v>
      </c>
      <c r="D194" s="4" t="s">
        <v>63</v>
      </c>
      <c r="E194" s="4" t="s">
        <v>92</v>
      </c>
      <c r="F194" s="4" t="s">
        <v>93</v>
      </c>
      <c r="G194" s="4" t="s">
        <v>94</v>
      </c>
      <c r="H194" s="4" t="s">
        <v>26</v>
      </c>
      <c r="I194" s="5">
        <v>155000000</v>
      </c>
      <c r="J194" s="5">
        <v>58500</v>
      </c>
      <c r="K194" s="5">
        <v>5850</v>
      </c>
      <c r="L194" s="4" t="s">
        <v>26</v>
      </c>
      <c r="M194" s="4" t="s">
        <v>26</v>
      </c>
      <c r="N194" s="3">
        <v>45873</v>
      </c>
      <c r="O194" s="4" t="s">
        <v>432</v>
      </c>
      <c r="P194" s="2">
        <v>4000</v>
      </c>
      <c r="Q194" s="2">
        <v>951</v>
      </c>
      <c r="R194" s="4" t="s">
        <v>755</v>
      </c>
      <c r="S194" s="5">
        <v>145558700</v>
      </c>
    </row>
    <row r="195" spans="1:19" x14ac:dyDescent="0.25">
      <c r="A195" s="4" t="s">
        <v>61</v>
      </c>
      <c r="B195" s="4" t="s">
        <v>59</v>
      </c>
      <c r="C195" s="4" t="s">
        <v>62</v>
      </c>
      <c r="D195" s="4" t="s">
        <v>63</v>
      </c>
      <c r="E195" s="4" t="s">
        <v>92</v>
      </c>
      <c r="F195" s="4" t="s">
        <v>93</v>
      </c>
      <c r="G195" s="4" t="s">
        <v>94</v>
      </c>
      <c r="H195" s="4" t="s">
        <v>26</v>
      </c>
      <c r="I195" s="5">
        <v>155000000</v>
      </c>
      <c r="J195" s="5">
        <v>22500</v>
      </c>
      <c r="K195" s="5">
        <v>2250</v>
      </c>
      <c r="L195" s="4" t="s">
        <v>26</v>
      </c>
      <c r="M195" s="4" t="s">
        <v>26</v>
      </c>
      <c r="N195" s="3">
        <v>45873</v>
      </c>
      <c r="O195" s="4" t="s">
        <v>432</v>
      </c>
      <c r="P195" s="2">
        <v>5000</v>
      </c>
      <c r="Q195" s="2">
        <v>951</v>
      </c>
      <c r="R195" s="4" t="s">
        <v>755</v>
      </c>
      <c r="S195" s="5">
        <v>145558700</v>
      </c>
    </row>
    <row r="196" spans="1:19" x14ac:dyDescent="0.25">
      <c r="A196" s="4" t="s">
        <v>61</v>
      </c>
      <c r="B196" s="4" t="s">
        <v>59</v>
      </c>
      <c r="C196" s="4" t="s">
        <v>62</v>
      </c>
      <c r="D196" s="4" t="s">
        <v>63</v>
      </c>
      <c r="E196" s="4" t="s">
        <v>92</v>
      </c>
      <c r="F196" s="4" t="s">
        <v>93</v>
      </c>
      <c r="G196" s="4" t="s">
        <v>94</v>
      </c>
      <c r="H196" s="4" t="s">
        <v>26</v>
      </c>
      <c r="I196" s="5">
        <v>155000000</v>
      </c>
      <c r="J196" s="5">
        <v>5400</v>
      </c>
      <c r="K196" s="5">
        <v>540</v>
      </c>
      <c r="L196" s="4" t="s">
        <v>26</v>
      </c>
      <c r="M196" s="4" t="s">
        <v>26</v>
      </c>
      <c r="N196" s="3">
        <v>45873</v>
      </c>
      <c r="O196" s="4" t="s">
        <v>432</v>
      </c>
      <c r="P196" s="2">
        <v>6000</v>
      </c>
      <c r="Q196" s="2">
        <v>951</v>
      </c>
      <c r="R196" s="4" t="s">
        <v>755</v>
      </c>
      <c r="S196" s="5">
        <v>145558700</v>
      </c>
    </row>
    <row r="197" spans="1:19" x14ac:dyDescent="0.25">
      <c r="A197" s="4" t="s">
        <v>61</v>
      </c>
      <c r="B197" s="4" t="s">
        <v>59</v>
      </c>
      <c r="C197" s="4" t="s">
        <v>62</v>
      </c>
      <c r="D197" s="4" t="s">
        <v>63</v>
      </c>
      <c r="E197" s="4" t="s">
        <v>225</v>
      </c>
      <c r="F197" s="4" t="s">
        <v>226</v>
      </c>
      <c r="G197" s="4" t="s">
        <v>50</v>
      </c>
      <c r="H197" s="4" t="s">
        <v>26</v>
      </c>
      <c r="I197" s="5">
        <v>65000000</v>
      </c>
      <c r="J197" s="5">
        <v>79200</v>
      </c>
      <c r="K197" s="5">
        <v>7920</v>
      </c>
      <c r="L197" s="4" t="s">
        <v>133</v>
      </c>
      <c r="M197" s="4" t="s">
        <v>134</v>
      </c>
      <c r="N197" s="3">
        <v>45873</v>
      </c>
      <c r="O197" s="4" t="s">
        <v>283</v>
      </c>
      <c r="P197" s="2">
        <v>1000</v>
      </c>
      <c r="Q197" s="2">
        <v>965</v>
      </c>
      <c r="R197" s="4" t="s">
        <v>755</v>
      </c>
      <c r="S197" s="5">
        <v>63203100</v>
      </c>
    </row>
    <row r="198" spans="1:19" x14ac:dyDescent="0.25">
      <c r="A198" s="4" t="s">
        <v>61</v>
      </c>
      <c r="B198" s="4" t="s">
        <v>59</v>
      </c>
      <c r="C198" s="4" t="s">
        <v>62</v>
      </c>
      <c r="D198" s="4" t="s">
        <v>63</v>
      </c>
      <c r="E198" s="4" t="s">
        <v>225</v>
      </c>
      <c r="F198" s="4" t="s">
        <v>226</v>
      </c>
      <c r="G198" s="4" t="s">
        <v>50</v>
      </c>
      <c r="H198" s="4" t="s">
        <v>26</v>
      </c>
      <c r="I198" s="5">
        <v>65000000</v>
      </c>
      <c r="J198" s="5">
        <v>61600</v>
      </c>
      <c r="K198" s="5">
        <v>6160</v>
      </c>
      <c r="L198" s="4" t="s">
        <v>133</v>
      </c>
      <c r="M198" s="4" t="s">
        <v>134</v>
      </c>
      <c r="N198" s="3">
        <v>45873</v>
      </c>
      <c r="O198" s="4" t="s">
        <v>283</v>
      </c>
      <c r="P198" s="2">
        <v>2000</v>
      </c>
      <c r="Q198" s="2">
        <v>965</v>
      </c>
      <c r="R198" s="4" t="s">
        <v>755</v>
      </c>
      <c r="S198" s="5">
        <v>63203100</v>
      </c>
    </row>
    <row r="199" spans="1:19" x14ac:dyDescent="0.25">
      <c r="A199" s="4" t="s">
        <v>61</v>
      </c>
      <c r="B199" s="4" t="s">
        <v>59</v>
      </c>
      <c r="C199" s="4" t="s">
        <v>62</v>
      </c>
      <c r="D199" s="4" t="s">
        <v>63</v>
      </c>
      <c r="E199" s="4" t="s">
        <v>225</v>
      </c>
      <c r="F199" s="4" t="s">
        <v>226</v>
      </c>
      <c r="G199" s="4" t="s">
        <v>50</v>
      </c>
      <c r="H199" s="4" t="s">
        <v>26</v>
      </c>
      <c r="I199" s="5">
        <v>65000000</v>
      </c>
      <c r="J199" s="5">
        <v>70400</v>
      </c>
      <c r="K199" s="5">
        <v>7040</v>
      </c>
      <c r="L199" s="4" t="s">
        <v>133</v>
      </c>
      <c r="M199" s="4" t="s">
        <v>134</v>
      </c>
      <c r="N199" s="3">
        <v>45873</v>
      </c>
      <c r="O199" s="4" t="s">
        <v>283</v>
      </c>
      <c r="P199" s="2">
        <v>3000</v>
      </c>
      <c r="Q199" s="2">
        <v>965</v>
      </c>
      <c r="R199" s="4" t="s">
        <v>755</v>
      </c>
      <c r="S199" s="5">
        <v>63203100</v>
      </c>
    </row>
    <row r="200" spans="1:19" x14ac:dyDescent="0.25">
      <c r="A200" s="4" t="s">
        <v>61</v>
      </c>
      <c r="B200" s="4" t="s">
        <v>59</v>
      </c>
      <c r="C200" s="4" t="s">
        <v>62</v>
      </c>
      <c r="D200" s="4" t="s">
        <v>63</v>
      </c>
      <c r="E200" s="4" t="s">
        <v>225</v>
      </c>
      <c r="F200" s="4" t="s">
        <v>226</v>
      </c>
      <c r="G200" s="4" t="s">
        <v>50</v>
      </c>
      <c r="H200" s="4" t="s">
        <v>26</v>
      </c>
      <c r="I200" s="5">
        <v>65000000</v>
      </c>
      <c r="J200" s="5">
        <v>142800</v>
      </c>
      <c r="K200" s="5">
        <v>14280</v>
      </c>
      <c r="L200" s="4" t="s">
        <v>133</v>
      </c>
      <c r="M200" s="4" t="s">
        <v>134</v>
      </c>
      <c r="N200" s="3">
        <v>45873</v>
      </c>
      <c r="O200" s="4" t="s">
        <v>283</v>
      </c>
      <c r="P200" s="2">
        <v>4000</v>
      </c>
      <c r="Q200" s="2">
        <v>965</v>
      </c>
      <c r="R200" s="4" t="s">
        <v>26</v>
      </c>
      <c r="S200" s="5">
        <v>63203100</v>
      </c>
    </row>
    <row r="201" spans="1:19" x14ac:dyDescent="0.25">
      <c r="A201" s="4" t="s">
        <v>61</v>
      </c>
      <c r="B201" s="4" t="s">
        <v>59</v>
      </c>
      <c r="C201" s="4" t="s">
        <v>62</v>
      </c>
      <c r="D201" s="4" t="s">
        <v>63</v>
      </c>
      <c r="E201" s="4" t="s">
        <v>225</v>
      </c>
      <c r="F201" s="4" t="s">
        <v>226</v>
      </c>
      <c r="G201" s="4" t="s">
        <v>50</v>
      </c>
      <c r="H201" s="4" t="s">
        <v>26</v>
      </c>
      <c r="I201" s="5">
        <v>65000000</v>
      </c>
      <c r="J201" s="5">
        <v>46200</v>
      </c>
      <c r="K201" s="5">
        <v>4620</v>
      </c>
      <c r="L201" s="4" t="s">
        <v>133</v>
      </c>
      <c r="M201" s="4" t="s">
        <v>134</v>
      </c>
      <c r="N201" s="3">
        <v>45873</v>
      </c>
      <c r="O201" s="4" t="s">
        <v>283</v>
      </c>
      <c r="P201" s="2">
        <v>5000</v>
      </c>
      <c r="Q201" s="2">
        <v>965</v>
      </c>
      <c r="R201" s="4" t="s">
        <v>84</v>
      </c>
      <c r="S201" s="5">
        <v>63203100</v>
      </c>
    </row>
    <row r="202" spans="1:19" x14ac:dyDescent="0.25">
      <c r="A202" s="4" t="s">
        <v>61</v>
      </c>
      <c r="B202" s="4" t="s">
        <v>59</v>
      </c>
      <c r="C202" s="4" t="s">
        <v>62</v>
      </c>
      <c r="D202" s="4" t="s">
        <v>63</v>
      </c>
      <c r="E202" s="4" t="s">
        <v>127</v>
      </c>
      <c r="F202" s="4" t="s">
        <v>128</v>
      </c>
      <c r="G202" s="4" t="s">
        <v>50</v>
      </c>
      <c r="H202" s="4" t="s">
        <v>26</v>
      </c>
      <c r="I202" s="5">
        <v>65000000</v>
      </c>
      <c r="J202" s="5">
        <v>83300</v>
      </c>
      <c r="K202" s="5">
        <v>8330</v>
      </c>
      <c r="L202" s="4" t="s">
        <v>129</v>
      </c>
      <c r="M202" s="4" t="s">
        <v>130</v>
      </c>
      <c r="N202" s="3">
        <v>45873</v>
      </c>
      <c r="O202" s="4" t="s">
        <v>283</v>
      </c>
      <c r="P202" s="2">
        <v>1000</v>
      </c>
      <c r="Q202" s="2">
        <v>967</v>
      </c>
      <c r="R202" s="4" t="s">
        <v>755</v>
      </c>
      <c r="S202" s="5">
        <v>60417600</v>
      </c>
    </row>
    <row r="203" spans="1:19" x14ac:dyDescent="0.25">
      <c r="A203" s="4" t="s">
        <v>61</v>
      </c>
      <c r="B203" s="4" t="s">
        <v>59</v>
      </c>
      <c r="C203" s="4" t="s">
        <v>62</v>
      </c>
      <c r="D203" s="4" t="s">
        <v>63</v>
      </c>
      <c r="E203" s="4" t="s">
        <v>127</v>
      </c>
      <c r="F203" s="4" t="s">
        <v>128</v>
      </c>
      <c r="G203" s="4" t="s">
        <v>50</v>
      </c>
      <c r="H203" s="4" t="s">
        <v>26</v>
      </c>
      <c r="I203" s="5">
        <v>65000000</v>
      </c>
      <c r="J203" s="5">
        <v>70550</v>
      </c>
      <c r="K203" s="5">
        <v>7055</v>
      </c>
      <c r="L203" s="4" t="s">
        <v>129</v>
      </c>
      <c r="M203" s="4" t="s">
        <v>130</v>
      </c>
      <c r="N203" s="3">
        <v>45873</v>
      </c>
      <c r="O203" s="4" t="s">
        <v>283</v>
      </c>
      <c r="P203" s="2">
        <v>2000</v>
      </c>
      <c r="Q203" s="2">
        <v>967</v>
      </c>
      <c r="R203" s="4" t="s">
        <v>755</v>
      </c>
      <c r="S203" s="5">
        <v>60417600</v>
      </c>
    </row>
    <row r="204" spans="1:19" x14ac:dyDescent="0.25">
      <c r="A204" s="4" t="s">
        <v>61</v>
      </c>
      <c r="B204" s="4" t="s">
        <v>59</v>
      </c>
      <c r="C204" s="4" t="s">
        <v>62</v>
      </c>
      <c r="D204" s="4" t="s">
        <v>63</v>
      </c>
      <c r="E204" s="4" t="s">
        <v>127</v>
      </c>
      <c r="F204" s="4" t="s">
        <v>128</v>
      </c>
      <c r="G204" s="4" t="s">
        <v>50</v>
      </c>
      <c r="H204" s="4" t="s">
        <v>26</v>
      </c>
      <c r="I204" s="5">
        <v>65000000</v>
      </c>
      <c r="J204" s="5">
        <v>28900</v>
      </c>
      <c r="K204" s="5">
        <v>2890</v>
      </c>
      <c r="L204" s="4" t="s">
        <v>129</v>
      </c>
      <c r="M204" s="4" t="s">
        <v>130</v>
      </c>
      <c r="N204" s="3">
        <v>45873</v>
      </c>
      <c r="O204" s="4" t="s">
        <v>283</v>
      </c>
      <c r="P204" s="2">
        <v>3000</v>
      </c>
      <c r="Q204" s="2">
        <v>967</v>
      </c>
      <c r="R204" s="4" t="s">
        <v>755</v>
      </c>
      <c r="S204" s="5">
        <v>60417600</v>
      </c>
    </row>
    <row r="205" spans="1:19" x14ac:dyDescent="0.25">
      <c r="A205" s="4" t="s">
        <v>61</v>
      </c>
      <c r="B205" s="4" t="s">
        <v>59</v>
      </c>
      <c r="C205" s="4" t="s">
        <v>62</v>
      </c>
      <c r="D205" s="4" t="s">
        <v>63</v>
      </c>
      <c r="E205" s="4" t="s">
        <v>720</v>
      </c>
      <c r="F205" s="4" t="s">
        <v>721</v>
      </c>
      <c r="G205" s="4" t="s">
        <v>124</v>
      </c>
      <c r="H205" s="4" t="s">
        <v>26</v>
      </c>
      <c r="I205" s="5">
        <v>65000000</v>
      </c>
      <c r="J205" s="5">
        <v>215000</v>
      </c>
      <c r="K205" s="5">
        <v>21500</v>
      </c>
      <c r="L205" s="4" t="s">
        <v>722</v>
      </c>
      <c r="M205" s="4" t="s">
        <v>723</v>
      </c>
      <c r="N205" s="3">
        <v>45872</v>
      </c>
      <c r="O205" s="4" t="s">
        <v>719</v>
      </c>
      <c r="P205" s="2">
        <v>1000</v>
      </c>
      <c r="Q205" s="2">
        <v>972</v>
      </c>
      <c r="R205" s="4" t="s">
        <v>766</v>
      </c>
      <c r="S205" s="5">
        <v>64066000</v>
      </c>
    </row>
    <row r="206" spans="1:19" x14ac:dyDescent="0.25">
      <c r="A206" s="4" t="s">
        <v>61</v>
      </c>
      <c r="B206" s="4" t="s">
        <v>59</v>
      </c>
      <c r="C206" s="4" t="s">
        <v>62</v>
      </c>
      <c r="D206" s="4" t="s">
        <v>63</v>
      </c>
      <c r="E206" s="4" t="s">
        <v>720</v>
      </c>
      <c r="F206" s="4" t="s">
        <v>721</v>
      </c>
      <c r="G206" s="4" t="s">
        <v>124</v>
      </c>
      <c r="H206" s="4" t="s">
        <v>26</v>
      </c>
      <c r="I206" s="5">
        <v>65000000</v>
      </c>
      <c r="J206" s="5">
        <v>719000</v>
      </c>
      <c r="K206" s="5">
        <v>71900</v>
      </c>
      <c r="L206" s="4" t="s">
        <v>722</v>
      </c>
      <c r="M206" s="4" t="s">
        <v>723</v>
      </c>
      <c r="N206" s="3">
        <v>45872</v>
      </c>
      <c r="O206" s="4" t="s">
        <v>719</v>
      </c>
      <c r="P206" s="2">
        <v>2000</v>
      </c>
      <c r="Q206" s="2">
        <v>972</v>
      </c>
      <c r="R206" s="4" t="s">
        <v>766</v>
      </c>
      <c r="S206" s="5">
        <v>64066000</v>
      </c>
    </row>
    <row r="207" spans="1:19" x14ac:dyDescent="0.25">
      <c r="A207" s="4" t="s">
        <v>61</v>
      </c>
      <c r="B207" s="4" t="s">
        <v>59</v>
      </c>
      <c r="C207" s="4" t="s">
        <v>62</v>
      </c>
      <c r="D207" s="4" t="s">
        <v>63</v>
      </c>
      <c r="E207" s="4" t="s">
        <v>69</v>
      </c>
      <c r="F207" s="4" t="s">
        <v>70</v>
      </c>
      <c r="G207" s="4" t="s">
        <v>71</v>
      </c>
      <c r="H207" s="4" t="s">
        <v>26</v>
      </c>
      <c r="I207" s="5">
        <v>155000000</v>
      </c>
      <c r="J207" s="5">
        <v>3610000</v>
      </c>
      <c r="K207" s="5">
        <v>361000</v>
      </c>
      <c r="L207" s="4" t="s">
        <v>72</v>
      </c>
      <c r="M207" s="4" t="s">
        <v>73</v>
      </c>
      <c r="N207" s="3">
        <v>45875</v>
      </c>
      <c r="O207" s="4" t="s">
        <v>663</v>
      </c>
      <c r="P207" s="2">
        <v>1000</v>
      </c>
      <c r="Q207" s="2">
        <v>976</v>
      </c>
      <c r="R207" s="4" t="s">
        <v>760</v>
      </c>
      <c r="S207" s="5">
        <v>143018000</v>
      </c>
    </row>
    <row r="208" spans="1:19" x14ac:dyDescent="0.25">
      <c r="A208" s="4" t="s">
        <v>61</v>
      </c>
      <c r="B208" s="4" t="s">
        <v>59</v>
      </c>
      <c r="C208" s="4" t="s">
        <v>62</v>
      </c>
      <c r="D208" s="4" t="s">
        <v>63</v>
      </c>
      <c r="E208" s="4" t="s">
        <v>422</v>
      </c>
      <c r="F208" s="4" t="s">
        <v>423</v>
      </c>
      <c r="G208" s="4" t="s">
        <v>124</v>
      </c>
      <c r="H208" s="4" t="s">
        <v>26</v>
      </c>
      <c r="I208" s="5">
        <v>65000000</v>
      </c>
      <c r="J208" s="5">
        <v>55000</v>
      </c>
      <c r="K208" s="5">
        <v>5500</v>
      </c>
      <c r="L208" s="4" t="s">
        <v>26</v>
      </c>
      <c r="M208" s="4" t="s">
        <v>26</v>
      </c>
      <c r="N208" s="3">
        <v>45879</v>
      </c>
      <c r="O208" s="4" t="s">
        <v>698</v>
      </c>
      <c r="P208" s="2">
        <v>1000</v>
      </c>
      <c r="Q208" s="2">
        <v>984</v>
      </c>
      <c r="R208" s="4" t="s">
        <v>758</v>
      </c>
      <c r="S208" s="5">
        <v>63183000</v>
      </c>
    </row>
    <row r="209" spans="1:19" x14ac:dyDescent="0.25">
      <c r="A209" s="4" t="s">
        <v>61</v>
      </c>
      <c r="B209" s="4" t="s">
        <v>59</v>
      </c>
      <c r="C209" s="4" t="s">
        <v>62</v>
      </c>
      <c r="D209" s="4" t="s">
        <v>63</v>
      </c>
      <c r="E209" s="4" t="s">
        <v>301</v>
      </c>
      <c r="F209" s="4" t="s">
        <v>302</v>
      </c>
      <c r="G209" s="4" t="s">
        <v>157</v>
      </c>
      <c r="H209" s="4" t="s">
        <v>26</v>
      </c>
      <c r="I209" s="5">
        <v>90000000</v>
      </c>
      <c r="J209" s="5">
        <v>88000</v>
      </c>
      <c r="K209" s="5">
        <v>8800</v>
      </c>
      <c r="L209" s="4" t="s">
        <v>303</v>
      </c>
      <c r="M209" s="4" t="s">
        <v>304</v>
      </c>
      <c r="N209" s="3">
        <v>45873</v>
      </c>
      <c r="O209" s="4" t="s">
        <v>283</v>
      </c>
      <c r="P209" s="2">
        <v>1000</v>
      </c>
      <c r="Q209" s="2">
        <v>993</v>
      </c>
      <c r="R209" s="4" t="s">
        <v>755</v>
      </c>
      <c r="S209" s="5">
        <v>86019450</v>
      </c>
    </row>
    <row r="210" spans="1:19" x14ac:dyDescent="0.25">
      <c r="A210" s="4" t="s">
        <v>61</v>
      </c>
      <c r="B210" s="4" t="s">
        <v>59</v>
      </c>
      <c r="C210" s="4" t="s">
        <v>62</v>
      </c>
      <c r="D210" s="4" t="s">
        <v>63</v>
      </c>
      <c r="E210" s="4" t="s">
        <v>386</v>
      </c>
      <c r="F210" s="4" t="s">
        <v>387</v>
      </c>
      <c r="G210" s="4" t="s">
        <v>50</v>
      </c>
      <c r="H210" s="4" t="s">
        <v>26</v>
      </c>
      <c r="I210" s="5">
        <v>65000000</v>
      </c>
      <c r="J210" s="5">
        <v>275000</v>
      </c>
      <c r="K210" s="5">
        <v>27500</v>
      </c>
      <c r="L210" s="4" t="s">
        <v>186</v>
      </c>
      <c r="M210" s="4" t="s">
        <v>187</v>
      </c>
      <c r="N210" s="3">
        <v>45875</v>
      </c>
      <c r="O210" s="4" t="s">
        <v>587</v>
      </c>
      <c r="P210" s="2">
        <v>1000</v>
      </c>
      <c r="Q210" s="2">
        <v>1008</v>
      </c>
      <c r="R210" s="4" t="s">
        <v>756</v>
      </c>
      <c r="S210" s="5">
        <v>63916900</v>
      </c>
    </row>
    <row r="211" spans="1:19" x14ac:dyDescent="0.25">
      <c r="A211" s="4" t="s">
        <v>61</v>
      </c>
      <c r="B211" s="4" t="s">
        <v>59</v>
      </c>
      <c r="C211" s="4" t="s">
        <v>62</v>
      </c>
      <c r="D211" s="4" t="s">
        <v>63</v>
      </c>
      <c r="E211" s="4" t="s">
        <v>514</v>
      </c>
      <c r="F211" s="4" t="s">
        <v>515</v>
      </c>
      <c r="G211" s="4" t="s">
        <v>190</v>
      </c>
      <c r="H211" s="4" t="s">
        <v>26</v>
      </c>
      <c r="I211" s="5">
        <v>90000000</v>
      </c>
      <c r="J211" s="5">
        <v>149000</v>
      </c>
      <c r="K211" s="5">
        <v>14900</v>
      </c>
      <c r="L211" s="4" t="s">
        <v>516</v>
      </c>
      <c r="M211" s="4" t="s">
        <v>517</v>
      </c>
      <c r="N211" s="3">
        <v>45882</v>
      </c>
      <c r="O211" s="4" t="s">
        <v>673</v>
      </c>
      <c r="P211" s="2">
        <v>1000</v>
      </c>
      <c r="Q211" s="2">
        <v>1008</v>
      </c>
      <c r="R211" s="4" t="s">
        <v>767</v>
      </c>
      <c r="S211" s="5">
        <v>88751000</v>
      </c>
    </row>
    <row r="212" spans="1:19" x14ac:dyDescent="0.25">
      <c r="A212" s="4" t="s">
        <v>61</v>
      </c>
      <c r="B212" s="4" t="s">
        <v>59</v>
      </c>
      <c r="C212" s="4" t="s">
        <v>62</v>
      </c>
      <c r="D212" s="4" t="s">
        <v>63</v>
      </c>
      <c r="E212" s="4" t="s">
        <v>386</v>
      </c>
      <c r="F212" s="4" t="s">
        <v>387</v>
      </c>
      <c r="G212" s="4" t="s">
        <v>50</v>
      </c>
      <c r="H212" s="4" t="s">
        <v>26</v>
      </c>
      <c r="I212" s="5">
        <v>65000000</v>
      </c>
      <c r="J212" s="5">
        <v>99000</v>
      </c>
      <c r="K212" s="5">
        <v>9900</v>
      </c>
      <c r="L212" s="4" t="s">
        <v>186</v>
      </c>
      <c r="M212" s="4" t="s">
        <v>187</v>
      </c>
      <c r="N212" s="3">
        <v>45875</v>
      </c>
      <c r="O212" s="4" t="s">
        <v>587</v>
      </c>
      <c r="P212" s="2">
        <v>2000</v>
      </c>
      <c r="Q212" s="2">
        <v>1008</v>
      </c>
      <c r="R212" s="4" t="s">
        <v>756</v>
      </c>
      <c r="S212" s="5">
        <v>63916900</v>
      </c>
    </row>
    <row r="213" spans="1:19" x14ac:dyDescent="0.25">
      <c r="A213" s="4" t="s">
        <v>61</v>
      </c>
      <c r="B213" s="4" t="s">
        <v>59</v>
      </c>
      <c r="C213" s="4" t="s">
        <v>62</v>
      </c>
      <c r="D213" s="4" t="s">
        <v>63</v>
      </c>
      <c r="E213" s="4" t="s">
        <v>514</v>
      </c>
      <c r="F213" s="4" t="s">
        <v>515</v>
      </c>
      <c r="G213" s="4" t="s">
        <v>190</v>
      </c>
      <c r="H213" s="4" t="s">
        <v>26</v>
      </c>
      <c r="I213" s="5">
        <v>90000000</v>
      </c>
      <c r="J213" s="5">
        <v>149000</v>
      </c>
      <c r="K213" s="5">
        <v>14900</v>
      </c>
      <c r="L213" s="4" t="s">
        <v>516</v>
      </c>
      <c r="M213" s="4" t="s">
        <v>517</v>
      </c>
      <c r="N213" s="3">
        <v>45882</v>
      </c>
      <c r="O213" s="4" t="s">
        <v>673</v>
      </c>
      <c r="P213" s="2">
        <v>2000</v>
      </c>
      <c r="Q213" s="2">
        <v>1008</v>
      </c>
      <c r="R213" s="4" t="s">
        <v>767</v>
      </c>
      <c r="S213" s="5">
        <v>88751000</v>
      </c>
    </row>
    <row r="214" spans="1:19" x14ac:dyDescent="0.25">
      <c r="A214" s="4" t="s">
        <v>61</v>
      </c>
      <c r="B214" s="4" t="s">
        <v>59</v>
      </c>
      <c r="C214" s="4" t="s">
        <v>62</v>
      </c>
      <c r="D214" s="4" t="s">
        <v>63</v>
      </c>
      <c r="E214" s="4" t="s">
        <v>386</v>
      </c>
      <c r="F214" s="4" t="s">
        <v>387</v>
      </c>
      <c r="G214" s="4" t="s">
        <v>50</v>
      </c>
      <c r="H214" s="4" t="s">
        <v>26</v>
      </c>
      <c r="I214" s="5">
        <v>65000000</v>
      </c>
      <c r="J214" s="5">
        <v>117000</v>
      </c>
      <c r="K214" s="5">
        <v>11700</v>
      </c>
      <c r="L214" s="4" t="s">
        <v>186</v>
      </c>
      <c r="M214" s="4" t="s">
        <v>187</v>
      </c>
      <c r="N214" s="3">
        <v>45875</v>
      </c>
      <c r="O214" s="4" t="s">
        <v>587</v>
      </c>
      <c r="P214" s="2">
        <v>3000</v>
      </c>
      <c r="Q214" s="2">
        <v>1008</v>
      </c>
      <c r="R214" s="4" t="s">
        <v>756</v>
      </c>
      <c r="S214" s="5">
        <v>63916900</v>
      </c>
    </row>
    <row r="215" spans="1:19" x14ac:dyDescent="0.25">
      <c r="A215" s="4" t="s">
        <v>61</v>
      </c>
      <c r="B215" s="4" t="s">
        <v>59</v>
      </c>
      <c r="C215" s="4" t="s">
        <v>62</v>
      </c>
      <c r="D215" s="4" t="s">
        <v>63</v>
      </c>
      <c r="E215" s="4" t="s">
        <v>386</v>
      </c>
      <c r="F215" s="4" t="s">
        <v>387</v>
      </c>
      <c r="G215" s="4" t="s">
        <v>50</v>
      </c>
      <c r="H215" s="4" t="s">
        <v>26</v>
      </c>
      <c r="I215" s="5">
        <v>65000000</v>
      </c>
      <c r="J215" s="5">
        <v>84000</v>
      </c>
      <c r="K215" s="5">
        <v>8400</v>
      </c>
      <c r="L215" s="4" t="s">
        <v>186</v>
      </c>
      <c r="M215" s="4" t="s">
        <v>187</v>
      </c>
      <c r="N215" s="3">
        <v>45875</v>
      </c>
      <c r="O215" s="4" t="s">
        <v>587</v>
      </c>
      <c r="P215" s="2">
        <v>4000</v>
      </c>
      <c r="Q215" s="2">
        <v>1008</v>
      </c>
      <c r="R215" s="4" t="s">
        <v>26</v>
      </c>
      <c r="S215" s="5">
        <v>63916900</v>
      </c>
    </row>
    <row r="216" spans="1:19" x14ac:dyDescent="0.25">
      <c r="A216" s="4" t="s">
        <v>61</v>
      </c>
      <c r="B216" s="4" t="s">
        <v>59</v>
      </c>
      <c r="C216" s="4" t="s">
        <v>62</v>
      </c>
      <c r="D216" s="4" t="s">
        <v>63</v>
      </c>
      <c r="E216" s="4" t="s">
        <v>386</v>
      </c>
      <c r="F216" s="4" t="s">
        <v>387</v>
      </c>
      <c r="G216" s="4" t="s">
        <v>50</v>
      </c>
      <c r="H216" s="4" t="s">
        <v>26</v>
      </c>
      <c r="I216" s="5">
        <v>65000000</v>
      </c>
      <c r="J216" s="5">
        <v>42000</v>
      </c>
      <c r="K216" s="5">
        <v>4200</v>
      </c>
      <c r="L216" s="4" t="s">
        <v>186</v>
      </c>
      <c r="M216" s="4" t="s">
        <v>187</v>
      </c>
      <c r="N216" s="3">
        <v>45875</v>
      </c>
      <c r="O216" s="4" t="s">
        <v>587</v>
      </c>
      <c r="P216" s="2">
        <v>5000</v>
      </c>
      <c r="Q216" s="2">
        <v>1008</v>
      </c>
      <c r="R216" s="4" t="s">
        <v>756</v>
      </c>
      <c r="S216" s="5">
        <v>63916900</v>
      </c>
    </row>
    <row r="217" spans="1:19" x14ac:dyDescent="0.25">
      <c r="A217" s="4" t="s">
        <v>61</v>
      </c>
      <c r="B217" s="4" t="s">
        <v>59</v>
      </c>
      <c r="C217" s="4" t="s">
        <v>62</v>
      </c>
      <c r="D217" s="4" t="s">
        <v>63</v>
      </c>
      <c r="E217" s="4" t="s">
        <v>608</v>
      </c>
      <c r="F217" s="4" t="s">
        <v>609</v>
      </c>
      <c r="G217" s="4" t="s">
        <v>419</v>
      </c>
      <c r="H217" s="4" t="s">
        <v>26</v>
      </c>
      <c r="I217" s="5">
        <v>155000000</v>
      </c>
      <c r="J217" s="5">
        <v>491470</v>
      </c>
      <c r="K217" s="5">
        <v>49147</v>
      </c>
      <c r="L217" s="4" t="s">
        <v>610</v>
      </c>
      <c r="M217" s="4" t="s">
        <v>611</v>
      </c>
      <c r="N217" s="3">
        <v>45877</v>
      </c>
      <c r="O217" s="4" t="s">
        <v>605</v>
      </c>
      <c r="P217" s="2">
        <v>1000</v>
      </c>
      <c r="Q217" s="2">
        <v>1015</v>
      </c>
      <c r="R217" s="4" t="s">
        <v>753</v>
      </c>
      <c r="S217" s="5">
        <v>148509830</v>
      </c>
    </row>
    <row r="218" spans="1:19" x14ac:dyDescent="0.25">
      <c r="A218" s="4" t="s">
        <v>61</v>
      </c>
      <c r="B218" s="4" t="s">
        <v>59</v>
      </c>
      <c r="C218" s="4" t="s">
        <v>62</v>
      </c>
      <c r="D218" s="4" t="s">
        <v>63</v>
      </c>
      <c r="E218" s="4" t="s">
        <v>334</v>
      </c>
      <c r="F218" s="4" t="s">
        <v>335</v>
      </c>
      <c r="G218" s="4" t="s">
        <v>222</v>
      </c>
      <c r="H218" s="4" t="s">
        <v>26</v>
      </c>
      <c r="I218" s="5">
        <v>110000000</v>
      </c>
      <c r="J218" s="5">
        <v>152180</v>
      </c>
      <c r="K218" s="5">
        <v>15218</v>
      </c>
      <c r="L218" s="4" t="s">
        <v>336</v>
      </c>
      <c r="M218" s="4" t="s">
        <v>337</v>
      </c>
      <c r="N218" s="3">
        <v>45879</v>
      </c>
      <c r="O218" s="4" t="s">
        <v>698</v>
      </c>
      <c r="P218" s="2">
        <v>1000</v>
      </c>
      <c r="Q218" s="2">
        <v>1042</v>
      </c>
      <c r="R218" s="4" t="s">
        <v>758</v>
      </c>
      <c r="S218" s="5">
        <v>101184670</v>
      </c>
    </row>
    <row r="219" spans="1:19" x14ac:dyDescent="0.25">
      <c r="A219" s="4" t="s">
        <v>61</v>
      </c>
      <c r="B219" s="4" t="s">
        <v>59</v>
      </c>
      <c r="C219" s="4" t="s">
        <v>62</v>
      </c>
      <c r="D219" s="4" t="s">
        <v>63</v>
      </c>
      <c r="E219" s="4" t="s">
        <v>537</v>
      </c>
      <c r="F219" s="4" t="s">
        <v>538</v>
      </c>
      <c r="G219" s="4" t="s">
        <v>100</v>
      </c>
      <c r="H219" s="4" t="s">
        <v>26</v>
      </c>
      <c r="I219" s="5">
        <v>65000000</v>
      </c>
      <c r="J219" s="5">
        <v>279000</v>
      </c>
      <c r="K219" s="5">
        <v>27900</v>
      </c>
      <c r="L219" s="4" t="s">
        <v>539</v>
      </c>
      <c r="M219" s="4" t="s">
        <v>540</v>
      </c>
      <c r="N219" s="3">
        <v>45878</v>
      </c>
      <c r="O219" s="4" t="s">
        <v>732</v>
      </c>
      <c r="P219" s="2">
        <v>1000</v>
      </c>
      <c r="Q219" s="2">
        <v>1043</v>
      </c>
      <c r="R219" s="4" t="s">
        <v>751</v>
      </c>
      <c r="S219" s="5">
        <v>64183000</v>
      </c>
    </row>
    <row r="220" spans="1:19" x14ac:dyDescent="0.25">
      <c r="A220" s="4" t="s">
        <v>61</v>
      </c>
      <c r="B220" s="4" t="s">
        <v>59</v>
      </c>
      <c r="C220" s="4" t="s">
        <v>62</v>
      </c>
      <c r="D220" s="4" t="s">
        <v>63</v>
      </c>
      <c r="E220" s="4" t="s">
        <v>310</v>
      </c>
      <c r="F220" s="4" t="s">
        <v>311</v>
      </c>
      <c r="G220" s="4" t="s">
        <v>190</v>
      </c>
      <c r="H220" s="4" t="s">
        <v>26</v>
      </c>
      <c r="I220" s="5">
        <v>90000000</v>
      </c>
      <c r="J220" s="5">
        <v>574770</v>
      </c>
      <c r="K220" s="5">
        <v>57477</v>
      </c>
      <c r="L220" s="4" t="s">
        <v>590</v>
      </c>
      <c r="M220" s="4" t="s">
        <v>591</v>
      </c>
      <c r="N220" s="3">
        <v>45875</v>
      </c>
      <c r="O220" s="4" t="s">
        <v>587</v>
      </c>
      <c r="P220" s="2">
        <v>1000</v>
      </c>
      <c r="Q220" s="2">
        <v>1048</v>
      </c>
      <c r="R220" s="4" t="s">
        <v>26</v>
      </c>
      <c r="S220" s="5">
        <v>86184030</v>
      </c>
    </row>
    <row r="221" spans="1:19" x14ac:dyDescent="0.25">
      <c r="A221" s="4" t="s">
        <v>61</v>
      </c>
      <c r="B221" s="4" t="s">
        <v>59</v>
      </c>
      <c r="C221" s="4" t="s">
        <v>62</v>
      </c>
      <c r="D221" s="4" t="s">
        <v>63</v>
      </c>
      <c r="E221" s="4" t="s">
        <v>92</v>
      </c>
      <c r="F221" s="4" t="s">
        <v>93</v>
      </c>
      <c r="G221" s="4" t="s">
        <v>94</v>
      </c>
      <c r="H221" s="4" t="s">
        <v>26</v>
      </c>
      <c r="I221" s="5">
        <v>155000000</v>
      </c>
      <c r="J221" s="5">
        <v>395000</v>
      </c>
      <c r="K221" s="5">
        <v>39500</v>
      </c>
      <c r="L221" s="4" t="s">
        <v>26</v>
      </c>
      <c r="M221" s="4" t="s">
        <v>26</v>
      </c>
      <c r="N221" s="3">
        <v>45877</v>
      </c>
      <c r="O221" s="4" t="s">
        <v>605</v>
      </c>
      <c r="P221" s="2">
        <v>1000</v>
      </c>
      <c r="Q221" s="2">
        <v>1048</v>
      </c>
      <c r="R221" s="4" t="s">
        <v>756</v>
      </c>
      <c r="S221" s="5">
        <v>145558700</v>
      </c>
    </row>
    <row r="222" spans="1:19" x14ac:dyDescent="0.25">
      <c r="A222" s="4" t="s">
        <v>61</v>
      </c>
      <c r="B222" s="4" t="s">
        <v>59</v>
      </c>
      <c r="C222" s="4" t="s">
        <v>62</v>
      </c>
      <c r="D222" s="4" t="s">
        <v>63</v>
      </c>
      <c r="E222" s="4" t="s">
        <v>734</v>
      </c>
      <c r="F222" s="4" t="s">
        <v>735</v>
      </c>
      <c r="G222" s="4" t="s">
        <v>199</v>
      </c>
      <c r="H222" s="4" t="s">
        <v>26</v>
      </c>
      <c r="I222" s="5">
        <v>65000000</v>
      </c>
      <c r="J222" s="5">
        <v>99000</v>
      </c>
      <c r="K222" s="5">
        <v>9900</v>
      </c>
      <c r="L222" s="4" t="s">
        <v>736</v>
      </c>
      <c r="M222" s="4" t="s">
        <v>737</v>
      </c>
      <c r="N222" s="3">
        <v>45874</v>
      </c>
      <c r="O222" s="4" t="s">
        <v>733</v>
      </c>
      <c r="P222" s="2">
        <v>1000</v>
      </c>
      <c r="Q222" s="2">
        <v>1059</v>
      </c>
      <c r="R222" s="4" t="s">
        <v>754</v>
      </c>
      <c r="S222" s="5">
        <v>64901000</v>
      </c>
    </row>
    <row r="223" spans="1:19" x14ac:dyDescent="0.25">
      <c r="A223" s="4" t="s">
        <v>61</v>
      </c>
      <c r="B223" s="4" t="s">
        <v>59</v>
      </c>
      <c r="C223" s="4" t="s">
        <v>62</v>
      </c>
      <c r="D223" s="4" t="s">
        <v>63</v>
      </c>
      <c r="E223" s="4" t="s">
        <v>359</v>
      </c>
      <c r="F223" s="4" t="s">
        <v>360</v>
      </c>
      <c r="G223" s="4" t="s">
        <v>50</v>
      </c>
      <c r="H223" s="4" t="s">
        <v>26</v>
      </c>
      <c r="I223" s="5">
        <v>65000000</v>
      </c>
      <c r="J223" s="5">
        <v>608580</v>
      </c>
      <c r="K223" s="5">
        <v>60858</v>
      </c>
      <c r="L223" s="4" t="s">
        <v>640</v>
      </c>
      <c r="M223" s="4" t="s">
        <v>641</v>
      </c>
      <c r="N223" s="3">
        <v>45886</v>
      </c>
      <c r="O223" s="4" t="s">
        <v>639</v>
      </c>
      <c r="P223" s="2">
        <v>1000</v>
      </c>
      <c r="Q223" s="2">
        <v>1060</v>
      </c>
      <c r="R223" s="4" t="s">
        <v>753</v>
      </c>
      <c r="S223" s="5">
        <v>60590420</v>
      </c>
    </row>
    <row r="224" spans="1:19" x14ac:dyDescent="0.25">
      <c r="A224" s="4" t="s">
        <v>61</v>
      </c>
      <c r="B224" s="4" t="s">
        <v>59</v>
      </c>
      <c r="C224" s="4" t="s">
        <v>62</v>
      </c>
      <c r="D224" s="4" t="s">
        <v>63</v>
      </c>
      <c r="E224" s="4" t="s">
        <v>180</v>
      </c>
      <c r="F224" s="4" t="s">
        <v>181</v>
      </c>
      <c r="G224" s="4" t="s">
        <v>91</v>
      </c>
      <c r="H224" s="4" t="s">
        <v>26</v>
      </c>
      <c r="I224" s="5">
        <v>65000000</v>
      </c>
      <c r="J224" s="5">
        <v>1390000</v>
      </c>
      <c r="K224" s="5">
        <v>139000</v>
      </c>
      <c r="L224" s="4" t="s">
        <v>660</v>
      </c>
      <c r="M224" s="4" t="s">
        <v>661</v>
      </c>
      <c r="N224" s="3">
        <v>45874</v>
      </c>
      <c r="O224" s="4" t="s">
        <v>662</v>
      </c>
      <c r="P224" s="2">
        <v>1000</v>
      </c>
      <c r="Q224" s="2">
        <v>1086</v>
      </c>
      <c r="R224" s="4" t="s">
        <v>746</v>
      </c>
      <c r="S224" s="5">
        <v>60970400</v>
      </c>
    </row>
    <row r="225" spans="1:19" x14ac:dyDescent="0.25">
      <c r="A225" s="4" t="s">
        <v>61</v>
      </c>
      <c r="B225" s="4" t="s">
        <v>59</v>
      </c>
      <c r="C225" s="4" t="s">
        <v>62</v>
      </c>
      <c r="D225" s="4" t="s">
        <v>63</v>
      </c>
      <c r="E225" s="4" t="s">
        <v>180</v>
      </c>
      <c r="F225" s="4" t="s">
        <v>181</v>
      </c>
      <c r="G225" s="4" t="s">
        <v>91</v>
      </c>
      <c r="H225" s="4" t="s">
        <v>26</v>
      </c>
      <c r="I225" s="5">
        <v>65000000</v>
      </c>
      <c r="J225" s="5">
        <v>1890000</v>
      </c>
      <c r="K225" s="5">
        <v>189000</v>
      </c>
      <c r="L225" s="4" t="s">
        <v>660</v>
      </c>
      <c r="M225" s="4" t="s">
        <v>661</v>
      </c>
      <c r="N225" s="3">
        <v>45874</v>
      </c>
      <c r="O225" s="4" t="s">
        <v>662</v>
      </c>
      <c r="P225" s="2">
        <v>2000</v>
      </c>
      <c r="Q225" s="2">
        <v>1086</v>
      </c>
      <c r="R225" s="4" t="s">
        <v>746</v>
      </c>
      <c r="S225" s="5">
        <v>60970400</v>
      </c>
    </row>
    <row r="226" spans="1:19" x14ac:dyDescent="0.25">
      <c r="A226" s="4" t="s">
        <v>61</v>
      </c>
      <c r="B226" s="4" t="s">
        <v>59</v>
      </c>
      <c r="C226" s="4" t="s">
        <v>62</v>
      </c>
      <c r="D226" s="4" t="s">
        <v>63</v>
      </c>
      <c r="E226" s="4" t="s">
        <v>338</v>
      </c>
      <c r="F226" s="4" t="s">
        <v>339</v>
      </c>
      <c r="G226" s="4" t="s">
        <v>100</v>
      </c>
      <c r="H226" s="4" t="s">
        <v>26</v>
      </c>
      <c r="I226" s="5">
        <v>65000000</v>
      </c>
      <c r="J226" s="5">
        <v>2195000</v>
      </c>
      <c r="K226" s="5">
        <v>219500</v>
      </c>
      <c r="L226" s="4" t="s">
        <v>340</v>
      </c>
      <c r="M226" s="4" t="s">
        <v>341</v>
      </c>
      <c r="N226" s="3">
        <v>45872</v>
      </c>
      <c r="O226" s="4" t="s">
        <v>719</v>
      </c>
      <c r="P226" s="2">
        <v>1000</v>
      </c>
      <c r="Q226" s="2">
        <v>1100</v>
      </c>
      <c r="R226" s="4" t="s">
        <v>758</v>
      </c>
      <c r="S226" s="5">
        <v>61189450</v>
      </c>
    </row>
    <row r="227" spans="1:19" x14ac:dyDescent="0.25">
      <c r="A227" s="4" t="s">
        <v>61</v>
      </c>
      <c r="B227" s="4" t="s">
        <v>59</v>
      </c>
      <c r="C227" s="4" t="s">
        <v>62</v>
      </c>
      <c r="D227" s="4" t="s">
        <v>63</v>
      </c>
      <c r="E227" s="4" t="s">
        <v>178</v>
      </c>
      <c r="F227" s="4" t="s">
        <v>179</v>
      </c>
      <c r="G227" s="4" t="s">
        <v>124</v>
      </c>
      <c r="H227" s="4" t="s">
        <v>26</v>
      </c>
      <c r="I227" s="5">
        <v>65000000</v>
      </c>
      <c r="J227" s="5">
        <v>325000</v>
      </c>
      <c r="K227" s="5">
        <v>32500</v>
      </c>
      <c r="L227" s="4" t="s">
        <v>684</v>
      </c>
      <c r="M227" s="4" t="s">
        <v>685</v>
      </c>
      <c r="N227" s="3">
        <v>45878</v>
      </c>
      <c r="O227" s="4" t="s">
        <v>709</v>
      </c>
      <c r="P227" s="2">
        <v>1000</v>
      </c>
      <c r="Q227" s="2">
        <v>1113</v>
      </c>
      <c r="R227" s="4" t="s">
        <v>769</v>
      </c>
      <c r="S227" s="5">
        <v>54146650</v>
      </c>
    </row>
    <row r="228" spans="1:19" x14ac:dyDescent="0.25">
      <c r="A228" s="4" t="s">
        <v>61</v>
      </c>
      <c r="B228" s="4" t="s">
        <v>59</v>
      </c>
      <c r="C228" s="4" t="s">
        <v>62</v>
      </c>
      <c r="D228" s="4" t="s">
        <v>63</v>
      </c>
      <c r="E228" s="4" t="s">
        <v>484</v>
      </c>
      <c r="F228" s="4" t="s">
        <v>485</v>
      </c>
      <c r="G228" s="4" t="s">
        <v>381</v>
      </c>
      <c r="H228" s="4" t="s">
        <v>26</v>
      </c>
      <c r="I228" s="5">
        <v>90000000</v>
      </c>
      <c r="J228" s="5">
        <v>5206500</v>
      </c>
      <c r="K228" s="5">
        <v>520650</v>
      </c>
      <c r="L228" s="4" t="s">
        <v>486</v>
      </c>
      <c r="M228" s="4" t="s">
        <v>487</v>
      </c>
      <c r="N228" s="3">
        <v>45874</v>
      </c>
      <c r="O228" s="4" t="s">
        <v>733</v>
      </c>
      <c r="P228" s="2">
        <v>1000</v>
      </c>
      <c r="Q228" s="2">
        <v>1116</v>
      </c>
      <c r="R228" s="4" t="s">
        <v>770</v>
      </c>
      <c r="S228" s="5">
        <v>84618000</v>
      </c>
    </row>
    <row r="229" spans="1:19" x14ac:dyDescent="0.25">
      <c r="A229" s="4" t="s">
        <v>61</v>
      </c>
      <c r="B229" s="4" t="s">
        <v>59</v>
      </c>
      <c r="C229" s="4" t="s">
        <v>62</v>
      </c>
      <c r="D229" s="4" t="s">
        <v>63</v>
      </c>
      <c r="E229" s="4" t="s">
        <v>305</v>
      </c>
      <c r="F229" s="4" t="s">
        <v>306</v>
      </c>
      <c r="G229" s="4" t="s">
        <v>100</v>
      </c>
      <c r="H229" s="4" t="s">
        <v>26</v>
      </c>
      <c r="I229" s="5">
        <v>65000000</v>
      </c>
      <c r="J229" s="5">
        <v>38500</v>
      </c>
      <c r="K229" s="5">
        <v>3850</v>
      </c>
      <c r="L229" s="4" t="s">
        <v>26</v>
      </c>
      <c r="M229" s="4" t="s">
        <v>26</v>
      </c>
      <c r="N229" s="3">
        <v>45874</v>
      </c>
      <c r="O229" s="4" t="s">
        <v>283</v>
      </c>
      <c r="P229" s="2">
        <v>1000</v>
      </c>
      <c r="Q229" s="2">
        <v>1119</v>
      </c>
      <c r="R229" s="4" t="s">
        <v>755</v>
      </c>
      <c r="S229" s="5">
        <v>64365100</v>
      </c>
    </row>
    <row r="230" spans="1:19" x14ac:dyDescent="0.25">
      <c r="A230" s="4" t="s">
        <v>61</v>
      </c>
      <c r="B230" s="4" t="s">
        <v>59</v>
      </c>
      <c r="C230" s="4" t="s">
        <v>62</v>
      </c>
      <c r="D230" s="4" t="s">
        <v>63</v>
      </c>
      <c r="E230" s="4" t="s">
        <v>170</v>
      </c>
      <c r="F230" s="4" t="s">
        <v>171</v>
      </c>
      <c r="G230" s="4" t="s">
        <v>50</v>
      </c>
      <c r="H230" s="4" t="s">
        <v>26</v>
      </c>
      <c r="I230" s="5">
        <v>65000000</v>
      </c>
      <c r="J230" s="5">
        <v>38500</v>
      </c>
      <c r="K230" s="5">
        <v>3850</v>
      </c>
      <c r="L230" s="4" t="s">
        <v>172</v>
      </c>
      <c r="M230" s="4" t="s">
        <v>173</v>
      </c>
      <c r="N230" s="3">
        <v>45873</v>
      </c>
      <c r="O230" s="4" t="s">
        <v>532</v>
      </c>
      <c r="P230" s="2">
        <v>1000</v>
      </c>
      <c r="Q230" s="2">
        <v>1120</v>
      </c>
      <c r="R230" s="4" t="s">
        <v>26</v>
      </c>
      <c r="S230" s="5">
        <v>59051100</v>
      </c>
    </row>
    <row r="231" spans="1:19" x14ac:dyDescent="0.25">
      <c r="A231" s="4" t="s">
        <v>61</v>
      </c>
      <c r="B231" s="4" t="s">
        <v>59</v>
      </c>
      <c r="C231" s="4" t="s">
        <v>62</v>
      </c>
      <c r="D231" s="4" t="s">
        <v>63</v>
      </c>
      <c r="E231" s="4" t="s">
        <v>170</v>
      </c>
      <c r="F231" s="4" t="s">
        <v>171</v>
      </c>
      <c r="G231" s="4" t="s">
        <v>50</v>
      </c>
      <c r="H231" s="4" t="s">
        <v>26</v>
      </c>
      <c r="I231" s="5">
        <v>65000000</v>
      </c>
      <c r="J231" s="5">
        <v>77000</v>
      </c>
      <c r="K231" s="5">
        <v>7700</v>
      </c>
      <c r="L231" s="4" t="s">
        <v>172</v>
      </c>
      <c r="M231" s="4" t="s">
        <v>173</v>
      </c>
      <c r="N231" s="3">
        <v>45873</v>
      </c>
      <c r="O231" s="4" t="s">
        <v>532</v>
      </c>
      <c r="P231" s="2">
        <v>2000</v>
      </c>
      <c r="Q231" s="2">
        <v>1120</v>
      </c>
      <c r="R231" s="4" t="s">
        <v>26</v>
      </c>
      <c r="S231" s="5">
        <v>59051100</v>
      </c>
    </row>
    <row r="232" spans="1:19" x14ac:dyDescent="0.25">
      <c r="A232" s="4" t="s">
        <v>61</v>
      </c>
      <c r="B232" s="4" t="s">
        <v>59</v>
      </c>
      <c r="C232" s="4" t="s">
        <v>62</v>
      </c>
      <c r="D232" s="4" t="s">
        <v>63</v>
      </c>
      <c r="E232" s="4" t="s">
        <v>170</v>
      </c>
      <c r="F232" s="4" t="s">
        <v>171</v>
      </c>
      <c r="G232" s="4" t="s">
        <v>50</v>
      </c>
      <c r="H232" s="4" t="s">
        <v>26</v>
      </c>
      <c r="I232" s="5">
        <v>65000000</v>
      </c>
      <c r="J232" s="5">
        <v>15400</v>
      </c>
      <c r="K232" s="5">
        <v>1540</v>
      </c>
      <c r="L232" s="4" t="s">
        <v>172</v>
      </c>
      <c r="M232" s="4" t="s">
        <v>173</v>
      </c>
      <c r="N232" s="3">
        <v>45873</v>
      </c>
      <c r="O232" s="4" t="s">
        <v>532</v>
      </c>
      <c r="P232" s="2">
        <v>3000</v>
      </c>
      <c r="Q232" s="2">
        <v>1120</v>
      </c>
      <c r="R232" s="4" t="s">
        <v>26</v>
      </c>
      <c r="S232" s="5">
        <v>59051100</v>
      </c>
    </row>
    <row r="233" spans="1:19" x14ac:dyDescent="0.25">
      <c r="A233" s="4" t="s">
        <v>61</v>
      </c>
      <c r="B233" s="4" t="s">
        <v>59</v>
      </c>
      <c r="C233" s="4" t="s">
        <v>62</v>
      </c>
      <c r="D233" s="4" t="s">
        <v>63</v>
      </c>
      <c r="E233" s="4" t="s">
        <v>170</v>
      </c>
      <c r="F233" s="4" t="s">
        <v>171</v>
      </c>
      <c r="G233" s="4" t="s">
        <v>50</v>
      </c>
      <c r="H233" s="4" t="s">
        <v>26</v>
      </c>
      <c r="I233" s="5">
        <v>65000000</v>
      </c>
      <c r="J233" s="5">
        <v>7700</v>
      </c>
      <c r="K233" s="5">
        <v>770</v>
      </c>
      <c r="L233" s="4" t="s">
        <v>172</v>
      </c>
      <c r="M233" s="4" t="s">
        <v>173</v>
      </c>
      <c r="N233" s="3">
        <v>45873</v>
      </c>
      <c r="O233" s="4" t="s">
        <v>532</v>
      </c>
      <c r="P233" s="2">
        <v>4000</v>
      </c>
      <c r="Q233" s="2">
        <v>1120</v>
      </c>
      <c r="R233" s="4" t="s">
        <v>26</v>
      </c>
      <c r="S233" s="5">
        <v>59051100</v>
      </c>
    </row>
    <row r="234" spans="1:19" x14ac:dyDescent="0.25">
      <c r="A234" s="4" t="s">
        <v>61</v>
      </c>
      <c r="B234" s="4" t="s">
        <v>59</v>
      </c>
      <c r="C234" s="4" t="s">
        <v>62</v>
      </c>
      <c r="D234" s="4" t="s">
        <v>63</v>
      </c>
      <c r="E234" s="4" t="s">
        <v>170</v>
      </c>
      <c r="F234" s="4" t="s">
        <v>171</v>
      </c>
      <c r="G234" s="4" t="s">
        <v>50</v>
      </c>
      <c r="H234" s="4" t="s">
        <v>26</v>
      </c>
      <c r="I234" s="5">
        <v>65000000</v>
      </c>
      <c r="J234" s="5">
        <v>117300</v>
      </c>
      <c r="K234" s="5">
        <v>11730</v>
      </c>
      <c r="L234" s="4" t="s">
        <v>172</v>
      </c>
      <c r="M234" s="4" t="s">
        <v>173</v>
      </c>
      <c r="N234" s="3">
        <v>45873</v>
      </c>
      <c r="O234" s="4" t="s">
        <v>532</v>
      </c>
      <c r="P234" s="2">
        <v>5000</v>
      </c>
      <c r="Q234" s="2">
        <v>1120</v>
      </c>
      <c r="R234" s="4" t="s">
        <v>26</v>
      </c>
      <c r="S234" s="5">
        <v>59051100</v>
      </c>
    </row>
    <row r="235" spans="1:19" x14ac:dyDescent="0.25">
      <c r="A235" s="4" t="s">
        <v>61</v>
      </c>
      <c r="B235" s="4" t="s">
        <v>59</v>
      </c>
      <c r="C235" s="4" t="s">
        <v>62</v>
      </c>
      <c r="D235" s="4" t="s">
        <v>63</v>
      </c>
      <c r="E235" s="4" t="s">
        <v>178</v>
      </c>
      <c r="F235" s="4" t="s">
        <v>179</v>
      </c>
      <c r="G235" s="4" t="s">
        <v>124</v>
      </c>
      <c r="H235" s="4" t="s">
        <v>26</v>
      </c>
      <c r="I235" s="5">
        <v>65000000</v>
      </c>
      <c r="J235" s="5">
        <v>27000</v>
      </c>
      <c r="K235" s="5">
        <v>2700</v>
      </c>
      <c r="L235" s="4" t="s">
        <v>214</v>
      </c>
      <c r="M235" s="4" t="s">
        <v>215</v>
      </c>
      <c r="N235" s="3">
        <v>45872</v>
      </c>
      <c r="O235" s="4" t="s">
        <v>459</v>
      </c>
      <c r="P235" s="2">
        <v>1000</v>
      </c>
      <c r="Q235" s="2">
        <v>1123</v>
      </c>
      <c r="R235" s="4" t="s">
        <v>84</v>
      </c>
      <c r="S235" s="5">
        <v>54146650</v>
      </c>
    </row>
    <row r="236" spans="1:19" x14ac:dyDescent="0.25">
      <c r="A236" s="4" t="s">
        <v>61</v>
      </c>
      <c r="B236" s="4" t="s">
        <v>59</v>
      </c>
      <c r="C236" s="4" t="s">
        <v>62</v>
      </c>
      <c r="D236" s="4" t="s">
        <v>63</v>
      </c>
      <c r="E236" s="4" t="s">
        <v>155</v>
      </c>
      <c r="F236" s="4" t="s">
        <v>156</v>
      </c>
      <c r="G236" s="4" t="s">
        <v>157</v>
      </c>
      <c r="H236" s="4" t="s">
        <v>26</v>
      </c>
      <c r="I236" s="5">
        <v>90000000</v>
      </c>
      <c r="J236" s="5">
        <v>79200</v>
      </c>
      <c r="K236" s="5">
        <v>7920</v>
      </c>
      <c r="L236" s="4" t="s">
        <v>158</v>
      </c>
      <c r="M236" s="4" t="s">
        <v>159</v>
      </c>
      <c r="N236" s="3">
        <v>45874</v>
      </c>
      <c r="O236" s="4" t="s">
        <v>283</v>
      </c>
      <c r="P236" s="2">
        <v>1000</v>
      </c>
      <c r="Q236" s="2">
        <v>1129</v>
      </c>
      <c r="R236" s="4" t="s">
        <v>755</v>
      </c>
      <c r="S236" s="5">
        <v>87868500</v>
      </c>
    </row>
    <row r="237" spans="1:19" x14ac:dyDescent="0.25">
      <c r="A237" s="4" t="s">
        <v>61</v>
      </c>
      <c r="B237" s="4" t="s">
        <v>59</v>
      </c>
      <c r="C237" s="4" t="s">
        <v>62</v>
      </c>
      <c r="D237" s="4" t="s">
        <v>63</v>
      </c>
      <c r="E237" s="4" t="s">
        <v>155</v>
      </c>
      <c r="F237" s="4" t="s">
        <v>156</v>
      </c>
      <c r="G237" s="4" t="s">
        <v>157</v>
      </c>
      <c r="H237" s="4" t="s">
        <v>26</v>
      </c>
      <c r="I237" s="5">
        <v>90000000</v>
      </c>
      <c r="J237" s="5">
        <v>88000</v>
      </c>
      <c r="K237" s="5">
        <v>8800</v>
      </c>
      <c r="L237" s="4" t="s">
        <v>158</v>
      </c>
      <c r="M237" s="4" t="s">
        <v>159</v>
      </c>
      <c r="N237" s="3">
        <v>45874</v>
      </c>
      <c r="O237" s="4" t="s">
        <v>283</v>
      </c>
      <c r="P237" s="2">
        <v>2000</v>
      </c>
      <c r="Q237" s="2">
        <v>1129</v>
      </c>
      <c r="R237" s="4" t="s">
        <v>755</v>
      </c>
      <c r="S237" s="5">
        <v>87868500</v>
      </c>
    </row>
    <row r="238" spans="1:19" x14ac:dyDescent="0.25">
      <c r="A238" s="4" t="s">
        <v>61</v>
      </c>
      <c r="B238" s="4" t="s">
        <v>59</v>
      </c>
      <c r="C238" s="4" t="s">
        <v>62</v>
      </c>
      <c r="D238" s="4" t="s">
        <v>63</v>
      </c>
      <c r="E238" s="4" t="s">
        <v>155</v>
      </c>
      <c r="F238" s="4" t="s">
        <v>156</v>
      </c>
      <c r="G238" s="4" t="s">
        <v>157</v>
      </c>
      <c r="H238" s="4" t="s">
        <v>26</v>
      </c>
      <c r="I238" s="5">
        <v>90000000</v>
      </c>
      <c r="J238" s="5">
        <v>16000</v>
      </c>
      <c r="K238" s="5">
        <v>1600</v>
      </c>
      <c r="L238" s="4" t="s">
        <v>158</v>
      </c>
      <c r="M238" s="4" t="s">
        <v>159</v>
      </c>
      <c r="N238" s="3">
        <v>45874</v>
      </c>
      <c r="O238" s="4" t="s">
        <v>283</v>
      </c>
      <c r="P238" s="2">
        <v>3000</v>
      </c>
      <c r="Q238" s="2">
        <v>1129</v>
      </c>
      <c r="R238" s="4" t="s">
        <v>755</v>
      </c>
      <c r="S238" s="5">
        <v>87868500</v>
      </c>
    </row>
    <row r="239" spans="1:19" x14ac:dyDescent="0.25">
      <c r="A239" s="4" t="s">
        <v>61</v>
      </c>
      <c r="B239" s="4" t="s">
        <v>59</v>
      </c>
      <c r="C239" s="4" t="s">
        <v>62</v>
      </c>
      <c r="D239" s="4" t="s">
        <v>63</v>
      </c>
      <c r="E239" s="4" t="s">
        <v>155</v>
      </c>
      <c r="F239" s="4" t="s">
        <v>156</v>
      </c>
      <c r="G239" s="4" t="s">
        <v>157</v>
      </c>
      <c r="H239" s="4" t="s">
        <v>26</v>
      </c>
      <c r="I239" s="5">
        <v>90000000</v>
      </c>
      <c r="J239" s="5">
        <v>114400</v>
      </c>
      <c r="K239" s="5">
        <v>11440</v>
      </c>
      <c r="L239" s="4" t="s">
        <v>158</v>
      </c>
      <c r="M239" s="4" t="s">
        <v>159</v>
      </c>
      <c r="N239" s="3">
        <v>45874</v>
      </c>
      <c r="O239" s="4" t="s">
        <v>283</v>
      </c>
      <c r="P239" s="2">
        <v>4000</v>
      </c>
      <c r="Q239" s="2">
        <v>1129</v>
      </c>
      <c r="R239" s="4" t="s">
        <v>755</v>
      </c>
      <c r="S239" s="5">
        <v>87868500</v>
      </c>
    </row>
    <row r="240" spans="1:19" x14ac:dyDescent="0.25">
      <c r="A240" s="4" t="s">
        <v>61</v>
      </c>
      <c r="B240" s="4" t="s">
        <v>59</v>
      </c>
      <c r="C240" s="4" t="s">
        <v>62</v>
      </c>
      <c r="D240" s="4" t="s">
        <v>63</v>
      </c>
      <c r="E240" s="4" t="s">
        <v>155</v>
      </c>
      <c r="F240" s="4" t="s">
        <v>156</v>
      </c>
      <c r="G240" s="4" t="s">
        <v>157</v>
      </c>
      <c r="H240" s="4" t="s">
        <v>26</v>
      </c>
      <c r="I240" s="5">
        <v>90000000</v>
      </c>
      <c r="J240" s="5">
        <v>115200</v>
      </c>
      <c r="K240" s="5">
        <v>11520</v>
      </c>
      <c r="L240" s="4" t="s">
        <v>158</v>
      </c>
      <c r="M240" s="4" t="s">
        <v>159</v>
      </c>
      <c r="N240" s="3">
        <v>45874</v>
      </c>
      <c r="O240" s="4" t="s">
        <v>283</v>
      </c>
      <c r="P240" s="2">
        <v>5000</v>
      </c>
      <c r="Q240" s="2">
        <v>1129</v>
      </c>
      <c r="R240" s="4" t="s">
        <v>755</v>
      </c>
      <c r="S240" s="5">
        <v>87868500</v>
      </c>
    </row>
    <row r="241" spans="1:19" x14ac:dyDescent="0.25">
      <c r="A241" s="4" t="s">
        <v>61</v>
      </c>
      <c r="B241" s="4" t="s">
        <v>59</v>
      </c>
      <c r="C241" s="4" t="s">
        <v>62</v>
      </c>
      <c r="D241" s="4" t="s">
        <v>63</v>
      </c>
      <c r="E241" s="4" t="s">
        <v>155</v>
      </c>
      <c r="F241" s="4" t="s">
        <v>156</v>
      </c>
      <c r="G241" s="4" t="s">
        <v>157</v>
      </c>
      <c r="H241" s="4" t="s">
        <v>26</v>
      </c>
      <c r="I241" s="5">
        <v>90000000</v>
      </c>
      <c r="J241" s="5">
        <v>34000</v>
      </c>
      <c r="K241" s="5">
        <v>3400</v>
      </c>
      <c r="L241" s="4" t="s">
        <v>158</v>
      </c>
      <c r="M241" s="4" t="s">
        <v>159</v>
      </c>
      <c r="N241" s="3">
        <v>45874</v>
      </c>
      <c r="O241" s="4" t="s">
        <v>283</v>
      </c>
      <c r="P241" s="2">
        <v>6000</v>
      </c>
      <c r="Q241" s="2">
        <v>1129</v>
      </c>
      <c r="R241" s="4" t="s">
        <v>84</v>
      </c>
      <c r="S241" s="5">
        <v>87868500</v>
      </c>
    </row>
    <row r="242" spans="1:19" x14ac:dyDescent="0.25">
      <c r="A242" s="4" t="s">
        <v>61</v>
      </c>
      <c r="B242" s="4" t="s">
        <v>59</v>
      </c>
      <c r="C242" s="4" t="s">
        <v>62</v>
      </c>
      <c r="D242" s="4" t="s">
        <v>63</v>
      </c>
      <c r="E242" s="4" t="s">
        <v>307</v>
      </c>
      <c r="F242" s="4" t="s">
        <v>308</v>
      </c>
      <c r="G242" s="4" t="s">
        <v>309</v>
      </c>
      <c r="H242" s="4" t="s">
        <v>26</v>
      </c>
      <c r="I242" s="5">
        <v>90000000</v>
      </c>
      <c r="J242" s="5">
        <v>46200</v>
      </c>
      <c r="K242" s="5">
        <v>4620</v>
      </c>
      <c r="L242" s="4" t="s">
        <v>267</v>
      </c>
      <c r="M242" s="4" t="s">
        <v>268</v>
      </c>
      <c r="N242" s="3">
        <v>45874</v>
      </c>
      <c r="O242" s="4" t="s">
        <v>283</v>
      </c>
      <c r="P242" s="2">
        <v>1000</v>
      </c>
      <c r="Q242" s="2">
        <v>1142</v>
      </c>
      <c r="R242" s="4" t="s">
        <v>755</v>
      </c>
      <c r="S242" s="5">
        <v>88166300</v>
      </c>
    </row>
    <row r="243" spans="1:19" x14ac:dyDescent="0.25">
      <c r="A243" s="4" t="s">
        <v>61</v>
      </c>
      <c r="B243" s="4" t="s">
        <v>59</v>
      </c>
      <c r="C243" s="4" t="s">
        <v>62</v>
      </c>
      <c r="D243" s="4" t="s">
        <v>63</v>
      </c>
      <c r="E243" s="4" t="s">
        <v>478</v>
      </c>
      <c r="F243" s="4" t="s">
        <v>479</v>
      </c>
      <c r="G243" s="4" t="s">
        <v>100</v>
      </c>
      <c r="H243" s="4" t="s">
        <v>26</v>
      </c>
      <c r="I243" s="5">
        <v>65000000</v>
      </c>
      <c r="J243" s="5">
        <v>40000</v>
      </c>
      <c r="K243" s="5">
        <v>4000</v>
      </c>
      <c r="L243" s="4" t="s">
        <v>26</v>
      </c>
      <c r="M243" s="4" t="s">
        <v>26</v>
      </c>
      <c r="N243" s="3">
        <v>45872</v>
      </c>
      <c r="O243" s="4" t="s">
        <v>459</v>
      </c>
      <c r="P243" s="2">
        <v>1000</v>
      </c>
      <c r="Q243" s="2">
        <v>1144</v>
      </c>
      <c r="R243" s="4" t="s">
        <v>747</v>
      </c>
      <c r="S243" s="5">
        <v>64142640</v>
      </c>
    </row>
    <row r="244" spans="1:19" x14ac:dyDescent="0.25">
      <c r="A244" s="4" t="s">
        <v>61</v>
      </c>
      <c r="B244" s="4" t="s">
        <v>59</v>
      </c>
      <c r="C244" s="4" t="s">
        <v>62</v>
      </c>
      <c r="D244" s="4" t="s">
        <v>63</v>
      </c>
      <c r="E244" s="4" t="s">
        <v>568</v>
      </c>
      <c r="F244" s="4" t="s">
        <v>569</v>
      </c>
      <c r="G244" s="4" t="s">
        <v>199</v>
      </c>
      <c r="H244" s="4" t="s">
        <v>26</v>
      </c>
      <c r="I244" s="5">
        <v>65000000</v>
      </c>
      <c r="J244" s="5">
        <v>288000</v>
      </c>
      <c r="K244" s="5">
        <v>28800</v>
      </c>
      <c r="L244" s="4" t="s">
        <v>592</v>
      </c>
      <c r="M244" s="4" t="s">
        <v>593</v>
      </c>
      <c r="N244" s="3">
        <v>45877</v>
      </c>
      <c r="O244" s="4" t="s">
        <v>587</v>
      </c>
      <c r="P244" s="2">
        <v>1000</v>
      </c>
      <c r="Q244" s="2">
        <v>1153</v>
      </c>
      <c r="R244" s="4" t="s">
        <v>756</v>
      </c>
      <c r="S244" s="5">
        <v>60252900</v>
      </c>
    </row>
    <row r="245" spans="1:19" x14ac:dyDescent="0.25">
      <c r="A245" s="4" t="s">
        <v>61</v>
      </c>
      <c r="B245" s="4" t="s">
        <v>59</v>
      </c>
      <c r="C245" s="4" t="s">
        <v>62</v>
      </c>
      <c r="D245" s="4" t="s">
        <v>63</v>
      </c>
      <c r="E245" s="4" t="s">
        <v>568</v>
      </c>
      <c r="F245" s="4" t="s">
        <v>569</v>
      </c>
      <c r="G245" s="4" t="s">
        <v>199</v>
      </c>
      <c r="H245" s="4" t="s">
        <v>26</v>
      </c>
      <c r="I245" s="5">
        <v>65000000</v>
      </c>
      <c r="J245" s="5">
        <v>1216000</v>
      </c>
      <c r="K245" s="5">
        <v>121600</v>
      </c>
      <c r="L245" s="4" t="s">
        <v>592</v>
      </c>
      <c r="M245" s="4" t="s">
        <v>593</v>
      </c>
      <c r="N245" s="3">
        <v>45877</v>
      </c>
      <c r="O245" s="4" t="s">
        <v>587</v>
      </c>
      <c r="P245" s="2">
        <v>2000</v>
      </c>
      <c r="Q245" s="2">
        <v>1153</v>
      </c>
      <c r="R245" s="4" t="s">
        <v>756</v>
      </c>
      <c r="S245" s="5">
        <v>60252900</v>
      </c>
    </row>
    <row r="246" spans="1:19" x14ac:dyDescent="0.25">
      <c r="A246" s="4" t="s">
        <v>61</v>
      </c>
      <c r="B246" s="4" t="s">
        <v>59</v>
      </c>
      <c r="C246" s="4" t="s">
        <v>62</v>
      </c>
      <c r="D246" s="4" t="s">
        <v>63</v>
      </c>
      <c r="E246" s="4" t="s">
        <v>180</v>
      </c>
      <c r="F246" s="4" t="s">
        <v>181</v>
      </c>
      <c r="G246" s="4" t="s">
        <v>91</v>
      </c>
      <c r="H246" s="4" t="s">
        <v>26</v>
      </c>
      <c r="I246" s="5">
        <v>65000000</v>
      </c>
      <c r="J246" s="5">
        <v>169500</v>
      </c>
      <c r="K246" s="5">
        <v>16950</v>
      </c>
      <c r="L246" s="4" t="s">
        <v>182</v>
      </c>
      <c r="M246" s="4" t="s">
        <v>183</v>
      </c>
      <c r="N246" s="3">
        <v>45874</v>
      </c>
      <c r="O246" s="4" t="s">
        <v>733</v>
      </c>
      <c r="P246" s="2">
        <v>1000</v>
      </c>
      <c r="Q246" s="2">
        <v>1154</v>
      </c>
      <c r="R246" s="4" t="s">
        <v>754</v>
      </c>
      <c r="S246" s="5">
        <v>60970400</v>
      </c>
    </row>
    <row r="247" spans="1:19" x14ac:dyDescent="0.25">
      <c r="A247" s="4" t="s">
        <v>61</v>
      </c>
      <c r="B247" s="4" t="s">
        <v>59</v>
      </c>
      <c r="C247" s="4" t="s">
        <v>62</v>
      </c>
      <c r="D247" s="4" t="s">
        <v>63</v>
      </c>
      <c r="E247" s="4" t="s">
        <v>464</v>
      </c>
      <c r="F247" s="4" t="s">
        <v>465</v>
      </c>
      <c r="G247" s="4" t="s">
        <v>190</v>
      </c>
      <c r="H247" s="4" t="s">
        <v>26</v>
      </c>
      <c r="I247" s="5">
        <v>90000000</v>
      </c>
      <c r="J247" s="5">
        <v>418840</v>
      </c>
      <c r="K247" s="5">
        <v>41884</v>
      </c>
      <c r="L247" s="4" t="s">
        <v>466</v>
      </c>
      <c r="M247" s="4" t="s">
        <v>467</v>
      </c>
      <c r="N247" s="3">
        <v>45881</v>
      </c>
      <c r="O247" s="4" t="s">
        <v>698</v>
      </c>
      <c r="P247" s="2">
        <v>1000</v>
      </c>
      <c r="Q247" s="2">
        <v>1162</v>
      </c>
      <c r="R247" s="4" t="s">
        <v>758</v>
      </c>
      <c r="S247" s="5">
        <v>81637020</v>
      </c>
    </row>
    <row r="248" spans="1:19" x14ac:dyDescent="0.25">
      <c r="A248" s="4" t="s">
        <v>61</v>
      </c>
      <c r="B248" s="4" t="s">
        <v>59</v>
      </c>
      <c r="C248" s="4" t="s">
        <v>62</v>
      </c>
      <c r="D248" s="4" t="s">
        <v>63</v>
      </c>
      <c r="E248" s="4" t="s">
        <v>464</v>
      </c>
      <c r="F248" s="4" t="s">
        <v>465</v>
      </c>
      <c r="G248" s="4" t="s">
        <v>190</v>
      </c>
      <c r="H248" s="4" t="s">
        <v>26</v>
      </c>
      <c r="I248" s="5">
        <v>90000000</v>
      </c>
      <c r="J248" s="5">
        <v>461250</v>
      </c>
      <c r="K248" s="5">
        <v>46125</v>
      </c>
      <c r="L248" s="4" t="s">
        <v>466</v>
      </c>
      <c r="M248" s="4" t="s">
        <v>467</v>
      </c>
      <c r="N248" s="3">
        <v>45881</v>
      </c>
      <c r="O248" s="4" t="s">
        <v>698</v>
      </c>
      <c r="P248" s="2">
        <v>2000</v>
      </c>
      <c r="Q248" s="2">
        <v>1162</v>
      </c>
      <c r="R248" s="4" t="s">
        <v>26</v>
      </c>
      <c r="S248" s="5">
        <v>81637020</v>
      </c>
    </row>
    <row r="249" spans="1:19" x14ac:dyDescent="0.25">
      <c r="A249" s="4" t="s">
        <v>61</v>
      </c>
      <c r="B249" s="4" t="s">
        <v>59</v>
      </c>
      <c r="C249" s="4" t="s">
        <v>62</v>
      </c>
      <c r="D249" s="4" t="s">
        <v>63</v>
      </c>
      <c r="E249" s="4" t="s">
        <v>464</v>
      </c>
      <c r="F249" s="4" t="s">
        <v>465</v>
      </c>
      <c r="G249" s="4" t="s">
        <v>190</v>
      </c>
      <c r="H249" s="4" t="s">
        <v>26</v>
      </c>
      <c r="I249" s="5">
        <v>90000000</v>
      </c>
      <c r="J249" s="5">
        <v>186440</v>
      </c>
      <c r="K249" s="5">
        <v>18644</v>
      </c>
      <c r="L249" s="4" t="s">
        <v>466</v>
      </c>
      <c r="M249" s="4" t="s">
        <v>467</v>
      </c>
      <c r="N249" s="3">
        <v>45881</v>
      </c>
      <c r="O249" s="4" t="s">
        <v>698</v>
      </c>
      <c r="P249" s="2">
        <v>1000</v>
      </c>
      <c r="Q249" s="2">
        <v>1163</v>
      </c>
      <c r="R249" s="4" t="s">
        <v>26</v>
      </c>
      <c r="S249" s="5">
        <v>81637020</v>
      </c>
    </row>
    <row r="250" spans="1:19" x14ac:dyDescent="0.25">
      <c r="A250" s="4" t="s">
        <v>61</v>
      </c>
      <c r="B250" s="4" t="s">
        <v>59</v>
      </c>
      <c r="C250" s="4" t="s">
        <v>62</v>
      </c>
      <c r="D250" s="4" t="s">
        <v>63</v>
      </c>
      <c r="E250" s="4" t="s">
        <v>643</v>
      </c>
      <c r="F250" s="4" t="s">
        <v>644</v>
      </c>
      <c r="G250" s="4" t="s">
        <v>91</v>
      </c>
      <c r="H250" s="4" t="s">
        <v>26</v>
      </c>
      <c r="I250" s="5">
        <v>65000000</v>
      </c>
      <c r="J250" s="5">
        <v>4780000</v>
      </c>
      <c r="K250" s="5">
        <v>478000</v>
      </c>
      <c r="L250" s="4" t="s">
        <v>645</v>
      </c>
      <c r="M250" s="4" t="s">
        <v>646</v>
      </c>
      <c r="N250" s="3">
        <v>45875</v>
      </c>
      <c r="O250" s="4" t="s">
        <v>642</v>
      </c>
      <c r="P250" s="2">
        <v>1000</v>
      </c>
      <c r="Q250" s="2">
        <v>1173</v>
      </c>
      <c r="R250" s="4" t="s">
        <v>746</v>
      </c>
      <c r="S250" s="5">
        <v>58920000</v>
      </c>
    </row>
    <row r="251" spans="1:19" x14ac:dyDescent="0.25">
      <c r="A251" s="4" t="s">
        <v>61</v>
      </c>
      <c r="B251" s="4" t="s">
        <v>59</v>
      </c>
      <c r="C251" s="4" t="s">
        <v>62</v>
      </c>
      <c r="D251" s="4" t="s">
        <v>63</v>
      </c>
      <c r="E251" s="4" t="s">
        <v>643</v>
      </c>
      <c r="F251" s="4" t="s">
        <v>644</v>
      </c>
      <c r="G251" s="4" t="s">
        <v>91</v>
      </c>
      <c r="H251" s="4" t="s">
        <v>26</v>
      </c>
      <c r="I251" s="5">
        <v>65000000</v>
      </c>
      <c r="J251" s="5">
        <v>1300000</v>
      </c>
      <c r="K251" s="5">
        <v>130000</v>
      </c>
      <c r="L251" s="4" t="s">
        <v>645</v>
      </c>
      <c r="M251" s="4" t="s">
        <v>646</v>
      </c>
      <c r="N251" s="3">
        <v>45875</v>
      </c>
      <c r="O251" s="4" t="s">
        <v>642</v>
      </c>
      <c r="P251" s="2">
        <v>2000</v>
      </c>
      <c r="Q251" s="2">
        <v>1173</v>
      </c>
      <c r="R251" s="4" t="s">
        <v>746</v>
      </c>
      <c r="S251" s="5">
        <v>58920000</v>
      </c>
    </row>
    <row r="252" spans="1:19" x14ac:dyDescent="0.25">
      <c r="A252" s="4" t="s">
        <v>61</v>
      </c>
      <c r="B252" s="4" t="s">
        <v>59</v>
      </c>
      <c r="C252" s="4" t="s">
        <v>62</v>
      </c>
      <c r="D252" s="4" t="s">
        <v>63</v>
      </c>
      <c r="E252" s="4" t="s">
        <v>398</v>
      </c>
      <c r="F252" s="4" t="s">
        <v>399</v>
      </c>
      <c r="G252" s="4" t="s">
        <v>309</v>
      </c>
      <c r="H252" s="4" t="s">
        <v>26</v>
      </c>
      <c r="I252" s="5">
        <v>90000000</v>
      </c>
      <c r="J252" s="5">
        <v>209000</v>
      </c>
      <c r="K252" s="5">
        <v>20900</v>
      </c>
      <c r="L252" s="4" t="s">
        <v>472</v>
      </c>
      <c r="M252" s="4" t="s">
        <v>473</v>
      </c>
      <c r="N252" s="3">
        <v>45885</v>
      </c>
      <c r="O252" s="4" t="s">
        <v>690</v>
      </c>
      <c r="P252" s="2">
        <v>1000</v>
      </c>
      <c r="Q252" s="2">
        <v>1174</v>
      </c>
      <c r="R252" s="4" t="s">
        <v>771</v>
      </c>
      <c r="S252" s="5">
        <v>88662000</v>
      </c>
    </row>
    <row r="253" spans="1:19" x14ac:dyDescent="0.25">
      <c r="A253" s="4" t="s">
        <v>61</v>
      </c>
      <c r="B253" s="4" t="s">
        <v>59</v>
      </c>
      <c r="C253" s="4" t="s">
        <v>62</v>
      </c>
      <c r="D253" s="4" t="s">
        <v>63</v>
      </c>
      <c r="E253" s="4" t="s">
        <v>664</v>
      </c>
      <c r="F253" s="4" t="s">
        <v>665</v>
      </c>
      <c r="G253" s="4" t="s">
        <v>199</v>
      </c>
      <c r="H253" s="4" t="s">
        <v>26</v>
      </c>
      <c r="I253" s="5">
        <v>65000000</v>
      </c>
      <c r="J253" s="5">
        <v>270000</v>
      </c>
      <c r="K253" s="5">
        <v>27000</v>
      </c>
      <c r="L253" s="4" t="s">
        <v>496</v>
      </c>
      <c r="M253" s="4" t="s">
        <v>497</v>
      </c>
      <c r="N253" s="3">
        <v>45877</v>
      </c>
      <c r="O253" s="4" t="s">
        <v>663</v>
      </c>
      <c r="P253" s="2">
        <v>1000</v>
      </c>
      <c r="Q253" s="2">
        <v>1187</v>
      </c>
      <c r="R253" s="4" t="s">
        <v>752</v>
      </c>
      <c r="S253" s="5">
        <v>60715000</v>
      </c>
    </row>
    <row r="254" spans="1:19" x14ac:dyDescent="0.25">
      <c r="A254" s="4" t="s">
        <v>61</v>
      </c>
      <c r="B254" s="4" t="s">
        <v>59</v>
      </c>
      <c r="C254" s="4" t="s">
        <v>62</v>
      </c>
      <c r="D254" s="4" t="s">
        <v>63</v>
      </c>
      <c r="E254" s="4" t="s">
        <v>664</v>
      </c>
      <c r="F254" s="4" t="s">
        <v>665</v>
      </c>
      <c r="G254" s="4" t="s">
        <v>199</v>
      </c>
      <c r="H254" s="4" t="s">
        <v>26</v>
      </c>
      <c r="I254" s="5">
        <v>65000000</v>
      </c>
      <c r="J254" s="5">
        <v>125000</v>
      </c>
      <c r="K254" s="5">
        <v>12500</v>
      </c>
      <c r="L254" s="4" t="s">
        <v>496</v>
      </c>
      <c r="M254" s="4" t="s">
        <v>497</v>
      </c>
      <c r="N254" s="3">
        <v>45877</v>
      </c>
      <c r="O254" s="4" t="s">
        <v>663</v>
      </c>
      <c r="P254" s="2">
        <v>2000</v>
      </c>
      <c r="Q254" s="2">
        <v>1187</v>
      </c>
      <c r="R254" s="4" t="s">
        <v>752</v>
      </c>
      <c r="S254" s="5">
        <v>60715000</v>
      </c>
    </row>
    <row r="255" spans="1:19" x14ac:dyDescent="0.25">
      <c r="A255" s="4" t="s">
        <v>61</v>
      </c>
      <c r="B255" s="4" t="s">
        <v>59</v>
      </c>
      <c r="C255" s="4" t="s">
        <v>62</v>
      </c>
      <c r="D255" s="4" t="s">
        <v>63</v>
      </c>
      <c r="E255" s="4" t="s">
        <v>664</v>
      </c>
      <c r="F255" s="4" t="s">
        <v>665</v>
      </c>
      <c r="G255" s="4" t="s">
        <v>199</v>
      </c>
      <c r="H255" s="4" t="s">
        <v>26</v>
      </c>
      <c r="I255" s="5">
        <v>65000000</v>
      </c>
      <c r="J255" s="5">
        <v>320000</v>
      </c>
      <c r="K255" s="5">
        <v>32000</v>
      </c>
      <c r="L255" s="4" t="s">
        <v>496</v>
      </c>
      <c r="M255" s="4" t="s">
        <v>497</v>
      </c>
      <c r="N255" s="3">
        <v>45877</v>
      </c>
      <c r="O255" s="4" t="s">
        <v>663</v>
      </c>
      <c r="P255" s="2">
        <v>3000</v>
      </c>
      <c r="Q255" s="2">
        <v>1187</v>
      </c>
      <c r="R255" s="4" t="s">
        <v>752</v>
      </c>
      <c r="S255" s="5">
        <v>60715000</v>
      </c>
    </row>
    <row r="256" spans="1:19" x14ac:dyDescent="0.25">
      <c r="A256" s="4" t="s">
        <v>61</v>
      </c>
      <c r="B256" s="4" t="s">
        <v>59</v>
      </c>
      <c r="C256" s="4" t="s">
        <v>62</v>
      </c>
      <c r="D256" s="4" t="s">
        <v>63</v>
      </c>
      <c r="E256" s="4" t="s">
        <v>664</v>
      </c>
      <c r="F256" s="4" t="s">
        <v>665</v>
      </c>
      <c r="G256" s="4" t="s">
        <v>199</v>
      </c>
      <c r="H256" s="4" t="s">
        <v>26</v>
      </c>
      <c r="I256" s="5">
        <v>65000000</v>
      </c>
      <c r="J256" s="5">
        <v>780000</v>
      </c>
      <c r="K256" s="5">
        <v>78000</v>
      </c>
      <c r="L256" s="4" t="s">
        <v>496</v>
      </c>
      <c r="M256" s="4" t="s">
        <v>497</v>
      </c>
      <c r="N256" s="3">
        <v>45877</v>
      </c>
      <c r="O256" s="4" t="s">
        <v>663</v>
      </c>
      <c r="P256" s="2">
        <v>4000</v>
      </c>
      <c r="Q256" s="2">
        <v>1187</v>
      </c>
      <c r="R256" s="4" t="s">
        <v>752</v>
      </c>
      <c r="S256" s="5">
        <v>60715000</v>
      </c>
    </row>
    <row r="257" spans="1:19" x14ac:dyDescent="0.25">
      <c r="A257" s="4" t="s">
        <v>61</v>
      </c>
      <c r="B257" s="4" t="s">
        <v>59</v>
      </c>
      <c r="C257" s="4" t="s">
        <v>62</v>
      </c>
      <c r="D257" s="4" t="s">
        <v>63</v>
      </c>
      <c r="E257" s="4" t="s">
        <v>664</v>
      </c>
      <c r="F257" s="4" t="s">
        <v>665</v>
      </c>
      <c r="G257" s="4" t="s">
        <v>199</v>
      </c>
      <c r="H257" s="4" t="s">
        <v>26</v>
      </c>
      <c r="I257" s="5">
        <v>65000000</v>
      </c>
      <c r="J257" s="5">
        <v>980000</v>
      </c>
      <c r="K257" s="5">
        <v>98000</v>
      </c>
      <c r="L257" s="4" t="s">
        <v>496</v>
      </c>
      <c r="M257" s="4" t="s">
        <v>497</v>
      </c>
      <c r="N257" s="3">
        <v>45877</v>
      </c>
      <c r="O257" s="4" t="s">
        <v>663</v>
      </c>
      <c r="P257" s="2">
        <v>5000</v>
      </c>
      <c r="Q257" s="2">
        <v>1187</v>
      </c>
      <c r="R257" s="4" t="s">
        <v>752</v>
      </c>
      <c r="S257" s="5">
        <v>60715000</v>
      </c>
    </row>
    <row r="258" spans="1:19" x14ac:dyDescent="0.25">
      <c r="A258" s="4" t="s">
        <v>61</v>
      </c>
      <c r="B258" s="4" t="s">
        <v>59</v>
      </c>
      <c r="C258" s="4" t="s">
        <v>62</v>
      </c>
      <c r="D258" s="4" t="s">
        <v>63</v>
      </c>
      <c r="E258" s="4" t="s">
        <v>664</v>
      </c>
      <c r="F258" s="4" t="s">
        <v>665</v>
      </c>
      <c r="G258" s="4" t="s">
        <v>199</v>
      </c>
      <c r="H258" s="4" t="s">
        <v>26</v>
      </c>
      <c r="I258" s="5">
        <v>65000000</v>
      </c>
      <c r="J258" s="5">
        <v>295000</v>
      </c>
      <c r="K258" s="5">
        <v>29500</v>
      </c>
      <c r="L258" s="4" t="s">
        <v>496</v>
      </c>
      <c r="M258" s="4" t="s">
        <v>497</v>
      </c>
      <c r="N258" s="3">
        <v>45877</v>
      </c>
      <c r="O258" s="4" t="s">
        <v>663</v>
      </c>
      <c r="P258" s="2">
        <v>6000</v>
      </c>
      <c r="Q258" s="2">
        <v>1187</v>
      </c>
      <c r="R258" s="4" t="s">
        <v>752</v>
      </c>
      <c r="S258" s="5">
        <v>60715000</v>
      </c>
    </row>
    <row r="259" spans="1:19" x14ac:dyDescent="0.25">
      <c r="A259" s="4" t="s">
        <v>61</v>
      </c>
      <c r="B259" s="4" t="s">
        <v>59</v>
      </c>
      <c r="C259" s="4" t="s">
        <v>62</v>
      </c>
      <c r="D259" s="4" t="s">
        <v>63</v>
      </c>
      <c r="E259" s="4" t="s">
        <v>664</v>
      </c>
      <c r="F259" s="4" t="s">
        <v>665</v>
      </c>
      <c r="G259" s="4" t="s">
        <v>199</v>
      </c>
      <c r="H259" s="4" t="s">
        <v>26</v>
      </c>
      <c r="I259" s="5">
        <v>65000000</v>
      </c>
      <c r="J259" s="5">
        <v>445000</v>
      </c>
      <c r="K259" s="5">
        <v>44500</v>
      </c>
      <c r="L259" s="4" t="s">
        <v>496</v>
      </c>
      <c r="M259" s="4" t="s">
        <v>497</v>
      </c>
      <c r="N259" s="3">
        <v>45877</v>
      </c>
      <c r="O259" s="4" t="s">
        <v>663</v>
      </c>
      <c r="P259" s="2">
        <v>7000</v>
      </c>
      <c r="Q259" s="2">
        <v>1187</v>
      </c>
      <c r="R259" s="4" t="s">
        <v>752</v>
      </c>
      <c r="S259" s="5">
        <v>60715000</v>
      </c>
    </row>
    <row r="260" spans="1:19" x14ac:dyDescent="0.25">
      <c r="A260" s="4" t="s">
        <v>61</v>
      </c>
      <c r="B260" s="4" t="s">
        <v>59</v>
      </c>
      <c r="C260" s="4" t="s">
        <v>62</v>
      </c>
      <c r="D260" s="4" t="s">
        <v>63</v>
      </c>
      <c r="E260" s="4" t="s">
        <v>664</v>
      </c>
      <c r="F260" s="4" t="s">
        <v>665</v>
      </c>
      <c r="G260" s="4" t="s">
        <v>199</v>
      </c>
      <c r="H260" s="4" t="s">
        <v>26</v>
      </c>
      <c r="I260" s="5">
        <v>65000000</v>
      </c>
      <c r="J260" s="5">
        <v>650000</v>
      </c>
      <c r="K260" s="5">
        <v>65000</v>
      </c>
      <c r="L260" s="4" t="s">
        <v>496</v>
      </c>
      <c r="M260" s="4" t="s">
        <v>497</v>
      </c>
      <c r="N260" s="3">
        <v>45877</v>
      </c>
      <c r="O260" s="4" t="s">
        <v>663</v>
      </c>
      <c r="P260" s="2">
        <v>8000</v>
      </c>
      <c r="Q260" s="2">
        <v>1187</v>
      </c>
      <c r="R260" s="4" t="s">
        <v>752</v>
      </c>
      <c r="S260" s="5">
        <v>60715000</v>
      </c>
    </row>
    <row r="261" spans="1:19" x14ac:dyDescent="0.25">
      <c r="A261" s="4" t="s">
        <v>61</v>
      </c>
      <c r="B261" s="4" t="s">
        <v>59</v>
      </c>
      <c r="C261" s="4" t="s">
        <v>62</v>
      </c>
      <c r="D261" s="4" t="s">
        <v>63</v>
      </c>
      <c r="E261" s="4" t="s">
        <v>664</v>
      </c>
      <c r="F261" s="4" t="s">
        <v>665</v>
      </c>
      <c r="G261" s="4" t="s">
        <v>199</v>
      </c>
      <c r="H261" s="4" t="s">
        <v>26</v>
      </c>
      <c r="I261" s="5">
        <v>65000000</v>
      </c>
      <c r="J261" s="5">
        <v>175000</v>
      </c>
      <c r="K261" s="5">
        <v>17500</v>
      </c>
      <c r="L261" s="4" t="s">
        <v>496</v>
      </c>
      <c r="M261" s="4" t="s">
        <v>497</v>
      </c>
      <c r="N261" s="3">
        <v>45877</v>
      </c>
      <c r="O261" s="4" t="s">
        <v>663</v>
      </c>
      <c r="P261" s="2">
        <v>9000</v>
      </c>
      <c r="Q261" s="2">
        <v>1187</v>
      </c>
      <c r="R261" s="4" t="s">
        <v>752</v>
      </c>
      <c r="S261" s="5">
        <v>60715000</v>
      </c>
    </row>
    <row r="262" spans="1:19" x14ac:dyDescent="0.25">
      <c r="A262" s="4" t="s">
        <v>61</v>
      </c>
      <c r="B262" s="4" t="s">
        <v>59</v>
      </c>
      <c r="C262" s="4" t="s">
        <v>62</v>
      </c>
      <c r="D262" s="4" t="s">
        <v>63</v>
      </c>
      <c r="E262" s="4" t="s">
        <v>664</v>
      </c>
      <c r="F262" s="4" t="s">
        <v>665</v>
      </c>
      <c r="G262" s="4" t="s">
        <v>199</v>
      </c>
      <c r="H262" s="4" t="s">
        <v>26</v>
      </c>
      <c r="I262" s="5">
        <v>65000000</v>
      </c>
      <c r="J262" s="5">
        <v>245000</v>
      </c>
      <c r="K262" s="5">
        <v>24500</v>
      </c>
      <c r="L262" s="4" t="s">
        <v>26</v>
      </c>
      <c r="M262" s="4" t="s">
        <v>26</v>
      </c>
      <c r="N262" s="3">
        <v>45877</v>
      </c>
      <c r="O262" s="4" t="s">
        <v>663</v>
      </c>
      <c r="P262" s="2">
        <v>1000</v>
      </c>
      <c r="Q262" s="2">
        <v>1188</v>
      </c>
      <c r="R262" s="4" t="s">
        <v>752</v>
      </c>
      <c r="S262" s="5">
        <v>60715000</v>
      </c>
    </row>
    <row r="263" spans="1:19" x14ac:dyDescent="0.25">
      <c r="A263" s="4" t="s">
        <v>61</v>
      </c>
      <c r="B263" s="4" t="s">
        <v>59</v>
      </c>
      <c r="C263" s="4" t="s">
        <v>62</v>
      </c>
      <c r="D263" s="4" t="s">
        <v>63</v>
      </c>
      <c r="E263" s="4" t="s">
        <v>310</v>
      </c>
      <c r="F263" s="4" t="s">
        <v>311</v>
      </c>
      <c r="G263" s="4" t="s">
        <v>190</v>
      </c>
      <c r="H263" s="4" t="s">
        <v>26</v>
      </c>
      <c r="I263" s="5">
        <v>90000000</v>
      </c>
      <c r="J263" s="5">
        <v>50000</v>
      </c>
      <c r="K263" s="5">
        <v>5000</v>
      </c>
      <c r="L263" s="4" t="s">
        <v>312</v>
      </c>
      <c r="M263" s="4" t="s">
        <v>313</v>
      </c>
      <c r="N263" s="3">
        <v>45874</v>
      </c>
      <c r="O263" s="4" t="s">
        <v>283</v>
      </c>
      <c r="P263" s="2">
        <v>1000</v>
      </c>
      <c r="Q263" s="2">
        <v>1204</v>
      </c>
      <c r="R263" s="4" t="s">
        <v>84</v>
      </c>
      <c r="S263" s="5">
        <v>86184030</v>
      </c>
    </row>
    <row r="264" spans="1:19" x14ac:dyDescent="0.25">
      <c r="A264" s="4" t="s">
        <v>61</v>
      </c>
      <c r="B264" s="4" t="s">
        <v>59</v>
      </c>
      <c r="C264" s="4" t="s">
        <v>62</v>
      </c>
      <c r="D264" s="4" t="s">
        <v>63</v>
      </c>
      <c r="E264" s="4" t="s">
        <v>142</v>
      </c>
      <c r="F264" s="4" t="s">
        <v>143</v>
      </c>
      <c r="G264" s="4" t="s">
        <v>144</v>
      </c>
      <c r="H264" s="4" t="s">
        <v>26</v>
      </c>
      <c r="I264" s="5">
        <v>90000000</v>
      </c>
      <c r="J264" s="5">
        <v>40500</v>
      </c>
      <c r="K264" s="5">
        <v>4050</v>
      </c>
      <c r="L264" s="4" t="s">
        <v>402</v>
      </c>
      <c r="M264" s="4" t="s">
        <v>403</v>
      </c>
      <c r="N264" s="3">
        <v>45874</v>
      </c>
      <c r="O264" s="4" t="s">
        <v>432</v>
      </c>
      <c r="P264" s="2">
        <v>1000</v>
      </c>
      <c r="Q264" s="2">
        <v>1206</v>
      </c>
      <c r="R264" s="4" t="s">
        <v>26</v>
      </c>
      <c r="S264" s="5">
        <v>83720070</v>
      </c>
    </row>
    <row r="265" spans="1:19" x14ac:dyDescent="0.25">
      <c r="A265" s="4" t="s">
        <v>61</v>
      </c>
      <c r="B265" s="4" t="s">
        <v>59</v>
      </c>
      <c r="C265" s="4" t="s">
        <v>62</v>
      </c>
      <c r="D265" s="4" t="s">
        <v>63</v>
      </c>
      <c r="E265" s="4" t="s">
        <v>142</v>
      </c>
      <c r="F265" s="4" t="s">
        <v>143</v>
      </c>
      <c r="G265" s="4" t="s">
        <v>144</v>
      </c>
      <c r="H265" s="4" t="s">
        <v>26</v>
      </c>
      <c r="I265" s="5">
        <v>90000000</v>
      </c>
      <c r="J265" s="5">
        <v>30000</v>
      </c>
      <c r="K265" s="5">
        <v>3000</v>
      </c>
      <c r="L265" s="4" t="s">
        <v>145</v>
      </c>
      <c r="M265" s="4" t="s">
        <v>146</v>
      </c>
      <c r="N265" s="3">
        <v>45874</v>
      </c>
      <c r="O265" s="4" t="s">
        <v>432</v>
      </c>
      <c r="P265" s="2">
        <v>1000</v>
      </c>
      <c r="Q265" s="2">
        <v>1207</v>
      </c>
      <c r="R265" s="4" t="s">
        <v>26</v>
      </c>
      <c r="S265" s="5">
        <v>83720070</v>
      </c>
    </row>
    <row r="266" spans="1:19" x14ac:dyDescent="0.25">
      <c r="A266" s="4" t="s">
        <v>61</v>
      </c>
      <c r="B266" s="4" t="s">
        <v>59</v>
      </c>
      <c r="C266" s="4" t="s">
        <v>62</v>
      </c>
      <c r="D266" s="4" t="s">
        <v>63</v>
      </c>
      <c r="E266" s="4" t="s">
        <v>310</v>
      </c>
      <c r="F266" s="4" t="s">
        <v>311</v>
      </c>
      <c r="G266" s="4" t="s">
        <v>190</v>
      </c>
      <c r="H266" s="4" t="s">
        <v>26</v>
      </c>
      <c r="I266" s="5">
        <v>90000000</v>
      </c>
      <c r="J266" s="5">
        <v>164000</v>
      </c>
      <c r="K266" s="5">
        <v>16400</v>
      </c>
      <c r="L266" s="4" t="s">
        <v>312</v>
      </c>
      <c r="M266" s="4" t="s">
        <v>313</v>
      </c>
      <c r="N266" s="3">
        <v>45881</v>
      </c>
      <c r="O266" s="4" t="s">
        <v>698</v>
      </c>
      <c r="P266" s="2">
        <v>1000</v>
      </c>
      <c r="Q266" s="2">
        <v>1207</v>
      </c>
      <c r="R266" s="4" t="s">
        <v>26</v>
      </c>
      <c r="S266" s="5">
        <v>86184030</v>
      </c>
    </row>
    <row r="267" spans="1:19" x14ac:dyDescent="0.25">
      <c r="A267" s="4" t="s">
        <v>61</v>
      </c>
      <c r="B267" s="4" t="s">
        <v>59</v>
      </c>
      <c r="C267" s="4" t="s">
        <v>62</v>
      </c>
      <c r="D267" s="4" t="s">
        <v>63</v>
      </c>
      <c r="E267" s="4" t="s">
        <v>310</v>
      </c>
      <c r="F267" s="4" t="s">
        <v>311</v>
      </c>
      <c r="G267" s="4" t="s">
        <v>190</v>
      </c>
      <c r="H267" s="4" t="s">
        <v>26</v>
      </c>
      <c r="I267" s="5">
        <v>90000000</v>
      </c>
      <c r="J267" s="5">
        <v>148000</v>
      </c>
      <c r="K267" s="5">
        <v>14800</v>
      </c>
      <c r="L267" s="4" t="s">
        <v>312</v>
      </c>
      <c r="M267" s="4" t="s">
        <v>313</v>
      </c>
      <c r="N267" s="3">
        <v>45881</v>
      </c>
      <c r="O267" s="4" t="s">
        <v>698</v>
      </c>
      <c r="P267" s="2">
        <v>2000</v>
      </c>
      <c r="Q267" s="2">
        <v>1207</v>
      </c>
      <c r="R267" s="4" t="s">
        <v>26</v>
      </c>
      <c r="S267" s="5">
        <v>86184030</v>
      </c>
    </row>
    <row r="268" spans="1:19" x14ac:dyDescent="0.25">
      <c r="A268" s="4" t="s">
        <v>61</v>
      </c>
      <c r="B268" s="4" t="s">
        <v>59</v>
      </c>
      <c r="C268" s="4" t="s">
        <v>62</v>
      </c>
      <c r="D268" s="4" t="s">
        <v>63</v>
      </c>
      <c r="E268" s="4" t="s">
        <v>310</v>
      </c>
      <c r="F268" s="4" t="s">
        <v>311</v>
      </c>
      <c r="G268" s="4" t="s">
        <v>190</v>
      </c>
      <c r="H268" s="4" t="s">
        <v>26</v>
      </c>
      <c r="I268" s="5">
        <v>90000000</v>
      </c>
      <c r="J268" s="5">
        <v>150000</v>
      </c>
      <c r="K268" s="5">
        <v>15000</v>
      </c>
      <c r="L268" s="4" t="s">
        <v>312</v>
      </c>
      <c r="M268" s="4" t="s">
        <v>313</v>
      </c>
      <c r="N268" s="3">
        <v>45881</v>
      </c>
      <c r="O268" s="4" t="s">
        <v>698</v>
      </c>
      <c r="P268" s="2">
        <v>3000</v>
      </c>
      <c r="Q268" s="2">
        <v>1207</v>
      </c>
      <c r="R268" s="4" t="s">
        <v>26</v>
      </c>
      <c r="S268" s="5">
        <v>86184030</v>
      </c>
    </row>
    <row r="269" spans="1:19" x14ac:dyDescent="0.25">
      <c r="A269" s="4" t="s">
        <v>61</v>
      </c>
      <c r="B269" s="4" t="s">
        <v>59</v>
      </c>
      <c r="C269" s="4" t="s">
        <v>62</v>
      </c>
      <c r="D269" s="4" t="s">
        <v>63</v>
      </c>
      <c r="E269" s="4" t="s">
        <v>585</v>
      </c>
      <c r="F269" s="4" t="s">
        <v>586</v>
      </c>
      <c r="G269" s="4" t="s">
        <v>81</v>
      </c>
      <c r="H269" s="4" t="s">
        <v>26</v>
      </c>
      <c r="I269" s="5">
        <v>65000000</v>
      </c>
      <c r="J269" s="5">
        <v>198000</v>
      </c>
      <c r="K269" s="5">
        <v>19800</v>
      </c>
      <c r="L269" s="4" t="s">
        <v>710</v>
      </c>
      <c r="M269" s="4" t="s">
        <v>711</v>
      </c>
      <c r="N269" s="3">
        <v>45879</v>
      </c>
      <c r="O269" s="4" t="s">
        <v>709</v>
      </c>
      <c r="P269" s="2">
        <v>1000</v>
      </c>
      <c r="Q269" s="2">
        <v>1208</v>
      </c>
      <c r="R269" s="4" t="s">
        <v>758</v>
      </c>
      <c r="S269" s="5">
        <v>64709600</v>
      </c>
    </row>
    <row r="270" spans="1:19" x14ac:dyDescent="0.25">
      <c r="A270" s="4" t="s">
        <v>61</v>
      </c>
      <c r="B270" s="4" t="s">
        <v>59</v>
      </c>
      <c r="C270" s="4" t="s">
        <v>62</v>
      </c>
      <c r="D270" s="4" t="s">
        <v>63</v>
      </c>
      <c r="E270" s="4" t="s">
        <v>118</v>
      </c>
      <c r="F270" s="4" t="s">
        <v>119</v>
      </c>
      <c r="G270" s="4" t="s">
        <v>100</v>
      </c>
      <c r="H270" s="4" t="s">
        <v>26</v>
      </c>
      <c r="I270" s="5">
        <v>65000000</v>
      </c>
      <c r="J270" s="5">
        <v>35700</v>
      </c>
      <c r="K270" s="5">
        <v>3570</v>
      </c>
      <c r="L270" s="4" t="s">
        <v>120</v>
      </c>
      <c r="M270" s="4" t="s">
        <v>121</v>
      </c>
      <c r="N270" s="3">
        <v>45874</v>
      </c>
      <c r="O270" s="4" t="s">
        <v>283</v>
      </c>
      <c r="P270" s="2">
        <v>1000</v>
      </c>
      <c r="Q270" s="2">
        <v>1211</v>
      </c>
      <c r="R270" s="4" t="s">
        <v>768</v>
      </c>
      <c r="S270" s="5">
        <v>63851150</v>
      </c>
    </row>
    <row r="271" spans="1:19" x14ac:dyDescent="0.25">
      <c r="A271" s="4" t="s">
        <v>61</v>
      </c>
      <c r="B271" s="4" t="s">
        <v>59</v>
      </c>
      <c r="C271" s="4" t="s">
        <v>62</v>
      </c>
      <c r="D271" s="4" t="s">
        <v>63</v>
      </c>
      <c r="E271" s="4" t="s">
        <v>553</v>
      </c>
      <c r="F271" s="4" t="s">
        <v>554</v>
      </c>
      <c r="G271" s="4" t="s">
        <v>71</v>
      </c>
      <c r="H271" s="4" t="s">
        <v>26</v>
      </c>
      <c r="I271" s="5">
        <v>155000000</v>
      </c>
      <c r="J271" s="5">
        <v>512000</v>
      </c>
      <c r="K271" s="5">
        <v>51200</v>
      </c>
      <c r="L271" s="4" t="s">
        <v>555</v>
      </c>
      <c r="M271" s="4" t="s">
        <v>556</v>
      </c>
      <c r="N271" s="3">
        <v>45878</v>
      </c>
      <c r="O271" s="4" t="s">
        <v>605</v>
      </c>
      <c r="P271" s="2">
        <v>1000</v>
      </c>
      <c r="Q271" s="2">
        <v>1212</v>
      </c>
      <c r="R271" s="4" t="s">
        <v>26</v>
      </c>
      <c r="S271" s="5">
        <v>154240000</v>
      </c>
    </row>
    <row r="272" spans="1:19" x14ac:dyDescent="0.25">
      <c r="A272" s="4" t="s">
        <v>61</v>
      </c>
      <c r="B272" s="4" t="s">
        <v>59</v>
      </c>
      <c r="C272" s="4" t="s">
        <v>62</v>
      </c>
      <c r="D272" s="4" t="s">
        <v>63</v>
      </c>
      <c r="E272" s="4" t="s">
        <v>502</v>
      </c>
      <c r="F272" s="4" t="s">
        <v>503</v>
      </c>
      <c r="G272" s="4" t="s">
        <v>81</v>
      </c>
      <c r="H272" s="4" t="s">
        <v>26</v>
      </c>
      <c r="I272" s="5">
        <v>65000000</v>
      </c>
      <c r="J272" s="5">
        <v>890000</v>
      </c>
      <c r="K272" s="5">
        <v>89000</v>
      </c>
      <c r="L272" s="4" t="s">
        <v>145</v>
      </c>
      <c r="M272" s="4" t="s">
        <v>146</v>
      </c>
      <c r="N272" s="3">
        <v>45883</v>
      </c>
      <c r="O272" s="4" t="s">
        <v>681</v>
      </c>
      <c r="P272" s="2">
        <v>1000</v>
      </c>
      <c r="Q272" s="2">
        <v>1221</v>
      </c>
      <c r="R272" s="4" t="s">
        <v>770</v>
      </c>
      <c r="S272" s="5">
        <v>61995300</v>
      </c>
    </row>
    <row r="273" spans="1:19" x14ac:dyDescent="0.25">
      <c r="A273" s="4" t="s">
        <v>61</v>
      </c>
      <c r="B273" s="4" t="s">
        <v>59</v>
      </c>
      <c r="C273" s="4" t="s">
        <v>62</v>
      </c>
      <c r="D273" s="4" t="s">
        <v>63</v>
      </c>
      <c r="E273" s="4" t="s">
        <v>422</v>
      </c>
      <c r="F273" s="4" t="s">
        <v>423</v>
      </c>
      <c r="G273" s="4" t="s">
        <v>124</v>
      </c>
      <c r="H273" s="4" t="s">
        <v>26</v>
      </c>
      <c r="I273" s="5">
        <v>65000000</v>
      </c>
      <c r="J273" s="5">
        <v>360000</v>
      </c>
      <c r="K273" s="5">
        <v>36000</v>
      </c>
      <c r="L273" s="4" t="s">
        <v>26</v>
      </c>
      <c r="M273" s="4" t="s">
        <v>26</v>
      </c>
      <c r="N273" s="3">
        <v>45881</v>
      </c>
      <c r="O273" s="4" t="s">
        <v>698</v>
      </c>
      <c r="P273" s="2">
        <v>1000</v>
      </c>
      <c r="Q273" s="2">
        <v>1236</v>
      </c>
      <c r="R273" s="4" t="s">
        <v>766</v>
      </c>
      <c r="S273" s="5">
        <v>63183000</v>
      </c>
    </row>
    <row r="274" spans="1:19" x14ac:dyDescent="0.25">
      <c r="A274" s="4" t="s">
        <v>61</v>
      </c>
      <c r="B274" s="4" t="s">
        <v>59</v>
      </c>
      <c r="C274" s="4" t="s">
        <v>62</v>
      </c>
      <c r="D274" s="4" t="s">
        <v>63</v>
      </c>
      <c r="E274" s="4" t="s">
        <v>422</v>
      </c>
      <c r="F274" s="4" t="s">
        <v>423</v>
      </c>
      <c r="G274" s="4" t="s">
        <v>124</v>
      </c>
      <c r="H274" s="4" t="s">
        <v>26</v>
      </c>
      <c r="I274" s="5">
        <v>65000000</v>
      </c>
      <c r="J274" s="5">
        <v>140000</v>
      </c>
      <c r="K274" s="5">
        <v>14000</v>
      </c>
      <c r="L274" s="4" t="s">
        <v>26</v>
      </c>
      <c r="M274" s="4" t="s">
        <v>26</v>
      </c>
      <c r="N274" s="3">
        <v>45881</v>
      </c>
      <c r="O274" s="4" t="s">
        <v>698</v>
      </c>
      <c r="P274" s="2">
        <v>2000</v>
      </c>
      <c r="Q274" s="2">
        <v>1236</v>
      </c>
      <c r="R274" s="4" t="s">
        <v>766</v>
      </c>
      <c r="S274" s="5">
        <v>63183000</v>
      </c>
    </row>
    <row r="275" spans="1:19" x14ac:dyDescent="0.25">
      <c r="A275" s="4" t="s">
        <v>61</v>
      </c>
      <c r="B275" s="4" t="s">
        <v>59</v>
      </c>
      <c r="C275" s="4" t="s">
        <v>62</v>
      </c>
      <c r="D275" s="4" t="s">
        <v>63</v>
      </c>
      <c r="E275" s="4" t="s">
        <v>79</v>
      </c>
      <c r="F275" s="4" t="s">
        <v>80</v>
      </c>
      <c r="G275" s="4" t="s">
        <v>81</v>
      </c>
      <c r="H275" s="4" t="s">
        <v>26</v>
      </c>
      <c r="I275" s="5">
        <v>65000000</v>
      </c>
      <c r="J275" s="5">
        <v>630000</v>
      </c>
      <c r="K275" s="5">
        <v>63000</v>
      </c>
      <c r="L275" s="4" t="s">
        <v>82</v>
      </c>
      <c r="M275" s="4" t="s">
        <v>83</v>
      </c>
      <c r="N275" s="3">
        <v>45872</v>
      </c>
      <c r="O275" s="4" t="s">
        <v>51</v>
      </c>
      <c r="P275" s="2">
        <v>1000</v>
      </c>
      <c r="Q275" s="2">
        <v>1239</v>
      </c>
      <c r="R275" s="4" t="s">
        <v>84</v>
      </c>
      <c r="S275" s="5">
        <v>61690700</v>
      </c>
    </row>
    <row r="276" spans="1:19" x14ac:dyDescent="0.25">
      <c r="A276" s="4" t="s">
        <v>61</v>
      </c>
      <c r="B276" s="4" t="s">
        <v>59</v>
      </c>
      <c r="C276" s="4" t="s">
        <v>62</v>
      </c>
      <c r="D276" s="4" t="s">
        <v>63</v>
      </c>
      <c r="E276" s="4" t="s">
        <v>255</v>
      </c>
      <c r="F276" s="4" t="s">
        <v>256</v>
      </c>
      <c r="G276" s="4" t="s">
        <v>144</v>
      </c>
      <c r="H276" s="4" t="s">
        <v>26</v>
      </c>
      <c r="I276" s="5">
        <v>90000000</v>
      </c>
      <c r="J276" s="5">
        <v>88000</v>
      </c>
      <c r="K276" s="5">
        <v>8800</v>
      </c>
      <c r="L276" s="4" t="s">
        <v>281</v>
      </c>
      <c r="M276" s="4" t="s">
        <v>282</v>
      </c>
      <c r="N276" s="3">
        <v>45874</v>
      </c>
      <c r="O276" s="4" t="s">
        <v>283</v>
      </c>
      <c r="P276" s="2">
        <v>1000</v>
      </c>
      <c r="Q276" s="2">
        <v>1251</v>
      </c>
      <c r="R276" s="4" t="s">
        <v>755</v>
      </c>
      <c r="S276" s="5">
        <v>81505500</v>
      </c>
    </row>
    <row r="277" spans="1:19" x14ac:dyDescent="0.25">
      <c r="A277" s="4" t="s">
        <v>61</v>
      </c>
      <c r="B277" s="4" t="s">
        <v>59</v>
      </c>
      <c r="C277" s="4" t="s">
        <v>62</v>
      </c>
      <c r="D277" s="4" t="s">
        <v>63</v>
      </c>
      <c r="E277" s="4" t="s">
        <v>498</v>
      </c>
      <c r="F277" s="4" t="s">
        <v>499</v>
      </c>
      <c r="G277" s="4" t="s">
        <v>144</v>
      </c>
      <c r="H277" s="4" t="s">
        <v>26</v>
      </c>
      <c r="I277" s="5">
        <v>90000000</v>
      </c>
      <c r="J277" s="5">
        <v>890000</v>
      </c>
      <c r="K277" s="5">
        <v>89000</v>
      </c>
      <c r="L277" s="4" t="s">
        <v>500</v>
      </c>
      <c r="M277" s="4" t="s">
        <v>501</v>
      </c>
      <c r="N277" s="3">
        <v>45877</v>
      </c>
      <c r="O277" s="4" t="s">
        <v>663</v>
      </c>
      <c r="P277" s="2">
        <v>1000</v>
      </c>
      <c r="Q277" s="2">
        <v>1279</v>
      </c>
      <c r="R277" s="4" t="s">
        <v>746</v>
      </c>
      <c r="S277" s="5">
        <v>84861850</v>
      </c>
    </row>
    <row r="278" spans="1:19" x14ac:dyDescent="0.25">
      <c r="A278" s="4" t="s">
        <v>61</v>
      </c>
      <c r="B278" s="4" t="s">
        <v>59</v>
      </c>
      <c r="C278" s="4" t="s">
        <v>62</v>
      </c>
      <c r="D278" s="4" t="s">
        <v>63</v>
      </c>
      <c r="E278" s="4" t="s">
        <v>142</v>
      </c>
      <c r="F278" s="4" t="s">
        <v>143</v>
      </c>
      <c r="G278" s="4" t="s">
        <v>144</v>
      </c>
      <c r="H278" s="4" t="s">
        <v>26</v>
      </c>
      <c r="I278" s="5">
        <v>90000000</v>
      </c>
      <c r="J278" s="5">
        <v>175000</v>
      </c>
      <c r="K278" s="5">
        <v>17500</v>
      </c>
      <c r="L278" s="4" t="s">
        <v>145</v>
      </c>
      <c r="M278" s="4" t="s">
        <v>146</v>
      </c>
      <c r="N278" s="3">
        <v>45874</v>
      </c>
      <c r="O278" s="4" t="s">
        <v>532</v>
      </c>
      <c r="P278" s="2">
        <v>1000</v>
      </c>
      <c r="Q278" s="2">
        <v>1280</v>
      </c>
      <c r="R278" s="4" t="s">
        <v>26</v>
      </c>
      <c r="S278" s="5">
        <v>83720070</v>
      </c>
    </row>
    <row r="279" spans="1:19" x14ac:dyDescent="0.25">
      <c r="A279" s="4" t="s">
        <v>61</v>
      </c>
      <c r="B279" s="4" t="s">
        <v>59</v>
      </c>
      <c r="C279" s="4" t="s">
        <v>62</v>
      </c>
      <c r="D279" s="4" t="s">
        <v>63</v>
      </c>
      <c r="E279" s="4" t="s">
        <v>142</v>
      </c>
      <c r="F279" s="4" t="s">
        <v>143</v>
      </c>
      <c r="G279" s="4" t="s">
        <v>144</v>
      </c>
      <c r="H279" s="4" t="s">
        <v>26</v>
      </c>
      <c r="I279" s="5">
        <v>90000000</v>
      </c>
      <c r="J279" s="5">
        <v>219000</v>
      </c>
      <c r="K279" s="5">
        <v>21900</v>
      </c>
      <c r="L279" s="4" t="s">
        <v>145</v>
      </c>
      <c r="M279" s="4" t="s">
        <v>146</v>
      </c>
      <c r="N279" s="3">
        <v>45874</v>
      </c>
      <c r="O279" s="4" t="s">
        <v>532</v>
      </c>
      <c r="P279" s="2">
        <v>2000</v>
      </c>
      <c r="Q279" s="2">
        <v>1280</v>
      </c>
      <c r="R279" s="4" t="s">
        <v>26</v>
      </c>
      <c r="S279" s="5">
        <v>83720070</v>
      </c>
    </row>
    <row r="280" spans="1:19" x14ac:dyDescent="0.25">
      <c r="A280" s="4" t="s">
        <v>61</v>
      </c>
      <c r="B280" s="4" t="s">
        <v>59</v>
      </c>
      <c r="C280" s="4" t="s">
        <v>62</v>
      </c>
      <c r="D280" s="4" t="s">
        <v>63</v>
      </c>
      <c r="E280" s="4" t="s">
        <v>142</v>
      </c>
      <c r="F280" s="4" t="s">
        <v>143</v>
      </c>
      <c r="G280" s="4" t="s">
        <v>144</v>
      </c>
      <c r="H280" s="4" t="s">
        <v>26</v>
      </c>
      <c r="I280" s="5">
        <v>90000000</v>
      </c>
      <c r="J280" s="5">
        <v>99000</v>
      </c>
      <c r="K280" s="5">
        <v>9900</v>
      </c>
      <c r="L280" s="4" t="s">
        <v>145</v>
      </c>
      <c r="M280" s="4" t="s">
        <v>146</v>
      </c>
      <c r="N280" s="3">
        <v>45874</v>
      </c>
      <c r="O280" s="4" t="s">
        <v>532</v>
      </c>
      <c r="P280" s="2">
        <v>3000</v>
      </c>
      <c r="Q280" s="2">
        <v>1280</v>
      </c>
      <c r="R280" s="4" t="s">
        <v>26</v>
      </c>
      <c r="S280" s="5">
        <v>83720070</v>
      </c>
    </row>
    <row r="281" spans="1:19" x14ac:dyDescent="0.25">
      <c r="A281" s="4" t="s">
        <v>61</v>
      </c>
      <c r="B281" s="4" t="s">
        <v>59</v>
      </c>
      <c r="C281" s="4" t="s">
        <v>62</v>
      </c>
      <c r="D281" s="4" t="s">
        <v>63</v>
      </c>
      <c r="E281" s="4" t="s">
        <v>170</v>
      </c>
      <c r="F281" s="4" t="s">
        <v>171</v>
      </c>
      <c r="G281" s="4" t="s">
        <v>50</v>
      </c>
      <c r="H281" s="4" t="s">
        <v>26</v>
      </c>
      <c r="I281" s="5">
        <v>65000000</v>
      </c>
      <c r="J281" s="5">
        <v>38500</v>
      </c>
      <c r="K281" s="5">
        <v>3850</v>
      </c>
      <c r="L281" s="4" t="s">
        <v>172</v>
      </c>
      <c r="M281" s="4" t="s">
        <v>173</v>
      </c>
      <c r="N281" s="3">
        <v>45872</v>
      </c>
      <c r="O281" s="4" t="s">
        <v>154</v>
      </c>
      <c r="P281" s="2">
        <v>1000</v>
      </c>
      <c r="Q281" s="2">
        <v>1304</v>
      </c>
      <c r="R281" s="4" t="s">
        <v>755</v>
      </c>
      <c r="S281" s="5">
        <v>59051100</v>
      </c>
    </row>
    <row r="282" spans="1:19" x14ac:dyDescent="0.25">
      <c r="A282" s="4" t="s">
        <v>61</v>
      </c>
      <c r="B282" s="4" t="s">
        <v>59</v>
      </c>
      <c r="C282" s="4" t="s">
        <v>62</v>
      </c>
      <c r="D282" s="4" t="s">
        <v>63</v>
      </c>
      <c r="E282" s="4" t="s">
        <v>170</v>
      </c>
      <c r="F282" s="4" t="s">
        <v>171</v>
      </c>
      <c r="G282" s="4" t="s">
        <v>50</v>
      </c>
      <c r="H282" s="4" t="s">
        <v>26</v>
      </c>
      <c r="I282" s="5">
        <v>65000000</v>
      </c>
      <c r="J282" s="5">
        <v>15400</v>
      </c>
      <c r="K282" s="5">
        <v>1540</v>
      </c>
      <c r="L282" s="4" t="s">
        <v>172</v>
      </c>
      <c r="M282" s="4" t="s">
        <v>173</v>
      </c>
      <c r="N282" s="3">
        <v>45872</v>
      </c>
      <c r="O282" s="4" t="s">
        <v>154</v>
      </c>
      <c r="P282" s="2">
        <v>2000</v>
      </c>
      <c r="Q282" s="2">
        <v>1304</v>
      </c>
      <c r="R282" s="4" t="s">
        <v>755</v>
      </c>
      <c r="S282" s="5">
        <v>59051100</v>
      </c>
    </row>
    <row r="283" spans="1:19" x14ac:dyDescent="0.25">
      <c r="A283" s="4" t="s">
        <v>61</v>
      </c>
      <c r="B283" s="4" t="s">
        <v>59</v>
      </c>
      <c r="C283" s="4" t="s">
        <v>62</v>
      </c>
      <c r="D283" s="4" t="s">
        <v>63</v>
      </c>
      <c r="E283" s="4" t="s">
        <v>170</v>
      </c>
      <c r="F283" s="4" t="s">
        <v>171</v>
      </c>
      <c r="G283" s="4" t="s">
        <v>50</v>
      </c>
      <c r="H283" s="4" t="s">
        <v>26</v>
      </c>
      <c r="I283" s="5">
        <v>65000000</v>
      </c>
      <c r="J283" s="5">
        <v>7700</v>
      </c>
      <c r="K283" s="5">
        <v>770</v>
      </c>
      <c r="L283" s="4" t="s">
        <v>172</v>
      </c>
      <c r="M283" s="4" t="s">
        <v>173</v>
      </c>
      <c r="N283" s="3">
        <v>45872</v>
      </c>
      <c r="O283" s="4" t="s">
        <v>154</v>
      </c>
      <c r="P283" s="2">
        <v>3000</v>
      </c>
      <c r="Q283" s="2">
        <v>1304</v>
      </c>
      <c r="R283" s="4" t="s">
        <v>755</v>
      </c>
      <c r="S283" s="5">
        <v>59051100</v>
      </c>
    </row>
    <row r="284" spans="1:19" x14ac:dyDescent="0.25">
      <c r="A284" s="4" t="s">
        <v>61</v>
      </c>
      <c r="B284" s="4" t="s">
        <v>59</v>
      </c>
      <c r="C284" s="4" t="s">
        <v>62</v>
      </c>
      <c r="D284" s="4" t="s">
        <v>63</v>
      </c>
      <c r="E284" s="4" t="s">
        <v>310</v>
      </c>
      <c r="F284" s="4" t="s">
        <v>311</v>
      </c>
      <c r="G284" s="4" t="s">
        <v>190</v>
      </c>
      <c r="H284" s="4" t="s">
        <v>26</v>
      </c>
      <c r="I284" s="5">
        <v>90000000</v>
      </c>
      <c r="J284" s="5">
        <v>1019400</v>
      </c>
      <c r="K284" s="5">
        <v>101940</v>
      </c>
      <c r="L284" s="4" t="s">
        <v>627</v>
      </c>
      <c r="M284" s="4" t="s">
        <v>628</v>
      </c>
      <c r="N284" s="3">
        <v>45881</v>
      </c>
      <c r="O284" s="4" t="s">
        <v>626</v>
      </c>
      <c r="P284" s="2">
        <v>1000</v>
      </c>
      <c r="Q284" s="2">
        <v>1305</v>
      </c>
      <c r="R284" s="4" t="s">
        <v>753</v>
      </c>
      <c r="S284" s="5">
        <v>86184030</v>
      </c>
    </row>
    <row r="285" spans="1:19" x14ac:dyDescent="0.25">
      <c r="A285" s="4" t="s">
        <v>61</v>
      </c>
      <c r="B285" s="4" t="s">
        <v>59</v>
      </c>
      <c r="C285" s="4" t="s">
        <v>62</v>
      </c>
      <c r="D285" s="4" t="s">
        <v>63</v>
      </c>
      <c r="E285" s="4" t="s">
        <v>238</v>
      </c>
      <c r="F285" s="4" t="s">
        <v>239</v>
      </c>
      <c r="G285" s="4" t="s">
        <v>190</v>
      </c>
      <c r="H285" s="4" t="s">
        <v>26</v>
      </c>
      <c r="I285" s="5">
        <v>90000000</v>
      </c>
      <c r="J285" s="5">
        <v>54000</v>
      </c>
      <c r="K285" s="5">
        <v>5400</v>
      </c>
      <c r="L285" s="4" t="s">
        <v>240</v>
      </c>
      <c r="M285" s="4" t="s">
        <v>241</v>
      </c>
      <c r="N285" s="3">
        <v>45873</v>
      </c>
      <c r="O285" s="4" t="s">
        <v>459</v>
      </c>
      <c r="P285" s="2">
        <v>1000</v>
      </c>
      <c r="Q285" s="2">
        <v>1318</v>
      </c>
      <c r="R285" s="4" t="s">
        <v>747</v>
      </c>
      <c r="S285" s="5">
        <v>88561500</v>
      </c>
    </row>
    <row r="286" spans="1:19" x14ac:dyDescent="0.25">
      <c r="A286" s="4" t="s">
        <v>61</v>
      </c>
      <c r="B286" s="4" t="s">
        <v>59</v>
      </c>
      <c r="C286" s="4" t="s">
        <v>62</v>
      </c>
      <c r="D286" s="4" t="s">
        <v>63</v>
      </c>
      <c r="E286" s="4" t="s">
        <v>95</v>
      </c>
      <c r="F286" s="4" t="s">
        <v>96</v>
      </c>
      <c r="G286" s="4" t="s">
        <v>97</v>
      </c>
      <c r="H286" s="4" t="s">
        <v>26</v>
      </c>
      <c r="I286" s="5">
        <v>155000000</v>
      </c>
      <c r="J286" s="5">
        <v>49500</v>
      </c>
      <c r="K286" s="5">
        <v>4950</v>
      </c>
      <c r="L286" s="4" t="s">
        <v>26</v>
      </c>
      <c r="M286" s="4" t="s">
        <v>26</v>
      </c>
      <c r="N286" s="3">
        <v>45873</v>
      </c>
      <c r="O286" s="4" t="s">
        <v>459</v>
      </c>
      <c r="P286" s="2">
        <v>1000</v>
      </c>
      <c r="Q286" s="2">
        <v>1319</v>
      </c>
      <c r="R286" s="4" t="s">
        <v>747</v>
      </c>
      <c r="S286" s="5">
        <v>154473500</v>
      </c>
    </row>
    <row r="287" spans="1:19" x14ac:dyDescent="0.25">
      <c r="A287" s="4" t="s">
        <v>61</v>
      </c>
      <c r="B287" s="4" t="s">
        <v>59</v>
      </c>
      <c r="C287" s="4" t="s">
        <v>62</v>
      </c>
      <c r="D287" s="4" t="s">
        <v>63</v>
      </c>
      <c r="E287" s="4" t="s">
        <v>95</v>
      </c>
      <c r="F287" s="4" t="s">
        <v>96</v>
      </c>
      <c r="G287" s="4" t="s">
        <v>97</v>
      </c>
      <c r="H287" s="4" t="s">
        <v>26</v>
      </c>
      <c r="I287" s="5">
        <v>155000000</v>
      </c>
      <c r="J287" s="5">
        <v>40500</v>
      </c>
      <c r="K287" s="5">
        <v>4050</v>
      </c>
      <c r="L287" s="4" t="s">
        <v>26</v>
      </c>
      <c r="M287" s="4" t="s">
        <v>26</v>
      </c>
      <c r="N287" s="3">
        <v>45873</v>
      </c>
      <c r="O287" s="4" t="s">
        <v>459</v>
      </c>
      <c r="P287" s="2">
        <v>2000</v>
      </c>
      <c r="Q287" s="2">
        <v>1319</v>
      </c>
      <c r="R287" s="4" t="s">
        <v>747</v>
      </c>
      <c r="S287" s="5">
        <v>154473500</v>
      </c>
    </row>
    <row r="288" spans="1:19" x14ac:dyDescent="0.25">
      <c r="A288" s="4" t="s">
        <v>61</v>
      </c>
      <c r="B288" s="4" t="s">
        <v>59</v>
      </c>
      <c r="C288" s="4" t="s">
        <v>62</v>
      </c>
      <c r="D288" s="4" t="s">
        <v>63</v>
      </c>
      <c r="E288" s="4" t="s">
        <v>255</v>
      </c>
      <c r="F288" s="4" t="s">
        <v>256</v>
      </c>
      <c r="G288" s="4" t="s">
        <v>144</v>
      </c>
      <c r="H288" s="4" t="s">
        <v>26</v>
      </c>
      <c r="I288" s="5">
        <v>90000000</v>
      </c>
      <c r="J288" s="5">
        <v>215000</v>
      </c>
      <c r="K288" s="5">
        <v>21500</v>
      </c>
      <c r="L288" s="4" t="s">
        <v>402</v>
      </c>
      <c r="M288" s="4" t="s">
        <v>403</v>
      </c>
      <c r="N288" s="3">
        <v>45874</v>
      </c>
      <c r="O288" s="4" t="s">
        <v>532</v>
      </c>
      <c r="P288" s="2">
        <v>1000</v>
      </c>
      <c r="Q288" s="2">
        <v>1346</v>
      </c>
      <c r="R288" s="4" t="s">
        <v>749</v>
      </c>
      <c r="S288" s="5">
        <v>81505500</v>
      </c>
    </row>
    <row r="289" spans="1:19" x14ac:dyDescent="0.25">
      <c r="A289" s="4" t="s">
        <v>61</v>
      </c>
      <c r="B289" s="4" t="s">
        <v>59</v>
      </c>
      <c r="C289" s="4" t="s">
        <v>62</v>
      </c>
      <c r="D289" s="4" t="s">
        <v>63</v>
      </c>
      <c r="E289" s="4" t="s">
        <v>118</v>
      </c>
      <c r="F289" s="4" t="s">
        <v>119</v>
      </c>
      <c r="G289" s="4" t="s">
        <v>100</v>
      </c>
      <c r="H289" s="4" t="s">
        <v>26</v>
      </c>
      <c r="I289" s="5">
        <v>65000000</v>
      </c>
      <c r="J289" s="5">
        <v>63750</v>
      </c>
      <c r="K289" s="5">
        <v>6375</v>
      </c>
      <c r="L289" s="4" t="s">
        <v>26</v>
      </c>
      <c r="M289" s="4" t="s">
        <v>26</v>
      </c>
      <c r="N289" s="3">
        <v>45874</v>
      </c>
      <c r="O289" s="4" t="s">
        <v>532</v>
      </c>
      <c r="P289" s="2">
        <v>1000</v>
      </c>
      <c r="Q289" s="2">
        <v>1363</v>
      </c>
      <c r="R289" s="4" t="s">
        <v>747</v>
      </c>
      <c r="S289" s="5">
        <v>63851150</v>
      </c>
    </row>
    <row r="290" spans="1:19" x14ac:dyDescent="0.25">
      <c r="A290" s="4" t="s">
        <v>61</v>
      </c>
      <c r="B290" s="4" t="s">
        <v>59</v>
      </c>
      <c r="C290" s="4" t="s">
        <v>62</v>
      </c>
      <c r="D290" s="4" t="s">
        <v>63</v>
      </c>
      <c r="E290" s="4" t="s">
        <v>92</v>
      </c>
      <c r="F290" s="4" t="s">
        <v>93</v>
      </c>
      <c r="G290" s="4" t="s">
        <v>94</v>
      </c>
      <c r="H290" s="4" t="s">
        <v>26</v>
      </c>
      <c r="I290" s="5">
        <v>155000000</v>
      </c>
      <c r="J290" s="5">
        <v>31200</v>
      </c>
      <c r="K290" s="5">
        <v>3120</v>
      </c>
      <c r="L290" s="4" t="s">
        <v>26</v>
      </c>
      <c r="M290" s="4" t="s">
        <v>26</v>
      </c>
      <c r="N290" s="3">
        <v>45873</v>
      </c>
      <c r="O290" s="4" t="s">
        <v>51</v>
      </c>
      <c r="P290" s="2">
        <v>1000</v>
      </c>
      <c r="Q290" s="2">
        <v>1381</v>
      </c>
      <c r="R290" s="4" t="s">
        <v>749</v>
      </c>
      <c r="S290" s="5">
        <v>145558700</v>
      </c>
    </row>
    <row r="291" spans="1:19" x14ac:dyDescent="0.25">
      <c r="A291" s="4" t="s">
        <v>61</v>
      </c>
      <c r="B291" s="4" t="s">
        <v>59</v>
      </c>
      <c r="C291" s="4" t="s">
        <v>62</v>
      </c>
      <c r="D291" s="4" t="s">
        <v>63</v>
      </c>
      <c r="E291" s="4" t="s">
        <v>92</v>
      </c>
      <c r="F291" s="4" t="s">
        <v>93</v>
      </c>
      <c r="G291" s="4" t="s">
        <v>94</v>
      </c>
      <c r="H291" s="4" t="s">
        <v>26</v>
      </c>
      <c r="I291" s="5">
        <v>155000000</v>
      </c>
      <c r="J291" s="5">
        <v>28000</v>
      </c>
      <c r="K291" s="5">
        <v>2800</v>
      </c>
      <c r="L291" s="4" t="s">
        <v>26</v>
      </c>
      <c r="M291" s="4" t="s">
        <v>26</v>
      </c>
      <c r="N291" s="3">
        <v>45873</v>
      </c>
      <c r="O291" s="4" t="s">
        <v>51</v>
      </c>
      <c r="P291" s="2">
        <v>2000</v>
      </c>
      <c r="Q291" s="2">
        <v>1381</v>
      </c>
      <c r="R291" s="4" t="s">
        <v>749</v>
      </c>
      <c r="S291" s="5">
        <v>145558700</v>
      </c>
    </row>
    <row r="292" spans="1:19" x14ac:dyDescent="0.25">
      <c r="A292" s="4" t="s">
        <v>61</v>
      </c>
      <c r="B292" s="4" t="s">
        <v>59</v>
      </c>
      <c r="C292" s="4" t="s">
        <v>62</v>
      </c>
      <c r="D292" s="4" t="s">
        <v>63</v>
      </c>
      <c r="E292" s="4" t="s">
        <v>69</v>
      </c>
      <c r="F292" s="4" t="s">
        <v>70</v>
      </c>
      <c r="G292" s="4" t="s">
        <v>71</v>
      </c>
      <c r="H292" s="4" t="s">
        <v>26</v>
      </c>
      <c r="I292" s="5">
        <v>155000000</v>
      </c>
      <c r="J292" s="5">
        <v>27300</v>
      </c>
      <c r="K292" s="5">
        <v>2730</v>
      </c>
      <c r="L292" s="4" t="s">
        <v>72</v>
      </c>
      <c r="M292" s="4" t="s">
        <v>73</v>
      </c>
      <c r="N292" s="3">
        <v>45873</v>
      </c>
      <c r="O292" s="4" t="s">
        <v>51</v>
      </c>
      <c r="P292" s="2">
        <v>1000</v>
      </c>
      <c r="Q292" s="2">
        <v>1388</v>
      </c>
      <c r="R292" s="4" t="s">
        <v>749</v>
      </c>
      <c r="S292" s="5">
        <v>143018000</v>
      </c>
    </row>
    <row r="293" spans="1:19" x14ac:dyDescent="0.25">
      <c r="A293" s="4" t="s">
        <v>61</v>
      </c>
      <c r="B293" s="4" t="s">
        <v>59</v>
      </c>
      <c r="C293" s="4" t="s">
        <v>62</v>
      </c>
      <c r="D293" s="4" t="s">
        <v>63</v>
      </c>
      <c r="E293" s="4" t="s">
        <v>79</v>
      </c>
      <c r="F293" s="4" t="s">
        <v>80</v>
      </c>
      <c r="G293" s="4" t="s">
        <v>81</v>
      </c>
      <c r="H293" s="4" t="s">
        <v>26</v>
      </c>
      <c r="I293" s="5">
        <v>65000000</v>
      </c>
      <c r="J293" s="5">
        <v>100100</v>
      </c>
      <c r="K293" s="5">
        <v>10010</v>
      </c>
      <c r="L293" s="4" t="s">
        <v>218</v>
      </c>
      <c r="M293" s="4" t="s">
        <v>219</v>
      </c>
      <c r="N293" s="3">
        <v>45872</v>
      </c>
      <c r="O293" s="4" t="s">
        <v>416</v>
      </c>
      <c r="P293" s="2">
        <v>1000</v>
      </c>
      <c r="Q293" s="2">
        <v>1388</v>
      </c>
      <c r="R293" s="4" t="s">
        <v>26</v>
      </c>
      <c r="S293" s="5">
        <v>61690700</v>
      </c>
    </row>
    <row r="294" spans="1:19" x14ac:dyDescent="0.25">
      <c r="A294" s="4" t="s">
        <v>61</v>
      </c>
      <c r="B294" s="4" t="s">
        <v>59</v>
      </c>
      <c r="C294" s="4" t="s">
        <v>62</v>
      </c>
      <c r="D294" s="4" t="s">
        <v>63</v>
      </c>
      <c r="E294" s="4" t="s">
        <v>103</v>
      </c>
      <c r="F294" s="4" t="s">
        <v>104</v>
      </c>
      <c r="G294" s="4" t="s">
        <v>105</v>
      </c>
      <c r="H294" s="4" t="s">
        <v>26</v>
      </c>
      <c r="I294" s="5">
        <v>155000000</v>
      </c>
      <c r="J294" s="5">
        <v>39200</v>
      </c>
      <c r="K294" s="5">
        <v>3920</v>
      </c>
      <c r="L294" s="4" t="s">
        <v>26</v>
      </c>
      <c r="M294" s="4" t="s">
        <v>26</v>
      </c>
      <c r="N294" s="3">
        <v>45873</v>
      </c>
      <c r="O294" s="4" t="s">
        <v>51</v>
      </c>
      <c r="P294" s="2">
        <v>1000</v>
      </c>
      <c r="Q294" s="2">
        <v>1392</v>
      </c>
      <c r="R294" s="4" t="s">
        <v>749</v>
      </c>
      <c r="S294" s="5">
        <v>150234500</v>
      </c>
    </row>
    <row r="295" spans="1:19" x14ac:dyDescent="0.25">
      <c r="A295" s="4" t="s">
        <v>61</v>
      </c>
      <c r="B295" s="4" t="s">
        <v>59</v>
      </c>
      <c r="C295" s="4" t="s">
        <v>62</v>
      </c>
      <c r="D295" s="4" t="s">
        <v>63</v>
      </c>
      <c r="E295" s="4" t="s">
        <v>92</v>
      </c>
      <c r="F295" s="4" t="s">
        <v>93</v>
      </c>
      <c r="G295" s="4" t="s">
        <v>94</v>
      </c>
      <c r="H295" s="4" t="s">
        <v>26</v>
      </c>
      <c r="I295" s="5">
        <v>155000000</v>
      </c>
      <c r="J295" s="5">
        <v>2574720</v>
      </c>
      <c r="K295" s="5">
        <v>257472</v>
      </c>
      <c r="L295" s="4" t="s">
        <v>647</v>
      </c>
      <c r="M295" s="4" t="s">
        <v>648</v>
      </c>
      <c r="N295" s="3">
        <v>45876</v>
      </c>
      <c r="O295" s="4" t="s">
        <v>642</v>
      </c>
      <c r="P295" s="2">
        <v>1000</v>
      </c>
      <c r="Q295" s="2">
        <v>1393</v>
      </c>
      <c r="R295" s="4" t="s">
        <v>760</v>
      </c>
      <c r="S295" s="5">
        <v>145558700</v>
      </c>
    </row>
    <row r="296" spans="1:19" x14ac:dyDescent="0.25">
      <c r="A296" s="4" t="s">
        <v>61</v>
      </c>
      <c r="B296" s="4" t="s">
        <v>59</v>
      </c>
      <c r="C296" s="4" t="s">
        <v>62</v>
      </c>
      <c r="D296" s="4" t="s">
        <v>63</v>
      </c>
      <c r="E296" s="4" t="s">
        <v>307</v>
      </c>
      <c r="F296" s="4" t="s">
        <v>308</v>
      </c>
      <c r="G296" s="4" t="s">
        <v>309</v>
      </c>
      <c r="H296" s="4" t="s">
        <v>26</v>
      </c>
      <c r="I296" s="5">
        <v>90000000</v>
      </c>
      <c r="J296" s="5">
        <v>273000</v>
      </c>
      <c r="K296" s="5">
        <v>27300</v>
      </c>
      <c r="L296" s="4" t="s">
        <v>541</v>
      </c>
      <c r="M296" s="4" t="s">
        <v>542</v>
      </c>
      <c r="N296" s="3">
        <v>45878</v>
      </c>
      <c r="O296" s="4" t="s">
        <v>663</v>
      </c>
      <c r="P296" s="2">
        <v>1000</v>
      </c>
      <c r="Q296" s="2">
        <v>1393</v>
      </c>
      <c r="R296" s="4" t="s">
        <v>752</v>
      </c>
      <c r="S296" s="5">
        <v>88166300</v>
      </c>
    </row>
    <row r="297" spans="1:19" x14ac:dyDescent="0.25">
      <c r="A297" s="4" t="s">
        <v>61</v>
      </c>
      <c r="B297" s="4" t="s">
        <v>59</v>
      </c>
      <c r="C297" s="4" t="s">
        <v>62</v>
      </c>
      <c r="D297" s="4" t="s">
        <v>63</v>
      </c>
      <c r="E297" s="4" t="s">
        <v>92</v>
      </c>
      <c r="F297" s="4" t="s">
        <v>93</v>
      </c>
      <c r="G297" s="4" t="s">
        <v>94</v>
      </c>
      <c r="H297" s="4" t="s">
        <v>26</v>
      </c>
      <c r="I297" s="5">
        <v>155000000</v>
      </c>
      <c r="J297" s="5">
        <v>2819880</v>
      </c>
      <c r="K297" s="5">
        <v>281988</v>
      </c>
      <c r="L297" s="4" t="s">
        <v>647</v>
      </c>
      <c r="M297" s="4" t="s">
        <v>648</v>
      </c>
      <c r="N297" s="3">
        <v>45876</v>
      </c>
      <c r="O297" s="4" t="s">
        <v>642</v>
      </c>
      <c r="P297" s="2">
        <v>2000</v>
      </c>
      <c r="Q297" s="2">
        <v>1393</v>
      </c>
      <c r="R297" s="4" t="s">
        <v>760</v>
      </c>
      <c r="S297" s="5">
        <v>145558700</v>
      </c>
    </row>
    <row r="298" spans="1:19" x14ac:dyDescent="0.25">
      <c r="A298" s="4" t="s">
        <v>61</v>
      </c>
      <c r="B298" s="4" t="s">
        <v>59</v>
      </c>
      <c r="C298" s="4" t="s">
        <v>62</v>
      </c>
      <c r="D298" s="4" t="s">
        <v>63</v>
      </c>
      <c r="E298" s="4" t="s">
        <v>307</v>
      </c>
      <c r="F298" s="4" t="s">
        <v>308</v>
      </c>
      <c r="G298" s="4" t="s">
        <v>309</v>
      </c>
      <c r="H298" s="4" t="s">
        <v>26</v>
      </c>
      <c r="I298" s="5">
        <v>90000000</v>
      </c>
      <c r="J298" s="5">
        <v>273000</v>
      </c>
      <c r="K298" s="5">
        <v>27300</v>
      </c>
      <c r="L298" s="4" t="s">
        <v>541</v>
      </c>
      <c r="M298" s="4" t="s">
        <v>542</v>
      </c>
      <c r="N298" s="3">
        <v>45878</v>
      </c>
      <c r="O298" s="4" t="s">
        <v>663</v>
      </c>
      <c r="P298" s="2">
        <v>2000</v>
      </c>
      <c r="Q298" s="2">
        <v>1393</v>
      </c>
      <c r="R298" s="4" t="s">
        <v>752</v>
      </c>
      <c r="S298" s="5">
        <v>88166300</v>
      </c>
    </row>
    <row r="299" spans="1:19" x14ac:dyDescent="0.25">
      <c r="A299" s="4" t="s">
        <v>61</v>
      </c>
      <c r="B299" s="4" t="s">
        <v>59</v>
      </c>
      <c r="C299" s="4" t="s">
        <v>62</v>
      </c>
      <c r="D299" s="4" t="s">
        <v>63</v>
      </c>
      <c r="E299" s="4" t="s">
        <v>310</v>
      </c>
      <c r="F299" s="4" t="s">
        <v>311</v>
      </c>
      <c r="G299" s="4" t="s">
        <v>190</v>
      </c>
      <c r="H299" s="4" t="s">
        <v>26</v>
      </c>
      <c r="I299" s="5">
        <v>90000000</v>
      </c>
      <c r="J299" s="5">
        <v>30000</v>
      </c>
      <c r="K299" s="5">
        <v>3000</v>
      </c>
      <c r="L299" s="4" t="s">
        <v>312</v>
      </c>
      <c r="M299" s="4" t="s">
        <v>313</v>
      </c>
      <c r="N299" s="3">
        <v>45875</v>
      </c>
      <c r="O299" s="4" t="s">
        <v>283</v>
      </c>
      <c r="P299" s="2">
        <v>1000</v>
      </c>
      <c r="Q299" s="2">
        <v>1419</v>
      </c>
      <c r="R299" s="4" t="s">
        <v>26</v>
      </c>
      <c r="S299" s="5">
        <v>86184030</v>
      </c>
    </row>
    <row r="300" spans="1:19" x14ac:dyDescent="0.25">
      <c r="A300" s="4" t="s">
        <v>61</v>
      </c>
      <c r="B300" s="4" t="s">
        <v>59</v>
      </c>
      <c r="C300" s="4" t="s">
        <v>62</v>
      </c>
      <c r="D300" s="4" t="s">
        <v>63</v>
      </c>
      <c r="E300" s="4" t="s">
        <v>69</v>
      </c>
      <c r="F300" s="4" t="s">
        <v>70</v>
      </c>
      <c r="G300" s="4" t="s">
        <v>71</v>
      </c>
      <c r="H300" s="4" t="s">
        <v>26</v>
      </c>
      <c r="I300" s="5">
        <v>155000000</v>
      </c>
      <c r="J300" s="5">
        <v>810000</v>
      </c>
      <c r="K300" s="5">
        <v>81000</v>
      </c>
      <c r="L300" s="4" t="s">
        <v>72</v>
      </c>
      <c r="M300" s="4" t="s">
        <v>73</v>
      </c>
      <c r="N300" s="3">
        <v>45885</v>
      </c>
      <c r="O300" s="4" t="s">
        <v>709</v>
      </c>
      <c r="P300" s="2">
        <v>1000</v>
      </c>
      <c r="Q300" s="2">
        <v>1426</v>
      </c>
      <c r="R300" s="4" t="s">
        <v>758</v>
      </c>
      <c r="S300" s="5">
        <v>143018000</v>
      </c>
    </row>
    <row r="301" spans="1:19" x14ac:dyDescent="0.25">
      <c r="A301" s="4" t="s">
        <v>61</v>
      </c>
      <c r="B301" s="4" t="s">
        <v>59</v>
      </c>
      <c r="C301" s="4" t="s">
        <v>62</v>
      </c>
      <c r="D301" s="4" t="s">
        <v>63</v>
      </c>
      <c r="E301" s="4" t="s">
        <v>69</v>
      </c>
      <c r="F301" s="4" t="s">
        <v>70</v>
      </c>
      <c r="G301" s="4" t="s">
        <v>71</v>
      </c>
      <c r="H301" s="4" t="s">
        <v>26</v>
      </c>
      <c r="I301" s="5">
        <v>155000000</v>
      </c>
      <c r="J301" s="5">
        <v>810000</v>
      </c>
      <c r="K301" s="5">
        <v>81000</v>
      </c>
      <c r="L301" s="4" t="s">
        <v>72</v>
      </c>
      <c r="M301" s="4" t="s">
        <v>73</v>
      </c>
      <c r="N301" s="3">
        <v>45885</v>
      </c>
      <c r="O301" s="4" t="s">
        <v>709</v>
      </c>
      <c r="P301" s="2">
        <v>2000</v>
      </c>
      <c r="Q301" s="2">
        <v>1426</v>
      </c>
      <c r="R301" s="4" t="s">
        <v>758</v>
      </c>
      <c r="S301" s="5">
        <v>143018000</v>
      </c>
    </row>
    <row r="302" spans="1:19" x14ac:dyDescent="0.25">
      <c r="A302" s="4" t="s">
        <v>61</v>
      </c>
      <c r="B302" s="4" t="s">
        <v>59</v>
      </c>
      <c r="C302" s="4" t="s">
        <v>62</v>
      </c>
      <c r="D302" s="4" t="s">
        <v>63</v>
      </c>
      <c r="E302" s="4" t="s">
        <v>69</v>
      </c>
      <c r="F302" s="4" t="s">
        <v>70</v>
      </c>
      <c r="G302" s="4" t="s">
        <v>71</v>
      </c>
      <c r="H302" s="4" t="s">
        <v>26</v>
      </c>
      <c r="I302" s="5">
        <v>155000000</v>
      </c>
      <c r="J302" s="5">
        <v>810000</v>
      </c>
      <c r="K302" s="5">
        <v>81000</v>
      </c>
      <c r="L302" s="4" t="s">
        <v>72</v>
      </c>
      <c r="M302" s="4" t="s">
        <v>73</v>
      </c>
      <c r="N302" s="3">
        <v>45885</v>
      </c>
      <c r="O302" s="4" t="s">
        <v>709</v>
      </c>
      <c r="P302" s="2">
        <v>3000</v>
      </c>
      <c r="Q302" s="2">
        <v>1426</v>
      </c>
      <c r="R302" s="4" t="s">
        <v>758</v>
      </c>
      <c r="S302" s="5">
        <v>143018000</v>
      </c>
    </row>
    <row r="303" spans="1:19" x14ac:dyDescent="0.25">
      <c r="A303" s="4" t="s">
        <v>61</v>
      </c>
      <c r="B303" s="4" t="s">
        <v>59</v>
      </c>
      <c r="C303" s="4" t="s">
        <v>62</v>
      </c>
      <c r="D303" s="4" t="s">
        <v>63</v>
      </c>
      <c r="E303" s="4" t="s">
        <v>69</v>
      </c>
      <c r="F303" s="4" t="s">
        <v>70</v>
      </c>
      <c r="G303" s="4" t="s">
        <v>71</v>
      </c>
      <c r="H303" s="4" t="s">
        <v>26</v>
      </c>
      <c r="I303" s="5">
        <v>155000000</v>
      </c>
      <c r="J303" s="5">
        <v>235630</v>
      </c>
      <c r="K303" s="5">
        <v>23563</v>
      </c>
      <c r="L303" s="4" t="s">
        <v>72</v>
      </c>
      <c r="M303" s="4" t="s">
        <v>73</v>
      </c>
      <c r="N303" s="3">
        <v>45885</v>
      </c>
      <c r="O303" s="4" t="s">
        <v>709</v>
      </c>
      <c r="P303" s="2">
        <v>4000</v>
      </c>
      <c r="Q303" s="2">
        <v>1426</v>
      </c>
      <c r="R303" s="4" t="s">
        <v>758</v>
      </c>
      <c r="S303" s="5">
        <v>143018000</v>
      </c>
    </row>
    <row r="304" spans="1:19" x14ac:dyDescent="0.25">
      <c r="A304" s="4" t="s">
        <v>61</v>
      </c>
      <c r="B304" s="4" t="s">
        <v>59</v>
      </c>
      <c r="C304" s="4" t="s">
        <v>62</v>
      </c>
      <c r="D304" s="4" t="s">
        <v>63</v>
      </c>
      <c r="E304" s="4" t="s">
        <v>69</v>
      </c>
      <c r="F304" s="4" t="s">
        <v>70</v>
      </c>
      <c r="G304" s="4" t="s">
        <v>71</v>
      </c>
      <c r="H304" s="4" t="s">
        <v>26</v>
      </c>
      <c r="I304" s="5">
        <v>155000000</v>
      </c>
      <c r="J304" s="5">
        <v>181140</v>
      </c>
      <c r="K304" s="5">
        <v>18114</v>
      </c>
      <c r="L304" s="4" t="s">
        <v>72</v>
      </c>
      <c r="M304" s="4" t="s">
        <v>73</v>
      </c>
      <c r="N304" s="3">
        <v>45885</v>
      </c>
      <c r="O304" s="4" t="s">
        <v>709</v>
      </c>
      <c r="P304" s="2">
        <v>5000</v>
      </c>
      <c r="Q304" s="2">
        <v>1426</v>
      </c>
      <c r="R304" s="4" t="s">
        <v>758</v>
      </c>
      <c r="S304" s="5">
        <v>143018000</v>
      </c>
    </row>
    <row r="305" spans="1:19" x14ac:dyDescent="0.25">
      <c r="A305" s="4" t="s">
        <v>61</v>
      </c>
      <c r="B305" s="4" t="s">
        <v>59</v>
      </c>
      <c r="C305" s="4" t="s">
        <v>62</v>
      </c>
      <c r="D305" s="4" t="s">
        <v>63</v>
      </c>
      <c r="E305" s="4" t="s">
        <v>293</v>
      </c>
      <c r="F305" s="4" t="s">
        <v>294</v>
      </c>
      <c r="G305" s="4" t="s">
        <v>100</v>
      </c>
      <c r="H305" s="4" t="s">
        <v>26</v>
      </c>
      <c r="I305" s="5">
        <v>65000000</v>
      </c>
      <c r="J305" s="5">
        <v>128000</v>
      </c>
      <c r="K305" s="5">
        <v>12800</v>
      </c>
      <c r="L305" s="4" t="s">
        <v>295</v>
      </c>
      <c r="M305" s="4" t="s">
        <v>296</v>
      </c>
      <c r="N305" s="3">
        <v>45875</v>
      </c>
      <c r="O305" s="4" t="s">
        <v>283</v>
      </c>
      <c r="P305" s="2">
        <v>1000</v>
      </c>
      <c r="Q305" s="2">
        <v>1427</v>
      </c>
      <c r="R305" s="4" t="s">
        <v>755</v>
      </c>
      <c r="S305" s="5">
        <v>63872000</v>
      </c>
    </row>
    <row r="306" spans="1:19" x14ac:dyDescent="0.25">
      <c r="A306" s="4" t="s">
        <v>61</v>
      </c>
      <c r="B306" s="4" t="s">
        <v>59</v>
      </c>
      <c r="C306" s="4" t="s">
        <v>62</v>
      </c>
      <c r="D306" s="4" t="s">
        <v>63</v>
      </c>
      <c r="E306" s="4" t="s">
        <v>229</v>
      </c>
      <c r="F306" s="4" t="s">
        <v>230</v>
      </c>
      <c r="G306" s="4" t="s">
        <v>231</v>
      </c>
      <c r="H306" s="4" t="s">
        <v>26</v>
      </c>
      <c r="I306" s="5">
        <v>110000000</v>
      </c>
      <c r="J306" s="5">
        <v>279810</v>
      </c>
      <c r="K306" s="5">
        <v>27981</v>
      </c>
      <c r="L306" s="4" t="s">
        <v>435</v>
      </c>
      <c r="M306" s="4" t="s">
        <v>436</v>
      </c>
      <c r="N306" s="3">
        <v>45882</v>
      </c>
      <c r="O306" s="4" t="s">
        <v>698</v>
      </c>
      <c r="P306" s="2">
        <v>1000</v>
      </c>
      <c r="Q306" s="2">
        <v>1427</v>
      </c>
      <c r="R306" s="4" t="s">
        <v>758</v>
      </c>
      <c r="S306" s="5">
        <v>108567750</v>
      </c>
    </row>
    <row r="307" spans="1:19" x14ac:dyDescent="0.25">
      <c r="A307" s="4" t="s">
        <v>61</v>
      </c>
      <c r="B307" s="4" t="s">
        <v>59</v>
      </c>
      <c r="C307" s="4" t="s">
        <v>62</v>
      </c>
      <c r="D307" s="4" t="s">
        <v>63</v>
      </c>
      <c r="E307" s="4" t="s">
        <v>229</v>
      </c>
      <c r="F307" s="4" t="s">
        <v>230</v>
      </c>
      <c r="G307" s="4" t="s">
        <v>231</v>
      </c>
      <c r="H307" s="4" t="s">
        <v>26</v>
      </c>
      <c r="I307" s="5">
        <v>110000000</v>
      </c>
      <c r="J307" s="5">
        <v>63000</v>
      </c>
      <c r="K307" s="5">
        <v>6300</v>
      </c>
      <c r="L307" s="4" t="s">
        <v>435</v>
      </c>
      <c r="M307" s="4" t="s">
        <v>436</v>
      </c>
      <c r="N307" s="3">
        <v>45882</v>
      </c>
      <c r="O307" s="4" t="s">
        <v>698</v>
      </c>
      <c r="P307" s="2">
        <v>2000</v>
      </c>
      <c r="Q307" s="2">
        <v>1427</v>
      </c>
      <c r="R307" s="4" t="s">
        <v>26</v>
      </c>
      <c r="S307" s="5">
        <v>108567750</v>
      </c>
    </row>
    <row r="308" spans="1:19" x14ac:dyDescent="0.25">
      <c r="A308" s="4" t="s">
        <v>61</v>
      </c>
      <c r="B308" s="4" t="s">
        <v>59</v>
      </c>
      <c r="C308" s="4" t="s">
        <v>62</v>
      </c>
      <c r="D308" s="4" t="s">
        <v>63</v>
      </c>
      <c r="E308" s="4" t="s">
        <v>229</v>
      </c>
      <c r="F308" s="4" t="s">
        <v>230</v>
      </c>
      <c r="G308" s="4" t="s">
        <v>231</v>
      </c>
      <c r="H308" s="4" t="s">
        <v>26</v>
      </c>
      <c r="I308" s="5">
        <v>110000000</v>
      </c>
      <c r="J308" s="5">
        <v>30000</v>
      </c>
      <c r="K308" s="5">
        <v>3000</v>
      </c>
      <c r="L308" s="4" t="s">
        <v>435</v>
      </c>
      <c r="M308" s="4" t="s">
        <v>436</v>
      </c>
      <c r="N308" s="3">
        <v>45882</v>
      </c>
      <c r="O308" s="4" t="s">
        <v>698</v>
      </c>
      <c r="P308" s="2">
        <v>3000</v>
      </c>
      <c r="Q308" s="2">
        <v>1427</v>
      </c>
      <c r="R308" s="4" t="s">
        <v>766</v>
      </c>
      <c r="S308" s="5">
        <v>108567750</v>
      </c>
    </row>
    <row r="309" spans="1:19" x14ac:dyDescent="0.25">
      <c r="A309" s="4" t="s">
        <v>61</v>
      </c>
      <c r="B309" s="4" t="s">
        <v>59</v>
      </c>
      <c r="C309" s="4" t="s">
        <v>62</v>
      </c>
      <c r="D309" s="4" t="s">
        <v>63</v>
      </c>
      <c r="E309" s="4" t="s">
        <v>210</v>
      </c>
      <c r="F309" s="4" t="s">
        <v>211</v>
      </c>
      <c r="G309" s="4" t="s">
        <v>50</v>
      </c>
      <c r="H309" s="4" t="s">
        <v>26</v>
      </c>
      <c r="I309" s="5">
        <v>65000000</v>
      </c>
      <c r="J309" s="5">
        <v>34000</v>
      </c>
      <c r="K309" s="5">
        <v>3400</v>
      </c>
      <c r="L309" s="4" t="s">
        <v>26</v>
      </c>
      <c r="M309" s="4" t="s">
        <v>26</v>
      </c>
      <c r="N309" s="3">
        <v>45875</v>
      </c>
      <c r="O309" s="4" t="s">
        <v>283</v>
      </c>
      <c r="P309" s="2">
        <v>1000</v>
      </c>
      <c r="Q309" s="2">
        <v>1429</v>
      </c>
      <c r="R309" s="4" t="s">
        <v>84</v>
      </c>
      <c r="S309" s="5">
        <v>63482950</v>
      </c>
    </row>
    <row r="310" spans="1:19" x14ac:dyDescent="0.25">
      <c r="A310" s="4" t="s">
        <v>61</v>
      </c>
      <c r="B310" s="4" t="s">
        <v>59</v>
      </c>
      <c r="C310" s="4" t="s">
        <v>62</v>
      </c>
      <c r="D310" s="4" t="s">
        <v>63</v>
      </c>
      <c r="E310" s="4" t="s">
        <v>174</v>
      </c>
      <c r="F310" s="4" t="s">
        <v>175</v>
      </c>
      <c r="G310" s="4" t="s">
        <v>50</v>
      </c>
      <c r="H310" s="4" t="s">
        <v>26</v>
      </c>
      <c r="I310" s="5">
        <v>65000000</v>
      </c>
      <c r="J310" s="5">
        <v>61600</v>
      </c>
      <c r="K310" s="5">
        <v>6160</v>
      </c>
      <c r="L310" s="4" t="s">
        <v>176</v>
      </c>
      <c r="M310" s="4" t="s">
        <v>177</v>
      </c>
      <c r="N310" s="3">
        <v>45872</v>
      </c>
      <c r="O310" s="4" t="s">
        <v>154</v>
      </c>
      <c r="P310" s="2">
        <v>1000</v>
      </c>
      <c r="Q310" s="2">
        <v>1430</v>
      </c>
      <c r="R310" s="4" t="s">
        <v>755</v>
      </c>
      <c r="S310" s="5">
        <v>63740700</v>
      </c>
    </row>
    <row r="311" spans="1:19" x14ac:dyDescent="0.25">
      <c r="A311" s="4" t="s">
        <v>61</v>
      </c>
      <c r="B311" s="4" t="s">
        <v>59</v>
      </c>
      <c r="C311" s="4" t="s">
        <v>62</v>
      </c>
      <c r="D311" s="4" t="s">
        <v>63</v>
      </c>
      <c r="E311" s="4" t="s">
        <v>92</v>
      </c>
      <c r="F311" s="4" t="s">
        <v>93</v>
      </c>
      <c r="G311" s="4" t="s">
        <v>94</v>
      </c>
      <c r="H311" s="4" t="s">
        <v>26</v>
      </c>
      <c r="I311" s="5">
        <v>155000000</v>
      </c>
      <c r="J311" s="5">
        <v>31200</v>
      </c>
      <c r="K311" s="5">
        <v>3120</v>
      </c>
      <c r="L311" s="4" t="s">
        <v>26</v>
      </c>
      <c r="M311" s="4" t="s">
        <v>26</v>
      </c>
      <c r="N311" s="3">
        <v>45873</v>
      </c>
      <c r="O311" s="4" t="s">
        <v>565</v>
      </c>
      <c r="P311" s="2">
        <v>1000</v>
      </c>
      <c r="Q311" s="2">
        <v>1434</v>
      </c>
      <c r="R311" s="4" t="s">
        <v>749</v>
      </c>
      <c r="S311" s="5">
        <v>145558700</v>
      </c>
    </row>
    <row r="312" spans="1:19" x14ac:dyDescent="0.25">
      <c r="A312" s="4" t="s">
        <v>61</v>
      </c>
      <c r="B312" s="4" t="s">
        <v>59</v>
      </c>
      <c r="C312" s="4" t="s">
        <v>62</v>
      </c>
      <c r="D312" s="4" t="s">
        <v>63</v>
      </c>
      <c r="E312" s="4" t="s">
        <v>204</v>
      </c>
      <c r="F312" s="4" t="s">
        <v>205</v>
      </c>
      <c r="G312" s="4" t="s">
        <v>144</v>
      </c>
      <c r="H312" s="4" t="s">
        <v>26</v>
      </c>
      <c r="I312" s="5">
        <v>90000000</v>
      </c>
      <c r="J312" s="5">
        <v>46200</v>
      </c>
      <c r="K312" s="5">
        <v>4620</v>
      </c>
      <c r="L312" s="4" t="s">
        <v>26</v>
      </c>
      <c r="M312" s="4" t="s">
        <v>26</v>
      </c>
      <c r="N312" s="3">
        <v>45875</v>
      </c>
      <c r="O312" s="4" t="s">
        <v>283</v>
      </c>
      <c r="P312" s="2">
        <v>1000</v>
      </c>
      <c r="Q312" s="2">
        <v>1436</v>
      </c>
      <c r="R312" s="4" t="s">
        <v>755</v>
      </c>
      <c r="S312" s="5">
        <v>80677900</v>
      </c>
    </row>
    <row r="313" spans="1:19" x14ac:dyDescent="0.25">
      <c r="A313" s="4" t="s">
        <v>61</v>
      </c>
      <c r="B313" s="4" t="s">
        <v>59</v>
      </c>
      <c r="C313" s="4" t="s">
        <v>62</v>
      </c>
      <c r="D313" s="4" t="s">
        <v>63</v>
      </c>
      <c r="E313" s="4" t="s">
        <v>204</v>
      </c>
      <c r="F313" s="4" t="s">
        <v>205</v>
      </c>
      <c r="G313" s="4" t="s">
        <v>144</v>
      </c>
      <c r="H313" s="4" t="s">
        <v>26</v>
      </c>
      <c r="I313" s="5">
        <v>90000000</v>
      </c>
      <c r="J313" s="5">
        <v>15400</v>
      </c>
      <c r="K313" s="5">
        <v>1540</v>
      </c>
      <c r="L313" s="4" t="s">
        <v>26</v>
      </c>
      <c r="M313" s="4" t="s">
        <v>26</v>
      </c>
      <c r="N313" s="3">
        <v>45875</v>
      </c>
      <c r="O313" s="4" t="s">
        <v>283</v>
      </c>
      <c r="P313" s="2">
        <v>2000</v>
      </c>
      <c r="Q313" s="2">
        <v>1436</v>
      </c>
      <c r="R313" s="4" t="s">
        <v>755</v>
      </c>
      <c r="S313" s="5">
        <v>80677900</v>
      </c>
    </row>
    <row r="314" spans="1:19" x14ac:dyDescent="0.25">
      <c r="A314" s="4" t="s">
        <v>61</v>
      </c>
      <c r="B314" s="4" t="s">
        <v>59</v>
      </c>
      <c r="C314" s="4" t="s">
        <v>62</v>
      </c>
      <c r="D314" s="4" t="s">
        <v>63</v>
      </c>
      <c r="E314" s="4" t="s">
        <v>69</v>
      </c>
      <c r="F314" s="4" t="s">
        <v>70</v>
      </c>
      <c r="G314" s="4" t="s">
        <v>71</v>
      </c>
      <c r="H314" s="4" t="s">
        <v>26</v>
      </c>
      <c r="I314" s="5">
        <v>155000000</v>
      </c>
      <c r="J314" s="5">
        <v>3790000</v>
      </c>
      <c r="K314" s="5">
        <v>379000</v>
      </c>
      <c r="L314" s="4" t="s">
        <v>72</v>
      </c>
      <c r="M314" s="4" t="s">
        <v>73</v>
      </c>
      <c r="N314" s="3">
        <v>45873</v>
      </c>
      <c r="O314" s="4" t="s">
        <v>719</v>
      </c>
      <c r="P314" s="2">
        <v>1000</v>
      </c>
      <c r="Q314" s="2">
        <v>1446</v>
      </c>
      <c r="R314" s="4" t="s">
        <v>761</v>
      </c>
      <c r="S314" s="5">
        <v>143018000</v>
      </c>
    </row>
    <row r="315" spans="1:19" x14ac:dyDescent="0.25">
      <c r="A315" s="4" t="s">
        <v>61</v>
      </c>
      <c r="B315" s="4" t="s">
        <v>59</v>
      </c>
      <c r="C315" s="4" t="s">
        <v>62</v>
      </c>
      <c r="D315" s="4" t="s">
        <v>63</v>
      </c>
      <c r="E315" s="4" t="s">
        <v>514</v>
      </c>
      <c r="F315" s="4" t="s">
        <v>515</v>
      </c>
      <c r="G315" s="4" t="s">
        <v>190</v>
      </c>
      <c r="H315" s="4" t="s">
        <v>26</v>
      </c>
      <c r="I315" s="5">
        <v>90000000</v>
      </c>
      <c r="J315" s="5">
        <v>276000</v>
      </c>
      <c r="K315" s="5">
        <v>27600</v>
      </c>
      <c r="L315" s="4" t="s">
        <v>516</v>
      </c>
      <c r="M315" s="4" t="s">
        <v>517</v>
      </c>
      <c r="N315" s="3">
        <v>45879</v>
      </c>
      <c r="O315" s="4" t="s">
        <v>587</v>
      </c>
      <c r="P315" s="2">
        <v>1000</v>
      </c>
      <c r="Q315" s="2">
        <v>1456</v>
      </c>
      <c r="R315" s="4" t="s">
        <v>756</v>
      </c>
      <c r="S315" s="5">
        <v>88751000</v>
      </c>
    </row>
    <row r="316" spans="1:19" x14ac:dyDescent="0.25">
      <c r="A316" s="4" t="s">
        <v>61</v>
      </c>
      <c r="B316" s="4" t="s">
        <v>59</v>
      </c>
      <c r="C316" s="4" t="s">
        <v>62</v>
      </c>
      <c r="D316" s="4" t="s">
        <v>63</v>
      </c>
      <c r="E316" s="4" t="s">
        <v>229</v>
      </c>
      <c r="F316" s="4" t="s">
        <v>230</v>
      </c>
      <c r="G316" s="4" t="s">
        <v>231</v>
      </c>
      <c r="H316" s="4" t="s">
        <v>26</v>
      </c>
      <c r="I316" s="5">
        <v>110000000</v>
      </c>
      <c r="J316" s="5">
        <v>50000</v>
      </c>
      <c r="K316" s="5">
        <v>5000</v>
      </c>
      <c r="L316" s="4" t="s">
        <v>26</v>
      </c>
      <c r="M316" s="4" t="s">
        <v>26</v>
      </c>
      <c r="N316" s="3">
        <v>45873</v>
      </c>
      <c r="O316" s="4" t="s">
        <v>459</v>
      </c>
      <c r="P316" s="2">
        <v>1000</v>
      </c>
      <c r="Q316" s="2">
        <v>1464</v>
      </c>
      <c r="R316" s="4" t="s">
        <v>26</v>
      </c>
      <c r="S316" s="5">
        <v>108567750</v>
      </c>
    </row>
    <row r="317" spans="1:19" x14ac:dyDescent="0.25">
      <c r="A317" s="4" t="s">
        <v>61</v>
      </c>
      <c r="B317" s="4" t="s">
        <v>59</v>
      </c>
      <c r="C317" s="4" t="s">
        <v>62</v>
      </c>
      <c r="D317" s="4" t="s">
        <v>63</v>
      </c>
      <c r="E317" s="4" t="s">
        <v>202</v>
      </c>
      <c r="F317" s="4" t="s">
        <v>203</v>
      </c>
      <c r="G317" s="4" t="s">
        <v>100</v>
      </c>
      <c r="H317" s="4" t="s">
        <v>26</v>
      </c>
      <c r="I317" s="5">
        <v>65000000</v>
      </c>
      <c r="J317" s="5">
        <v>60000</v>
      </c>
      <c r="K317" s="5">
        <v>6000</v>
      </c>
      <c r="L317" s="4" t="s">
        <v>480</v>
      </c>
      <c r="M317" s="4" t="s">
        <v>481</v>
      </c>
      <c r="N317" s="3">
        <v>45873</v>
      </c>
      <c r="O317" s="4" t="s">
        <v>459</v>
      </c>
      <c r="P317" s="2">
        <v>1000</v>
      </c>
      <c r="Q317" s="2">
        <v>1473</v>
      </c>
      <c r="R317" s="4" t="s">
        <v>26</v>
      </c>
      <c r="S317" s="5">
        <v>63226550</v>
      </c>
    </row>
    <row r="318" spans="1:19" x14ac:dyDescent="0.25">
      <c r="A318" s="4" t="s">
        <v>61</v>
      </c>
      <c r="B318" s="4" t="s">
        <v>59</v>
      </c>
      <c r="C318" s="4" t="s">
        <v>62</v>
      </c>
      <c r="D318" s="4" t="s">
        <v>63</v>
      </c>
      <c r="E318" s="4" t="s">
        <v>412</v>
      </c>
      <c r="F318" s="4" t="s">
        <v>413</v>
      </c>
      <c r="G318" s="4" t="s">
        <v>157</v>
      </c>
      <c r="H318" s="4" t="s">
        <v>26</v>
      </c>
      <c r="I318" s="5">
        <v>90000000</v>
      </c>
      <c r="J318" s="5">
        <v>31000</v>
      </c>
      <c r="K318" s="5">
        <v>3100</v>
      </c>
      <c r="L318" s="4" t="s">
        <v>414</v>
      </c>
      <c r="M318" s="4" t="s">
        <v>415</v>
      </c>
      <c r="N318" s="3">
        <v>45875</v>
      </c>
      <c r="O318" s="4" t="s">
        <v>532</v>
      </c>
      <c r="P318" s="2">
        <v>1000</v>
      </c>
      <c r="Q318" s="2">
        <v>1475</v>
      </c>
      <c r="R318" s="4" t="s">
        <v>749</v>
      </c>
      <c r="S318" s="5">
        <v>87613200</v>
      </c>
    </row>
    <row r="319" spans="1:19" x14ac:dyDescent="0.25">
      <c r="A319" s="4" t="s">
        <v>61</v>
      </c>
      <c r="B319" s="4" t="s">
        <v>59</v>
      </c>
      <c r="C319" s="4" t="s">
        <v>62</v>
      </c>
      <c r="D319" s="4" t="s">
        <v>63</v>
      </c>
      <c r="E319" s="4" t="s">
        <v>255</v>
      </c>
      <c r="F319" s="4" t="s">
        <v>256</v>
      </c>
      <c r="G319" s="4" t="s">
        <v>144</v>
      </c>
      <c r="H319" s="4" t="s">
        <v>26</v>
      </c>
      <c r="I319" s="5">
        <v>90000000</v>
      </c>
      <c r="J319" s="5">
        <v>116000</v>
      </c>
      <c r="K319" s="5">
        <v>11600</v>
      </c>
      <c r="L319" s="4" t="s">
        <v>281</v>
      </c>
      <c r="M319" s="4" t="s">
        <v>282</v>
      </c>
      <c r="N319" s="3">
        <v>45880</v>
      </c>
      <c r="O319" s="4" t="s">
        <v>587</v>
      </c>
      <c r="P319" s="2">
        <v>1000</v>
      </c>
      <c r="Q319" s="2">
        <v>1485</v>
      </c>
      <c r="R319" s="4" t="s">
        <v>756</v>
      </c>
      <c r="S319" s="5">
        <v>81505500</v>
      </c>
    </row>
    <row r="320" spans="1:19" x14ac:dyDescent="0.25">
      <c r="A320" s="4" t="s">
        <v>61</v>
      </c>
      <c r="B320" s="4" t="s">
        <v>59</v>
      </c>
      <c r="C320" s="4" t="s">
        <v>62</v>
      </c>
      <c r="D320" s="4" t="s">
        <v>63</v>
      </c>
      <c r="E320" s="4" t="s">
        <v>307</v>
      </c>
      <c r="F320" s="4" t="s">
        <v>308</v>
      </c>
      <c r="G320" s="4" t="s">
        <v>309</v>
      </c>
      <c r="H320" s="4" t="s">
        <v>26</v>
      </c>
      <c r="I320" s="5">
        <v>90000000</v>
      </c>
      <c r="J320" s="5">
        <v>420000</v>
      </c>
      <c r="K320" s="5">
        <v>42000</v>
      </c>
      <c r="L320" s="4" t="s">
        <v>541</v>
      </c>
      <c r="M320" s="4" t="s">
        <v>542</v>
      </c>
      <c r="N320" s="3">
        <v>45878</v>
      </c>
      <c r="O320" s="4" t="s">
        <v>663</v>
      </c>
      <c r="P320" s="2">
        <v>1000</v>
      </c>
      <c r="Q320" s="2">
        <v>1505</v>
      </c>
      <c r="R320" s="4" t="s">
        <v>752</v>
      </c>
      <c r="S320" s="5">
        <v>88166300</v>
      </c>
    </row>
    <row r="321" spans="1:19" x14ac:dyDescent="0.25">
      <c r="A321" s="4" t="s">
        <v>61</v>
      </c>
      <c r="B321" s="4" t="s">
        <v>59</v>
      </c>
      <c r="C321" s="4" t="s">
        <v>62</v>
      </c>
      <c r="D321" s="4" t="s">
        <v>63</v>
      </c>
      <c r="E321" s="4" t="s">
        <v>305</v>
      </c>
      <c r="F321" s="4" t="s">
        <v>306</v>
      </c>
      <c r="G321" s="4" t="s">
        <v>100</v>
      </c>
      <c r="H321" s="4" t="s">
        <v>26</v>
      </c>
      <c r="I321" s="5">
        <v>65000000</v>
      </c>
      <c r="J321" s="5">
        <v>92400</v>
      </c>
      <c r="K321" s="5">
        <v>9240</v>
      </c>
      <c r="L321" s="4" t="s">
        <v>26</v>
      </c>
      <c r="M321" s="4" t="s">
        <v>26</v>
      </c>
      <c r="N321" s="3">
        <v>45875</v>
      </c>
      <c r="O321" s="4" t="s">
        <v>532</v>
      </c>
      <c r="P321" s="2">
        <v>1000</v>
      </c>
      <c r="Q321" s="2">
        <v>1509</v>
      </c>
      <c r="R321" s="4" t="s">
        <v>755</v>
      </c>
      <c r="S321" s="5">
        <v>64365100</v>
      </c>
    </row>
    <row r="322" spans="1:19" x14ac:dyDescent="0.25">
      <c r="A322" s="4" t="s">
        <v>61</v>
      </c>
      <c r="B322" s="4" t="s">
        <v>59</v>
      </c>
      <c r="C322" s="4" t="s">
        <v>62</v>
      </c>
      <c r="D322" s="4" t="s">
        <v>63</v>
      </c>
      <c r="E322" s="4" t="s">
        <v>193</v>
      </c>
      <c r="F322" s="4" t="s">
        <v>194</v>
      </c>
      <c r="G322" s="4" t="s">
        <v>105</v>
      </c>
      <c r="H322" s="4" t="s">
        <v>26</v>
      </c>
      <c r="I322" s="5">
        <v>155000000</v>
      </c>
      <c r="J322" s="5">
        <v>1075000</v>
      </c>
      <c r="K322" s="5">
        <v>107500</v>
      </c>
      <c r="L322" s="4" t="s">
        <v>195</v>
      </c>
      <c r="M322" s="4" t="s">
        <v>196</v>
      </c>
      <c r="N322" s="3">
        <v>45879</v>
      </c>
      <c r="O322" s="4" t="s">
        <v>605</v>
      </c>
      <c r="P322" s="2">
        <v>1000</v>
      </c>
      <c r="Q322" s="2">
        <v>1509</v>
      </c>
      <c r="R322" s="4" t="s">
        <v>753</v>
      </c>
      <c r="S322" s="5">
        <v>149540330</v>
      </c>
    </row>
    <row r="323" spans="1:19" x14ac:dyDescent="0.25">
      <c r="A323" s="4" t="s">
        <v>61</v>
      </c>
      <c r="B323" s="4" t="s">
        <v>59</v>
      </c>
      <c r="C323" s="4" t="s">
        <v>62</v>
      </c>
      <c r="D323" s="4" t="s">
        <v>63</v>
      </c>
      <c r="E323" s="4" t="s">
        <v>301</v>
      </c>
      <c r="F323" s="4" t="s">
        <v>302</v>
      </c>
      <c r="G323" s="4" t="s">
        <v>157</v>
      </c>
      <c r="H323" s="4" t="s">
        <v>26</v>
      </c>
      <c r="I323" s="5">
        <v>90000000</v>
      </c>
      <c r="J323" s="5">
        <v>82500</v>
      </c>
      <c r="K323" s="5">
        <v>8250</v>
      </c>
      <c r="L323" s="4" t="s">
        <v>303</v>
      </c>
      <c r="M323" s="4" t="s">
        <v>304</v>
      </c>
      <c r="N323" s="3">
        <v>45900</v>
      </c>
      <c r="O323" s="4" t="s">
        <v>639</v>
      </c>
      <c r="P323" s="2">
        <v>1000</v>
      </c>
      <c r="Q323" s="2">
        <v>1519</v>
      </c>
      <c r="R323" s="4" t="s">
        <v>756</v>
      </c>
      <c r="S323" s="5">
        <v>86019450</v>
      </c>
    </row>
    <row r="324" spans="1:19" x14ac:dyDescent="0.25">
      <c r="A324" s="4" t="s">
        <v>61</v>
      </c>
      <c r="B324" s="4" t="s">
        <v>59</v>
      </c>
      <c r="C324" s="4" t="s">
        <v>62</v>
      </c>
      <c r="D324" s="4" t="s">
        <v>63</v>
      </c>
      <c r="E324" s="4" t="s">
        <v>301</v>
      </c>
      <c r="F324" s="4" t="s">
        <v>302</v>
      </c>
      <c r="G324" s="4" t="s">
        <v>157</v>
      </c>
      <c r="H324" s="4" t="s">
        <v>26</v>
      </c>
      <c r="I324" s="5">
        <v>90000000</v>
      </c>
      <c r="J324" s="5">
        <v>82500</v>
      </c>
      <c r="K324" s="5">
        <v>8250</v>
      </c>
      <c r="L324" s="4" t="s">
        <v>303</v>
      </c>
      <c r="M324" s="4" t="s">
        <v>304</v>
      </c>
      <c r="N324" s="3">
        <v>45900</v>
      </c>
      <c r="O324" s="4" t="s">
        <v>639</v>
      </c>
      <c r="P324" s="2">
        <v>2000</v>
      </c>
      <c r="Q324" s="2">
        <v>1519</v>
      </c>
      <c r="R324" s="4" t="s">
        <v>756</v>
      </c>
      <c r="S324" s="5">
        <v>86019450</v>
      </c>
    </row>
    <row r="325" spans="1:19" x14ac:dyDescent="0.25">
      <c r="A325" s="4" t="s">
        <v>61</v>
      </c>
      <c r="B325" s="4" t="s">
        <v>59</v>
      </c>
      <c r="C325" s="4" t="s">
        <v>62</v>
      </c>
      <c r="D325" s="4" t="s">
        <v>63</v>
      </c>
      <c r="E325" s="4" t="s">
        <v>301</v>
      </c>
      <c r="F325" s="4" t="s">
        <v>302</v>
      </c>
      <c r="G325" s="4" t="s">
        <v>157</v>
      </c>
      <c r="H325" s="4" t="s">
        <v>26</v>
      </c>
      <c r="I325" s="5">
        <v>90000000</v>
      </c>
      <c r="J325" s="5">
        <v>156000</v>
      </c>
      <c r="K325" s="5">
        <v>15600</v>
      </c>
      <c r="L325" s="4" t="s">
        <v>303</v>
      </c>
      <c r="M325" s="4" t="s">
        <v>304</v>
      </c>
      <c r="N325" s="3">
        <v>45900</v>
      </c>
      <c r="O325" s="4" t="s">
        <v>639</v>
      </c>
      <c r="P325" s="2">
        <v>3000</v>
      </c>
      <c r="Q325" s="2">
        <v>1519</v>
      </c>
      <c r="R325" s="4" t="s">
        <v>756</v>
      </c>
      <c r="S325" s="5">
        <v>86019450</v>
      </c>
    </row>
    <row r="326" spans="1:19" x14ac:dyDescent="0.25">
      <c r="A326" s="4" t="s">
        <v>61</v>
      </c>
      <c r="B326" s="4" t="s">
        <v>59</v>
      </c>
      <c r="C326" s="4" t="s">
        <v>62</v>
      </c>
      <c r="D326" s="4" t="s">
        <v>63</v>
      </c>
      <c r="E326" s="4" t="s">
        <v>301</v>
      </c>
      <c r="F326" s="4" t="s">
        <v>302</v>
      </c>
      <c r="G326" s="4" t="s">
        <v>157</v>
      </c>
      <c r="H326" s="4" t="s">
        <v>26</v>
      </c>
      <c r="I326" s="5">
        <v>90000000</v>
      </c>
      <c r="J326" s="5">
        <v>167500</v>
      </c>
      <c r="K326" s="5">
        <v>16750</v>
      </c>
      <c r="L326" s="4" t="s">
        <v>303</v>
      </c>
      <c r="M326" s="4" t="s">
        <v>304</v>
      </c>
      <c r="N326" s="3">
        <v>45900</v>
      </c>
      <c r="O326" s="4" t="s">
        <v>639</v>
      </c>
      <c r="P326" s="2">
        <v>4000</v>
      </c>
      <c r="Q326" s="2">
        <v>1519</v>
      </c>
      <c r="R326" s="4" t="s">
        <v>756</v>
      </c>
      <c r="S326" s="5">
        <v>86019450</v>
      </c>
    </row>
    <row r="327" spans="1:19" x14ac:dyDescent="0.25">
      <c r="A327" s="4" t="s">
        <v>61</v>
      </c>
      <c r="B327" s="4" t="s">
        <v>59</v>
      </c>
      <c r="C327" s="4" t="s">
        <v>62</v>
      </c>
      <c r="D327" s="4" t="s">
        <v>63</v>
      </c>
      <c r="E327" s="4" t="s">
        <v>229</v>
      </c>
      <c r="F327" s="4" t="s">
        <v>230</v>
      </c>
      <c r="G327" s="4" t="s">
        <v>231</v>
      </c>
      <c r="H327" s="4" t="s">
        <v>26</v>
      </c>
      <c r="I327" s="5">
        <v>110000000</v>
      </c>
      <c r="J327" s="5">
        <v>186440</v>
      </c>
      <c r="K327" s="5">
        <v>18644</v>
      </c>
      <c r="L327" s="4" t="s">
        <v>435</v>
      </c>
      <c r="M327" s="4" t="s">
        <v>436</v>
      </c>
      <c r="N327" s="3">
        <v>45885</v>
      </c>
      <c r="O327" s="4" t="s">
        <v>709</v>
      </c>
      <c r="P327" s="2">
        <v>1000</v>
      </c>
      <c r="Q327" s="2">
        <v>1539</v>
      </c>
      <c r="R327" s="4" t="s">
        <v>758</v>
      </c>
      <c r="S327" s="5">
        <v>108567750</v>
      </c>
    </row>
    <row r="328" spans="1:19" x14ac:dyDescent="0.25">
      <c r="A328" s="4" t="s">
        <v>61</v>
      </c>
      <c r="B328" s="4" t="s">
        <v>59</v>
      </c>
      <c r="C328" s="4" t="s">
        <v>62</v>
      </c>
      <c r="D328" s="4" t="s">
        <v>63</v>
      </c>
      <c r="E328" s="4" t="s">
        <v>649</v>
      </c>
      <c r="F328" s="4" t="s">
        <v>650</v>
      </c>
      <c r="G328" s="4" t="s">
        <v>309</v>
      </c>
      <c r="H328" s="4" t="s">
        <v>26</v>
      </c>
      <c r="I328" s="5">
        <v>90000000</v>
      </c>
      <c r="J328" s="5">
        <v>4770000</v>
      </c>
      <c r="K328" s="5">
        <v>477000</v>
      </c>
      <c r="L328" s="4" t="s">
        <v>453</v>
      </c>
      <c r="M328" s="4" t="s">
        <v>454</v>
      </c>
      <c r="N328" s="3">
        <v>45877</v>
      </c>
      <c r="O328" s="4" t="s">
        <v>642</v>
      </c>
      <c r="P328" s="2">
        <v>1000</v>
      </c>
      <c r="Q328" s="2">
        <v>1558</v>
      </c>
      <c r="R328" s="4" t="s">
        <v>746</v>
      </c>
      <c r="S328" s="5">
        <v>72710000</v>
      </c>
    </row>
    <row r="329" spans="1:19" x14ac:dyDescent="0.25">
      <c r="A329" s="4" t="s">
        <v>61</v>
      </c>
      <c r="B329" s="4" t="s">
        <v>59</v>
      </c>
      <c r="C329" s="4" t="s">
        <v>62</v>
      </c>
      <c r="D329" s="4" t="s">
        <v>63</v>
      </c>
      <c r="E329" s="4" t="s">
        <v>649</v>
      </c>
      <c r="F329" s="4" t="s">
        <v>650</v>
      </c>
      <c r="G329" s="4" t="s">
        <v>309</v>
      </c>
      <c r="H329" s="4" t="s">
        <v>26</v>
      </c>
      <c r="I329" s="5">
        <v>90000000</v>
      </c>
      <c r="J329" s="5">
        <v>2670000</v>
      </c>
      <c r="K329" s="5">
        <v>267000</v>
      </c>
      <c r="L329" s="4" t="s">
        <v>453</v>
      </c>
      <c r="M329" s="4" t="s">
        <v>454</v>
      </c>
      <c r="N329" s="3">
        <v>45877</v>
      </c>
      <c r="O329" s="4" t="s">
        <v>642</v>
      </c>
      <c r="P329" s="2">
        <v>2000</v>
      </c>
      <c r="Q329" s="2">
        <v>1558</v>
      </c>
      <c r="R329" s="4" t="s">
        <v>746</v>
      </c>
      <c r="S329" s="5">
        <v>72710000</v>
      </c>
    </row>
    <row r="330" spans="1:19" x14ac:dyDescent="0.25">
      <c r="A330" s="4" t="s">
        <v>61</v>
      </c>
      <c r="B330" s="4" t="s">
        <v>59</v>
      </c>
      <c r="C330" s="4" t="s">
        <v>62</v>
      </c>
      <c r="D330" s="4" t="s">
        <v>63</v>
      </c>
      <c r="E330" s="4" t="s">
        <v>382</v>
      </c>
      <c r="F330" s="4" t="s">
        <v>383</v>
      </c>
      <c r="G330" s="4" t="s">
        <v>115</v>
      </c>
      <c r="H330" s="4" t="s">
        <v>26</v>
      </c>
      <c r="I330" s="5">
        <v>65000000</v>
      </c>
      <c r="J330" s="5">
        <v>5310000</v>
      </c>
      <c r="K330" s="5">
        <v>531000</v>
      </c>
      <c r="L330" s="4" t="s">
        <v>384</v>
      </c>
      <c r="M330" s="4" t="s">
        <v>385</v>
      </c>
      <c r="N330" s="3">
        <v>45876</v>
      </c>
      <c r="O330" s="4" t="s">
        <v>657</v>
      </c>
      <c r="P330" s="2">
        <v>1000</v>
      </c>
      <c r="Q330" s="2">
        <v>1559</v>
      </c>
      <c r="R330" s="4" t="s">
        <v>746</v>
      </c>
      <c r="S330" s="5">
        <v>50115750</v>
      </c>
    </row>
    <row r="331" spans="1:19" x14ac:dyDescent="0.25">
      <c r="A331" s="4" t="s">
        <v>61</v>
      </c>
      <c r="B331" s="4" t="s">
        <v>59</v>
      </c>
      <c r="C331" s="4" t="s">
        <v>62</v>
      </c>
      <c r="D331" s="4" t="s">
        <v>63</v>
      </c>
      <c r="E331" s="4" t="s">
        <v>232</v>
      </c>
      <c r="F331" s="4" t="s">
        <v>233</v>
      </c>
      <c r="G331" s="4" t="s">
        <v>81</v>
      </c>
      <c r="H331" s="4" t="s">
        <v>26</v>
      </c>
      <c r="I331" s="5">
        <v>65000000</v>
      </c>
      <c r="J331" s="5">
        <v>53900</v>
      </c>
      <c r="K331" s="5">
        <v>5390</v>
      </c>
      <c r="L331" s="4" t="s">
        <v>234</v>
      </c>
      <c r="M331" s="4" t="s">
        <v>235</v>
      </c>
      <c r="N331" s="3">
        <v>45876</v>
      </c>
      <c r="O331" s="4" t="s">
        <v>283</v>
      </c>
      <c r="P331" s="2">
        <v>1000</v>
      </c>
      <c r="Q331" s="2">
        <v>1566</v>
      </c>
      <c r="R331" s="4" t="s">
        <v>755</v>
      </c>
      <c r="S331" s="5">
        <v>56050260</v>
      </c>
    </row>
    <row r="332" spans="1:19" x14ac:dyDescent="0.25">
      <c r="A332" s="4" t="s">
        <v>61</v>
      </c>
      <c r="B332" s="4" t="s">
        <v>59</v>
      </c>
      <c r="C332" s="4" t="s">
        <v>62</v>
      </c>
      <c r="D332" s="4" t="s">
        <v>63</v>
      </c>
      <c r="E332" s="4" t="s">
        <v>232</v>
      </c>
      <c r="F332" s="4" t="s">
        <v>233</v>
      </c>
      <c r="G332" s="4" t="s">
        <v>81</v>
      </c>
      <c r="H332" s="4" t="s">
        <v>26</v>
      </c>
      <c r="I332" s="5">
        <v>65000000</v>
      </c>
      <c r="J332" s="5">
        <v>138600</v>
      </c>
      <c r="K332" s="5">
        <v>13860</v>
      </c>
      <c r="L332" s="4" t="s">
        <v>234</v>
      </c>
      <c r="M332" s="4" t="s">
        <v>235</v>
      </c>
      <c r="N332" s="3">
        <v>45876</v>
      </c>
      <c r="O332" s="4" t="s">
        <v>283</v>
      </c>
      <c r="P332" s="2">
        <v>2000</v>
      </c>
      <c r="Q332" s="2">
        <v>1566</v>
      </c>
      <c r="R332" s="4" t="s">
        <v>755</v>
      </c>
      <c r="S332" s="5">
        <v>56050260</v>
      </c>
    </row>
    <row r="333" spans="1:19" x14ac:dyDescent="0.25">
      <c r="A333" s="4" t="s">
        <v>61</v>
      </c>
      <c r="B333" s="4" t="s">
        <v>59</v>
      </c>
      <c r="C333" s="4" t="s">
        <v>62</v>
      </c>
      <c r="D333" s="4" t="s">
        <v>63</v>
      </c>
      <c r="E333" s="4" t="s">
        <v>232</v>
      </c>
      <c r="F333" s="4" t="s">
        <v>233</v>
      </c>
      <c r="G333" s="4" t="s">
        <v>81</v>
      </c>
      <c r="H333" s="4" t="s">
        <v>26</v>
      </c>
      <c r="I333" s="5">
        <v>65000000</v>
      </c>
      <c r="J333" s="5">
        <v>46200</v>
      </c>
      <c r="K333" s="5">
        <v>4620</v>
      </c>
      <c r="L333" s="4" t="s">
        <v>234</v>
      </c>
      <c r="M333" s="4" t="s">
        <v>235</v>
      </c>
      <c r="N333" s="3">
        <v>45876</v>
      </c>
      <c r="O333" s="4" t="s">
        <v>283</v>
      </c>
      <c r="P333" s="2">
        <v>3000</v>
      </c>
      <c r="Q333" s="2">
        <v>1566</v>
      </c>
      <c r="R333" s="4" t="s">
        <v>755</v>
      </c>
      <c r="S333" s="5">
        <v>56050260</v>
      </c>
    </row>
    <row r="334" spans="1:19" x14ac:dyDescent="0.25">
      <c r="A334" s="4" t="s">
        <v>61</v>
      </c>
      <c r="B334" s="4" t="s">
        <v>59</v>
      </c>
      <c r="C334" s="4" t="s">
        <v>62</v>
      </c>
      <c r="D334" s="4" t="s">
        <v>63</v>
      </c>
      <c r="E334" s="4" t="s">
        <v>232</v>
      </c>
      <c r="F334" s="4" t="s">
        <v>233</v>
      </c>
      <c r="G334" s="4" t="s">
        <v>81</v>
      </c>
      <c r="H334" s="4" t="s">
        <v>26</v>
      </c>
      <c r="I334" s="5">
        <v>65000000</v>
      </c>
      <c r="J334" s="5">
        <v>15400</v>
      </c>
      <c r="K334" s="5">
        <v>1540</v>
      </c>
      <c r="L334" s="4" t="s">
        <v>234</v>
      </c>
      <c r="M334" s="4" t="s">
        <v>235</v>
      </c>
      <c r="N334" s="3">
        <v>45876</v>
      </c>
      <c r="O334" s="4" t="s">
        <v>283</v>
      </c>
      <c r="P334" s="2">
        <v>4000</v>
      </c>
      <c r="Q334" s="2">
        <v>1566</v>
      </c>
      <c r="R334" s="4" t="s">
        <v>755</v>
      </c>
      <c r="S334" s="5">
        <v>56050260</v>
      </c>
    </row>
    <row r="335" spans="1:19" x14ac:dyDescent="0.25">
      <c r="A335" s="4" t="s">
        <v>61</v>
      </c>
      <c r="B335" s="4" t="s">
        <v>59</v>
      </c>
      <c r="C335" s="4" t="s">
        <v>62</v>
      </c>
      <c r="D335" s="4" t="s">
        <v>63</v>
      </c>
      <c r="E335" s="4" t="s">
        <v>155</v>
      </c>
      <c r="F335" s="4" t="s">
        <v>156</v>
      </c>
      <c r="G335" s="4" t="s">
        <v>157</v>
      </c>
      <c r="H335" s="4" t="s">
        <v>26</v>
      </c>
      <c r="I335" s="5">
        <v>90000000</v>
      </c>
      <c r="J335" s="5">
        <v>50000</v>
      </c>
      <c r="K335" s="5">
        <v>5000</v>
      </c>
      <c r="L335" s="4" t="s">
        <v>158</v>
      </c>
      <c r="M335" s="4" t="s">
        <v>159</v>
      </c>
      <c r="N335" s="3">
        <v>45873</v>
      </c>
      <c r="O335" s="4" t="s">
        <v>459</v>
      </c>
      <c r="P335" s="2">
        <v>1000</v>
      </c>
      <c r="Q335" s="2">
        <v>1569</v>
      </c>
      <c r="R335" s="4" t="s">
        <v>747</v>
      </c>
      <c r="S335" s="5">
        <v>87868500</v>
      </c>
    </row>
    <row r="336" spans="1:19" x14ac:dyDescent="0.25">
      <c r="A336" s="4" t="s">
        <v>61</v>
      </c>
      <c r="B336" s="4" t="s">
        <v>59</v>
      </c>
      <c r="C336" s="4" t="s">
        <v>62</v>
      </c>
      <c r="D336" s="4" t="s">
        <v>63</v>
      </c>
      <c r="E336" s="4" t="s">
        <v>422</v>
      </c>
      <c r="F336" s="4" t="s">
        <v>423</v>
      </c>
      <c r="G336" s="4" t="s">
        <v>124</v>
      </c>
      <c r="H336" s="4" t="s">
        <v>26</v>
      </c>
      <c r="I336" s="5">
        <v>65000000</v>
      </c>
      <c r="J336" s="5">
        <v>990000</v>
      </c>
      <c r="K336" s="5">
        <v>99000</v>
      </c>
      <c r="L336" s="4" t="s">
        <v>214</v>
      </c>
      <c r="M336" s="4" t="s">
        <v>215</v>
      </c>
      <c r="N336" s="3">
        <v>45877</v>
      </c>
      <c r="O336" s="4" t="s">
        <v>642</v>
      </c>
      <c r="P336" s="2">
        <v>1000</v>
      </c>
      <c r="Q336" s="2">
        <v>1606</v>
      </c>
      <c r="R336" s="4" t="s">
        <v>746</v>
      </c>
      <c r="S336" s="5">
        <v>63183000</v>
      </c>
    </row>
    <row r="337" spans="1:19" x14ac:dyDescent="0.25">
      <c r="A337" s="4" t="s">
        <v>61</v>
      </c>
      <c r="B337" s="4" t="s">
        <v>59</v>
      </c>
      <c r="C337" s="4" t="s">
        <v>62</v>
      </c>
      <c r="D337" s="4" t="s">
        <v>63</v>
      </c>
      <c r="E337" s="4" t="s">
        <v>103</v>
      </c>
      <c r="F337" s="4" t="s">
        <v>104</v>
      </c>
      <c r="G337" s="4" t="s">
        <v>105</v>
      </c>
      <c r="H337" s="4" t="s">
        <v>26</v>
      </c>
      <c r="I337" s="5">
        <v>155000000</v>
      </c>
      <c r="J337" s="5">
        <v>39200</v>
      </c>
      <c r="K337" s="5">
        <v>3920</v>
      </c>
      <c r="L337" s="4" t="s">
        <v>26</v>
      </c>
      <c r="M337" s="4" t="s">
        <v>26</v>
      </c>
      <c r="N337" s="3">
        <v>45873</v>
      </c>
      <c r="O337" s="4" t="s">
        <v>51</v>
      </c>
      <c r="P337" s="2">
        <v>1000</v>
      </c>
      <c r="Q337" s="2">
        <v>1623</v>
      </c>
      <c r="R337" s="4" t="s">
        <v>749</v>
      </c>
      <c r="S337" s="5">
        <v>150234500</v>
      </c>
    </row>
    <row r="338" spans="1:19" x14ac:dyDescent="0.25">
      <c r="A338" s="4" t="s">
        <v>61</v>
      </c>
      <c r="B338" s="4" t="s">
        <v>59</v>
      </c>
      <c r="C338" s="4" t="s">
        <v>62</v>
      </c>
      <c r="D338" s="4" t="s">
        <v>63</v>
      </c>
      <c r="E338" s="4" t="s">
        <v>111</v>
      </c>
      <c r="F338" s="4" t="s">
        <v>112</v>
      </c>
      <c r="G338" s="4" t="s">
        <v>81</v>
      </c>
      <c r="H338" s="4" t="s">
        <v>26</v>
      </c>
      <c r="I338" s="5">
        <v>65000000</v>
      </c>
      <c r="J338" s="5">
        <v>180400</v>
      </c>
      <c r="K338" s="5">
        <v>18040</v>
      </c>
      <c r="L338" s="4" t="s">
        <v>242</v>
      </c>
      <c r="M338" s="4" t="s">
        <v>243</v>
      </c>
      <c r="N338" s="3">
        <v>45887</v>
      </c>
      <c r="O338" s="4" t="s">
        <v>709</v>
      </c>
      <c r="P338" s="2">
        <v>1000</v>
      </c>
      <c r="Q338" s="2">
        <v>1623</v>
      </c>
      <c r="R338" s="4" t="s">
        <v>758</v>
      </c>
      <c r="S338" s="5">
        <v>61345000</v>
      </c>
    </row>
    <row r="339" spans="1:19" x14ac:dyDescent="0.25">
      <c r="A339" s="4" t="s">
        <v>61</v>
      </c>
      <c r="B339" s="4" t="s">
        <v>59</v>
      </c>
      <c r="C339" s="4" t="s">
        <v>62</v>
      </c>
      <c r="D339" s="4" t="s">
        <v>63</v>
      </c>
      <c r="E339" s="4" t="s">
        <v>398</v>
      </c>
      <c r="F339" s="4" t="s">
        <v>399</v>
      </c>
      <c r="G339" s="4" t="s">
        <v>309</v>
      </c>
      <c r="H339" s="4" t="s">
        <v>26</v>
      </c>
      <c r="I339" s="5">
        <v>90000000</v>
      </c>
      <c r="J339" s="5">
        <v>275000</v>
      </c>
      <c r="K339" s="5">
        <v>27500</v>
      </c>
      <c r="L339" s="4" t="s">
        <v>712</v>
      </c>
      <c r="M339" s="4" t="s">
        <v>713</v>
      </c>
      <c r="N339" s="3">
        <v>45887</v>
      </c>
      <c r="O339" s="4" t="s">
        <v>709</v>
      </c>
      <c r="P339" s="2">
        <v>1000</v>
      </c>
      <c r="Q339" s="2">
        <v>1637</v>
      </c>
      <c r="R339" s="4" t="s">
        <v>758</v>
      </c>
      <c r="S339" s="5">
        <v>88662000</v>
      </c>
    </row>
    <row r="340" spans="1:19" x14ac:dyDescent="0.25">
      <c r="A340" s="4" t="s">
        <v>61</v>
      </c>
      <c r="B340" s="4" t="s">
        <v>59</v>
      </c>
      <c r="C340" s="4" t="s">
        <v>62</v>
      </c>
      <c r="D340" s="4" t="s">
        <v>63</v>
      </c>
      <c r="E340" s="4" t="s">
        <v>398</v>
      </c>
      <c r="F340" s="4" t="s">
        <v>399</v>
      </c>
      <c r="G340" s="4" t="s">
        <v>309</v>
      </c>
      <c r="H340" s="4" t="s">
        <v>26</v>
      </c>
      <c r="I340" s="5">
        <v>90000000</v>
      </c>
      <c r="J340" s="5">
        <v>275000</v>
      </c>
      <c r="K340" s="5">
        <v>27500</v>
      </c>
      <c r="L340" s="4" t="s">
        <v>712</v>
      </c>
      <c r="M340" s="4" t="s">
        <v>713</v>
      </c>
      <c r="N340" s="3">
        <v>45887</v>
      </c>
      <c r="O340" s="4" t="s">
        <v>709</v>
      </c>
      <c r="P340" s="2">
        <v>2000</v>
      </c>
      <c r="Q340" s="2">
        <v>1637</v>
      </c>
      <c r="R340" s="4" t="s">
        <v>758</v>
      </c>
      <c r="S340" s="5">
        <v>88662000</v>
      </c>
    </row>
    <row r="341" spans="1:19" x14ac:dyDescent="0.25">
      <c r="A341" s="4" t="s">
        <v>61</v>
      </c>
      <c r="B341" s="4" t="s">
        <v>59</v>
      </c>
      <c r="C341" s="4" t="s">
        <v>62</v>
      </c>
      <c r="D341" s="4" t="s">
        <v>63</v>
      </c>
      <c r="E341" s="4" t="s">
        <v>398</v>
      </c>
      <c r="F341" s="4" t="s">
        <v>399</v>
      </c>
      <c r="G341" s="4" t="s">
        <v>309</v>
      </c>
      <c r="H341" s="4" t="s">
        <v>26</v>
      </c>
      <c r="I341" s="5">
        <v>90000000</v>
      </c>
      <c r="J341" s="5">
        <v>275000</v>
      </c>
      <c r="K341" s="5">
        <v>27500</v>
      </c>
      <c r="L341" s="4" t="s">
        <v>712</v>
      </c>
      <c r="M341" s="4" t="s">
        <v>713</v>
      </c>
      <c r="N341" s="3">
        <v>45887</v>
      </c>
      <c r="O341" s="4" t="s">
        <v>709</v>
      </c>
      <c r="P341" s="2">
        <v>3000</v>
      </c>
      <c r="Q341" s="2">
        <v>1637</v>
      </c>
      <c r="R341" s="4" t="s">
        <v>758</v>
      </c>
      <c r="S341" s="5">
        <v>88662000</v>
      </c>
    </row>
    <row r="342" spans="1:19" x14ac:dyDescent="0.25">
      <c r="A342" s="4" t="s">
        <v>61</v>
      </c>
      <c r="B342" s="4" t="s">
        <v>59</v>
      </c>
      <c r="C342" s="4" t="s">
        <v>62</v>
      </c>
      <c r="D342" s="4" t="s">
        <v>63</v>
      </c>
      <c r="E342" s="4" t="s">
        <v>398</v>
      </c>
      <c r="F342" s="4" t="s">
        <v>399</v>
      </c>
      <c r="G342" s="4" t="s">
        <v>309</v>
      </c>
      <c r="H342" s="4" t="s">
        <v>26</v>
      </c>
      <c r="I342" s="5">
        <v>90000000</v>
      </c>
      <c r="J342" s="5">
        <v>275000</v>
      </c>
      <c r="K342" s="5">
        <v>27500</v>
      </c>
      <c r="L342" s="4" t="s">
        <v>712</v>
      </c>
      <c r="M342" s="4" t="s">
        <v>713</v>
      </c>
      <c r="N342" s="3">
        <v>45887</v>
      </c>
      <c r="O342" s="4" t="s">
        <v>709</v>
      </c>
      <c r="P342" s="2">
        <v>4000</v>
      </c>
      <c r="Q342" s="2">
        <v>1637</v>
      </c>
      <c r="R342" s="4" t="s">
        <v>758</v>
      </c>
      <c r="S342" s="5">
        <v>88662000</v>
      </c>
    </row>
    <row r="343" spans="1:19" x14ac:dyDescent="0.25">
      <c r="A343" s="4" t="s">
        <v>61</v>
      </c>
      <c r="B343" s="4" t="s">
        <v>59</v>
      </c>
      <c r="C343" s="4" t="s">
        <v>62</v>
      </c>
      <c r="D343" s="4" t="s">
        <v>63</v>
      </c>
      <c r="E343" s="4" t="s">
        <v>367</v>
      </c>
      <c r="F343" s="4" t="s">
        <v>368</v>
      </c>
      <c r="G343" s="4" t="s">
        <v>356</v>
      </c>
      <c r="H343" s="4" t="s">
        <v>26</v>
      </c>
      <c r="I343" s="5">
        <v>155000000</v>
      </c>
      <c r="J343" s="5">
        <v>451000</v>
      </c>
      <c r="K343" s="5">
        <v>45100</v>
      </c>
      <c r="L343" s="4" t="s">
        <v>369</v>
      </c>
      <c r="M343" s="4" t="s">
        <v>370</v>
      </c>
      <c r="N343" s="3">
        <v>45883</v>
      </c>
      <c r="O343" s="4" t="s">
        <v>732</v>
      </c>
      <c r="P343" s="2">
        <v>1000</v>
      </c>
      <c r="Q343" s="2">
        <v>1640</v>
      </c>
      <c r="R343" s="4" t="s">
        <v>604</v>
      </c>
      <c r="S343" s="5">
        <v>153737800</v>
      </c>
    </row>
    <row r="344" spans="1:19" x14ac:dyDescent="0.25">
      <c r="A344" s="4" t="s">
        <v>61</v>
      </c>
      <c r="B344" s="4" t="s">
        <v>59</v>
      </c>
      <c r="C344" s="4" t="s">
        <v>62</v>
      </c>
      <c r="D344" s="4" t="s">
        <v>63</v>
      </c>
      <c r="E344" s="4" t="s">
        <v>367</v>
      </c>
      <c r="F344" s="4" t="s">
        <v>368</v>
      </c>
      <c r="G344" s="4" t="s">
        <v>356</v>
      </c>
      <c r="H344" s="4" t="s">
        <v>26</v>
      </c>
      <c r="I344" s="5">
        <v>155000000</v>
      </c>
      <c r="J344" s="5">
        <v>696000</v>
      </c>
      <c r="K344" s="5">
        <v>69600</v>
      </c>
      <c r="L344" s="4" t="s">
        <v>369</v>
      </c>
      <c r="M344" s="4" t="s">
        <v>370</v>
      </c>
      <c r="N344" s="3">
        <v>45883</v>
      </c>
      <c r="O344" s="4" t="s">
        <v>732</v>
      </c>
      <c r="P344" s="2">
        <v>2000</v>
      </c>
      <c r="Q344" s="2">
        <v>1640</v>
      </c>
      <c r="R344" s="4" t="s">
        <v>604</v>
      </c>
      <c r="S344" s="5">
        <v>153737800</v>
      </c>
    </row>
    <row r="345" spans="1:19" x14ac:dyDescent="0.25">
      <c r="A345" s="4" t="s">
        <v>61</v>
      </c>
      <c r="B345" s="4" t="s">
        <v>59</v>
      </c>
      <c r="C345" s="4" t="s">
        <v>62</v>
      </c>
      <c r="D345" s="4" t="s">
        <v>63</v>
      </c>
      <c r="E345" s="4" t="s">
        <v>398</v>
      </c>
      <c r="F345" s="4" t="s">
        <v>399</v>
      </c>
      <c r="G345" s="4" t="s">
        <v>309</v>
      </c>
      <c r="H345" s="4" t="s">
        <v>26</v>
      </c>
      <c r="I345" s="5">
        <v>90000000</v>
      </c>
      <c r="J345" s="5">
        <v>-275000</v>
      </c>
      <c r="K345" s="5">
        <v>-27500</v>
      </c>
      <c r="L345" s="4" t="s">
        <v>712</v>
      </c>
      <c r="M345" s="4" t="s">
        <v>713</v>
      </c>
      <c r="N345" s="3">
        <v>45887</v>
      </c>
      <c r="O345" s="4" t="s">
        <v>709</v>
      </c>
      <c r="P345" s="2">
        <v>1000</v>
      </c>
      <c r="Q345" s="2">
        <v>1642</v>
      </c>
      <c r="R345" s="4" t="s">
        <v>758</v>
      </c>
      <c r="S345" s="5">
        <v>88662000</v>
      </c>
    </row>
    <row r="346" spans="1:19" x14ac:dyDescent="0.25">
      <c r="A346" s="4" t="s">
        <v>61</v>
      </c>
      <c r="B346" s="4" t="s">
        <v>59</v>
      </c>
      <c r="C346" s="4" t="s">
        <v>62</v>
      </c>
      <c r="D346" s="4" t="s">
        <v>63</v>
      </c>
      <c r="E346" s="4" t="s">
        <v>398</v>
      </c>
      <c r="F346" s="4" t="s">
        <v>399</v>
      </c>
      <c r="G346" s="4" t="s">
        <v>309</v>
      </c>
      <c r="H346" s="4" t="s">
        <v>26</v>
      </c>
      <c r="I346" s="5">
        <v>90000000</v>
      </c>
      <c r="J346" s="5">
        <v>-275000</v>
      </c>
      <c r="K346" s="5">
        <v>-27500</v>
      </c>
      <c r="L346" s="4" t="s">
        <v>712</v>
      </c>
      <c r="M346" s="4" t="s">
        <v>713</v>
      </c>
      <c r="N346" s="3">
        <v>45887</v>
      </c>
      <c r="O346" s="4" t="s">
        <v>709</v>
      </c>
      <c r="P346" s="2">
        <v>2000</v>
      </c>
      <c r="Q346" s="2">
        <v>1642</v>
      </c>
      <c r="R346" s="4" t="s">
        <v>758</v>
      </c>
      <c r="S346" s="5">
        <v>88662000</v>
      </c>
    </row>
    <row r="347" spans="1:19" x14ac:dyDescent="0.25">
      <c r="A347" s="4" t="s">
        <v>61</v>
      </c>
      <c r="B347" s="4" t="s">
        <v>59</v>
      </c>
      <c r="C347" s="4" t="s">
        <v>62</v>
      </c>
      <c r="D347" s="4" t="s">
        <v>63</v>
      </c>
      <c r="E347" s="4" t="s">
        <v>398</v>
      </c>
      <c r="F347" s="4" t="s">
        <v>399</v>
      </c>
      <c r="G347" s="4" t="s">
        <v>309</v>
      </c>
      <c r="H347" s="4" t="s">
        <v>26</v>
      </c>
      <c r="I347" s="5">
        <v>90000000</v>
      </c>
      <c r="J347" s="5">
        <v>-275000</v>
      </c>
      <c r="K347" s="5">
        <v>-27500</v>
      </c>
      <c r="L347" s="4" t="s">
        <v>712</v>
      </c>
      <c r="M347" s="4" t="s">
        <v>713</v>
      </c>
      <c r="N347" s="3">
        <v>45887</v>
      </c>
      <c r="O347" s="4" t="s">
        <v>709</v>
      </c>
      <c r="P347" s="2">
        <v>3000</v>
      </c>
      <c r="Q347" s="2">
        <v>1642</v>
      </c>
      <c r="R347" s="4" t="s">
        <v>758</v>
      </c>
      <c r="S347" s="5">
        <v>88662000</v>
      </c>
    </row>
    <row r="348" spans="1:19" x14ac:dyDescent="0.25">
      <c r="A348" s="4" t="s">
        <v>61</v>
      </c>
      <c r="B348" s="4" t="s">
        <v>59</v>
      </c>
      <c r="C348" s="4" t="s">
        <v>62</v>
      </c>
      <c r="D348" s="4" t="s">
        <v>63</v>
      </c>
      <c r="E348" s="4" t="s">
        <v>398</v>
      </c>
      <c r="F348" s="4" t="s">
        <v>399</v>
      </c>
      <c r="G348" s="4" t="s">
        <v>309</v>
      </c>
      <c r="H348" s="4" t="s">
        <v>26</v>
      </c>
      <c r="I348" s="5">
        <v>90000000</v>
      </c>
      <c r="J348" s="5">
        <v>-275000</v>
      </c>
      <c r="K348" s="5">
        <v>-27500</v>
      </c>
      <c r="L348" s="4" t="s">
        <v>712</v>
      </c>
      <c r="M348" s="4" t="s">
        <v>713</v>
      </c>
      <c r="N348" s="3">
        <v>45887</v>
      </c>
      <c r="O348" s="4" t="s">
        <v>709</v>
      </c>
      <c r="P348" s="2">
        <v>4000</v>
      </c>
      <c r="Q348" s="2">
        <v>1642</v>
      </c>
      <c r="R348" s="4" t="s">
        <v>758</v>
      </c>
      <c r="S348" s="5">
        <v>88662000</v>
      </c>
    </row>
    <row r="349" spans="1:19" x14ac:dyDescent="0.25">
      <c r="A349" s="4" t="s">
        <v>61</v>
      </c>
      <c r="B349" s="4" t="s">
        <v>59</v>
      </c>
      <c r="C349" s="4" t="s">
        <v>62</v>
      </c>
      <c r="D349" s="4" t="s">
        <v>63</v>
      </c>
      <c r="E349" s="4" t="s">
        <v>398</v>
      </c>
      <c r="F349" s="4" t="s">
        <v>399</v>
      </c>
      <c r="G349" s="4" t="s">
        <v>309</v>
      </c>
      <c r="H349" s="4" t="s">
        <v>26</v>
      </c>
      <c r="I349" s="5">
        <v>90000000</v>
      </c>
      <c r="J349" s="5">
        <v>220000</v>
      </c>
      <c r="K349" s="5">
        <v>22000</v>
      </c>
      <c r="L349" s="4" t="s">
        <v>712</v>
      </c>
      <c r="M349" s="4" t="s">
        <v>713</v>
      </c>
      <c r="N349" s="3">
        <v>45887</v>
      </c>
      <c r="O349" s="4" t="s">
        <v>709</v>
      </c>
      <c r="P349" s="2">
        <v>1000</v>
      </c>
      <c r="Q349" s="2">
        <v>1645</v>
      </c>
      <c r="R349" s="4" t="s">
        <v>758</v>
      </c>
      <c r="S349" s="5">
        <v>88662000</v>
      </c>
    </row>
    <row r="350" spans="1:19" x14ac:dyDescent="0.25">
      <c r="A350" s="4" t="s">
        <v>61</v>
      </c>
      <c r="B350" s="4" t="s">
        <v>59</v>
      </c>
      <c r="C350" s="4" t="s">
        <v>62</v>
      </c>
      <c r="D350" s="4" t="s">
        <v>63</v>
      </c>
      <c r="E350" s="4" t="s">
        <v>398</v>
      </c>
      <c r="F350" s="4" t="s">
        <v>399</v>
      </c>
      <c r="G350" s="4" t="s">
        <v>309</v>
      </c>
      <c r="H350" s="4" t="s">
        <v>26</v>
      </c>
      <c r="I350" s="5">
        <v>90000000</v>
      </c>
      <c r="J350" s="5">
        <v>220000</v>
      </c>
      <c r="K350" s="5">
        <v>22000</v>
      </c>
      <c r="L350" s="4" t="s">
        <v>712</v>
      </c>
      <c r="M350" s="4" t="s">
        <v>713</v>
      </c>
      <c r="N350" s="3">
        <v>45887</v>
      </c>
      <c r="O350" s="4" t="s">
        <v>709</v>
      </c>
      <c r="P350" s="2">
        <v>2000</v>
      </c>
      <c r="Q350" s="2">
        <v>1645</v>
      </c>
      <c r="R350" s="4" t="s">
        <v>758</v>
      </c>
      <c r="S350" s="5">
        <v>88662000</v>
      </c>
    </row>
    <row r="351" spans="1:19" x14ac:dyDescent="0.25">
      <c r="A351" s="4" t="s">
        <v>61</v>
      </c>
      <c r="B351" s="4" t="s">
        <v>59</v>
      </c>
      <c r="C351" s="4" t="s">
        <v>62</v>
      </c>
      <c r="D351" s="4" t="s">
        <v>63</v>
      </c>
      <c r="E351" s="4" t="s">
        <v>398</v>
      </c>
      <c r="F351" s="4" t="s">
        <v>399</v>
      </c>
      <c r="G351" s="4" t="s">
        <v>309</v>
      </c>
      <c r="H351" s="4" t="s">
        <v>26</v>
      </c>
      <c r="I351" s="5">
        <v>90000000</v>
      </c>
      <c r="J351" s="5">
        <v>220000</v>
      </c>
      <c r="K351" s="5">
        <v>22000</v>
      </c>
      <c r="L351" s="4" t="s">
        <v>712</v>
      </c>
      <c r="M351" s="4" t="s">
        <v>713</v>
      </c>
      <c r="N351" s="3">
        <v>45887</v>
      </c>
      <c r="O351" s="4" t="s">
        <v>709</v>
      </c>
      <c r="P351" s="2">
        <v>3000</v>
      </c>
      <c r="Q351" s="2">
        <v>1645</v>
      </c>
      <c r="R351" s="4" t="s">
        <v>758</v>
      </c>
      <c r="S351" s="5">
        <v>88662000</v>
      </c>
    </row>
    <row r="352" spans="1:19" x14ac:dyDescent="0.25">
      <c r="A352" s="4" t="s">
        <v>61</v>
      </c>
      <c r="B352" s="4" t="s">
        <v>59</v>
      </c>
      <c r="C352" s="4" t="s">
        <v>62</v>
      </c>
      <c r="D352" s="4" t="s">
        <v>63</v>
      </c>
      <c r="E352" s="4" t="s">
        <v>398</v>
      </c>
      <c r="F352" s="4" t="s">
        <v>399</v>
      </c>
      <c r="G352" s="4" t="s">
        <v>309</v>
      </c>
      <c r="H352" s="4" t="s">
        <v>26</v>
      </c>
      <c r="I352" s="5">
        <v>90000000</v>
      </c>
      <c r="J352" s="5">
        <v>220000</v>
      </c>
      <c r="K352" s="5">
        <v>22000</v>
      </c>
      <c r="L352" s="4" t="s">
        <v>712</v>
      </c>
      <c r="M352" s="4" t="s">
        <v>713</v>
      </c>
      <c r="N352" s="3">
        <v>45887</v>
      </c>
      <c r="O352" s="4" t="s">
        <v>709</v>
      </c>
      <c r="P352" s="2">
        <v>4000</v>
      </c>
      <c r="Q352" s="2">
        <v>1645</v>
      </c>
      <c r="R352" s="4" t="s">
        <v>758</v>
      </c>
      <c r="S352" s="5">
        <v>88662000</v>
      </c>
    </row>
    <row r="353" spans="1:19" x14ac:dyDescent="0.25">
      <c r="A353" s="4" t="s">
        <v>61</v>
      </c>
      <c r="B353" s="4" t="s">
        <v>59</v>
      </c>
      <c r="C353" s="4" t="s">
        <v>62</v>
      </c>
      <c r="D353" s="4" t="s">
        <v>63</v>
      </c>
      <c r="E353" s="4" t="s">
        <v>131</v>
      </c>
      <c r="F353" s="4" t="s">
        <v>132</v>
      </c>
      <c r="G353" s="4" t="s">
        <v>100</v>
      </c>
      <c r="H353" s="4" t="s">
        <v>26</v>
      </c>
      <c r="I353" s="5">
        <v>65000000</v>
      </c>
      <c r="J353" s="5">
        <v>46200</v>
      </c>
      <c r="K353" s="5">
        <v>4620</v>
      </c>
      <c r="L353" s="4" t="s">
        <v>26</v>
      </c>
      <c r="M353" s="4" t="s">
        <v>26</v>
      </c>
      <c r="N353" s="3">
        <v>45876</v>
      </c>
      <c r="O353" s="4" t="s">
        <v>283</v>
      </c>
      <c r="P353" s="2">
        <v>1000</v>
      </c>
      <c r="Q353" s="2">
        <v>1648</v>
      </c>
      <c r="R353" s="4" t="s">
        <v>755</v>
      </c>
      <c r="S353" s="5">
        <v>63739700</v>
      </c>
    </row>
    <row r="354" spans="1:19" x14ac:dyDescent="0.25">
      <c r="A354" s="4" t="s">
        <v>61</v>
      </c>
      <c r="B354" s="4" t="s">
        <v>59</v>
      </c>
      <c r="C354" s="4" t="s">
        <v>62</v>
      </c>
      <c r="D354" s="4" t="s">
        <v>63</v>
      </c>
      <c r="E354" s="4" t="s">
        <v>251</v>
      </c>
      <c r="F354" s="4" t="s">
        <v>252</v>
      </c>
      <c r="G354" s="4" t="s">
        <v>222</v>
      </c>
      <c r="H354" s="4" t="s">
        <v>26</v>
      </c>
      <c r="I354" s="5">
        <v>110000000</v>
      </c>
      <c r="J354" s="5">
        <v>339000</v>
      </c>
      <c r="K354" s="5">
        <v>33900</v>
      </c>
      <c r="L354" s="4" t="s">
        <v>253</v>
      </c>
      <c r="M354" s="4" t="s">
        <v>254</v>
      </c>
      <c r="N354" s="3">
        <v>45874</v>
      </c>
      <c r="O354" s="4" t="s">
        <v>719</v>
      </c>
      <c r="P354" s="2">
        <v>1000</v>
      </c>
      <c r="Q354" s="2">
        <v>1656</v>
      </c>
      <c r="R354" s="4" t="s">
        <v>766</v>
      </c>
      <c r="S354" s="5">
        <v>108445000</v>
      </c>
    </row>
    <row r="355" spans="1:19" x14ac:dyDescent="0.25">
      <c r="A355" s="4" t="s">
        <v>61</v>
      </c>
      <c r="B355" s="4" t="s">
        <v>59</v>
      </c>
      <c r="C355" s="4" t="s">
        <v>62</v>
      </c>
      <c r="D355" s="4" t="s">
        <v>63</v>
      </c>
      <c r="E355" s="4" t="s">
        <v>386</v>
      </c>
      <c r="F355" s="4" t="s">
        <v>387</v>
      </c>
      <c r="G355" s="4" t="s">
        <v>50</v>
      </c>
      <c r="H355" s="4" t="s">
        <v>26</v>
      </c>
      <c r="I355" s="5">
        <v>65000000</v>
      </c>
      <c r="J355" s="5">
        <v>149000</v>
      </c>
      <c r="K355" s="5">
        <v>14900</v>
      </c>
      <c r="L355" s="4" t="s">
        <v>724</v>
      </c>
      <c r="M355" s="4" t="s">
        <v>725</v>
      </c>
      <c r="N355" s="3">
        <v>45874</v>
      </c>
      <c r="O355" s="4" t="s">
        <v>719</v>
      </c>
      <c r="P355" s="2">
        <v>1000</v>
      </c>
      <c r="Q355" s="2">
        <v>1669</v>
      </c>
      <c r="R355" s="4" t="s">
        <v>754</v>
      </c>
      <c r="S355" s="5">
        <v>63916900</v>
      </c>
    </row>
    <row r="356" spans="1:19" x14ac:dyDescent="0.25">
      <c r="A356" s="4" t="s">
        <v>61</v>
      </c>
      <c r="B356" s="4" t="s">
        <v>59</v>
      </c>
      <c r="C356" s="4" t="s">
        <v>62</v>
      </c>
      <c r="D356" s="4" t="s">
        <v>63</v>
      </c>
      <c r="E356" s="4" t="s">
        <v>549</v>
      </c>
      <c r="F356" s="4" t="s">
        <v>550</v>
      </c>
      <c r="G356" s="4" t="s">
        <v>81</v>
      </c>
      <c r="H356" s="4" t="s">
        <v>26</v>
      </c>
      <c r="I356" s="5">
        <v>65000000</v>
      </c>
      <c r="J356" s="5">
        <v>1090000</v>
      </c>
      <c r="K356" s="5">
        <v>109000</v>
      </c>
      <c r="L356" s="4" t="s">
        <v>686</v>
      </c>
      <c r="M356" s="4" t="s">
        <v>687</v>
      </c>
      <c r="N356" s="3">
        <v>45888</v>
      </c>
      <c r="O356" s="4" t="s">
        <v>681</v>
      </c>
      <c r="P356" s="2">
        <v>1000</v>
      </c>
      <c r="Q356" s="2">
        <v>1672</v>
      </c>
      <c r="R356" s="4" t="s">
        <v>770</v>
      </c>
      <c r="S356" s="5">
        <v>63437500</v>
      </c>
    </row>
    <row r="357" spans="1:19" x14ac:dyDescent="0.25">
      <c r="A357" s="4" t="s">
        <v>61</v>
      </c>
      <c r="B357" s="4" t="s">
        <v>59</v>
      </c>
      <c r="C357" s="4" t="s">
        <v>62</v>
      </c>
      <c r="D357" s="4" t="s">
        <v>63</v>
      </c>
      <c r="E357" s="4" t="s">
        <v>482</v>
      </c>
      <c r="F357" s="4" t="s">
        <v>483</v>
      </c>
      <c r="G357" s="4" t="s">
        <v>419</v>
      </c>
      <c r="H357" s="4" t="s">
        <v>26</v>
      </c>
      <c r="I357" s="5">
        <v>155000000</v>
      </c>
      <c r="J357" s="5">
        <v>103500</v>
      </c>
      <c r="K357" s="5">
        <v>10350</v>
      </c>
      <c r="L357" s="4" t="s">
        <v>26</v>
      </c>
      <c r="M357" s="4" t="s">
        <v>26</v>
      </c>
      <c r="N357" s="3">
        <v>45874</v>
      </c>
      <c r="O357" s="4" t="s">
        <v>459</v>
      </c>
      <c r="P357" s="2">
        <v>1000</v>
      </c>
      <c r="Q357" s="2">
        <v>1680</v>
      </c>
      <c r="R357" s="4" t="s">
        <v>84</v>
      </c>
      <c r="S357" s="5">
        <v>148644500</v>
      </c>
    </row>
    <row r="358" spans="1:19" x14ac:dyDescent="0.25">
      <c r="A358" s="4" t="s">
        <v>61</v>
      </c>
      <c r="B358" s="4" t="s">
        <v>59</v>
      </c>
      <c r="C358" s="4" t="s">
        <v>62</v>
      </c>
      <c r="D358" s="4" t="s">
        <v>63</v>
      </c>
      <c r="E358" s="4" t="s">
        <v>693</v>
      </c>
      <c r="F358" s="4" t="s">
        <v>694</v>
      </c>
      <c r="G358" s="4" t="s">
        <v>695</v>
      </c>
      <c r="H358" s="4" t="s">
        <v>26</v>
      </c>
      <c r="I358" s="5">
        <v>155000000</v>
      </c>
      <c r="J358" s="5">
        <v>5590000</v>
      </c>
      <c r="K358" s="5">
        <v>559000</v>
      </c>
      <c r="L358" s="4" t="s">
        <v>696</v>
      </c>
      <c r="M358" s="4" t="s">
        <v>697</v>
      </c>
      <c r="N358" s="3">
        <v>45894</v>
      </c>
      <c r="O358" s="4" t="s">
        <v>690</v>
      </c>
      <c r="P358" s="2">
        <v>1000</v>
      </c>
      <c r="Q358" s="2">
        <v>1680</v>
      </c>
      <c r="R358" s="4" t="s">
        <v>761</v>
      </c>
      <c r="S358" s="5">
        <v>149410000</v>
      </c>
    </row>
    <row r="359" spans="1:19" x14ac:dyDescent="0.25">
      <c r="A359" s="4" t="s">
        <v>61</v>
      </c>
      <c r="B359" s="4" t="s">
        <v>59</v>
      </c>
      <c r="C359" s="4" t="s">
        <v>62</v>
      </c>
      <c r="D359" s="4" t="s">
        <v>63</v>
      </c>
      <c r="E359" s="4" t="s">
        <v>443</v>
      </c>
      <c r="F359" s="4" t="s">
        <v>444</v>
      </c>
      <c r="G359" s="4" t="s">
        <v>157</v>
      </c>
      <c r="H359" s="4" t="s">
        <v>26</v>
      </c>
      <c r="I359" s="5">
        <v>90000000</v>
      </c>
      <c r="J359" s="5">
        <v>69000</v>
      </c>
      <c r="K359" s="5">
        <v>6900</v>
      </c>
      <c r="L359" s="4" t="s">
        <v>402</v>
      </c>
      <c r="M359" s="4" t="s">
        <v>403</v>
      </c>
      <c r="N359" s="3">
        <v>45896</v>
      </c>
      <c r="O359" s="4" t="s">
        <v>676</v>
      </c>
      <c r="P359" s="2">
        <v>1000</v>
      </c>
      <c r="Q359" s="2">
        <v>1681</v>
      </c>
      <c r="R359" s="4" t="s">
        <v>26</v>
      </c>
      <c r="S359" s="5">
        <v>86215260</v>
      </c>
    </row>
    <row r="360" spans="1:19" x14ac:dyDescent="0.25">
      <c r="A360" s="4" t="s">
        <v>61</v>
      </c>
      <c r="B360" s="4" t="s">
        <v>59</v>
      </c>
      <c r="C360" s="4" t="s">
        <v>62</v>
      </c>
      <c r="D360" s="4" t="s">
        <v>63</v>
      </c>
      <c r="E360" s="4" t="s">
        <v>443</v>
      </c>
      <c r="F360" s="4" t="s">
        <v>444</v>
      </c>
      <c r="G360" s="4" t="s">
        <v>157</v>
      </c>
      <c r="H360" s="4" t="s">
        <v>26</v>
      </c>
      <c r="I360" s="5">
        <v>90000000</v>
      </c>
      <c r="J360" s="5">
        <v>69000</v>
      </c>
      <c r="K360" s="5">
        <v>6900</v>
      </c>
      <c r="L360" s="4" t="s">
        <v>402</v>
      </c>
      <c r="M360" s="4" t="s">
        <v>403</v>
      </c>
      <c r="N360" s="3">
        <v>45896</v>
      </c>
      <c r="O360" s="4" t="s">
        <v>676</v>
      </c>
      <c r="P360" s="2">
        <v>2000</v>
      </c>
      <c r="Q360" s="2">
        <v>1681</v>
      </c>
      <c r="R360" s="4" t="s">
        <v>26</v>
      </c>
      <c r="S360" s="5">
        <v>86215260</v>
      </c>
    </row>
    <row r="361" spans="1:19" x14ac:dyDescent="0.25">
      <c r="A361" s="4" t="s">
        <v>61</v>
      </c>
      <c r="B361" s="4" t="s">
        <v>59</v>
      </c>
      <c r="C361" s="4" t="s">
        <v>62</v>
      </c>
      <c r="D361" s="4" t="s">
        <v>63</v>
      </c>
      <c r="E361" s="4" t="s">
        <v>443</v>
      </c>
      <c r="F361" s="4" t="s">
        <v>444</v>
      </c>
      <c r="G361" s="4" t="s">
        <v>157</v>
      </c>
      <c r="H361" s="4" t="s">
        <v>26</v>
      </c>
      <c r="I361" s="5">
        <v>90000000</v>
      </c>
      <c r="J361" s="5">
        <v>251100</v>
      </c>
      <c r="K361" s="5">
        <v>25110</v>
      </c>
      <c r="L361" s="4" t="s">
        <v>402</v>
      </c>
      <c r="M361" s="4" t="s">
        <v>403</v>
      </c>
      <c r="N361" s="3">
        <v>45896</v>
      </c>
      <c r="O361" s="4" t="s">
        <v>676</v>
      </c>
      <c r="P361" s="2">
        <v>3000</v>
      </c>
      <c r="Q361" s="2">
        <v>1681</v>
      </c>
      <c r="R361" s="4" t="s">
        <v>26</v>
      </c>
      <c r="S361" s="5">
        <v>86215260</v>
      </c>
    </row>
    <row r="362" spans="1:19" x14ac:dyDescent="0.25">
      <c r="A362" s="4" t="s">
        <v>61</v>
      </c>
      <c r="B362" s="4" t="s">
        <v>59</v>
      </c>
      <c r="C362" s="4" t="s">
        <v>62</v>
      </c>
      <c r="D362" s="4" t="s">
        <v>63</v>
      </c>
      <c r="E362" s="4" t="s">
        <v>443</v>
      </c>
      <c r="F362" s="4" t="s">
        <v>444</v>
      </c>
      <c r="G362" s="4" t="s">
        <v>157</v>
      </c>
      <c r="H362" s="4" t="s">
        <v>26</v>
      </c>
      <c r="I362" s="5">
        <v>90000000</v>
      </c>
      <c r="J362" s="5">
        <v>49000</v>
      </c>
      <c r="K362" s="5">
        <v>4900</v>
      </c>
      <c r="L362" s="4" t="s">
        <v>402</v>
      </c>
      <c r="M362" s="4" t="s">
        <v>403</v>
      </c>
      <c r="N362" s="3">
        <v>45896</v>
      </c>
      <c r="O362" s="4" t="s">
        <v>676</v>
      </c>
      <c r="P362" s="2">
        <v>4000</v>
      </c>
      <c r="Q362" s="2">
        <v>1681</v>
      </c>
      <c r="R362" s="4" t="s">
        <v>26</v>
      </c>
      <c r="S362" s="5">
        <v>86215260</v>
      </c>
    </row>
    <row r="363" spans="1:19" x14ac:dyDescent="0.25">
      <c r="A363" s="4" t="s">
        <v>61</v>
      </c>
      <c r="B363" s="4" t="s">
        <v>59</v>
      </c>
      <c r="C363" s="4" t="s">
        <v>62</v>
      </c>
      <c r="D363" s="4" t="s">
        <v>63</v>
      </c>
      <c r="E363" s="4" t="s">
        <v>443</v>
      </c>
      <c r="F363" s="4" t="s">
        <v>444</v>
      </c>
      <c r="G363" s="4" t="s">
        <v>157</v>
      </c>
      <c r="H363" s="4" t="s">
        <v>26</v>
      </c>
      <c r="I363" s="5">
        <v>90000000</v>
      </c>
      <c r="J363" s="5">
        <v>89000</v>
      </c>
      <c r="K363" s="5">
        <v>8900</v>
      </c>
      <c r="L363" s="4" t="s">
        <v>402</v>
      </c>
      <c r="M363" s="4" t="s">
        <v>403</v>
      </c>
      <c r="N363" s="3">
        <v>45896</v>
      </c>
      <c r="O363" s="4" t="s">
        <v>676</v>
      </c>
      <c r="P363" s="2">
        <v>5000</v>
      </c>
      <c r="Q363" s="2">
        <v>1681</v>
      </c>
      <c r="R363" s="4" t="s">
        <v>26</v>
      </c>
      <c r="S363" s="5">
        <v>86215260</v>
      </c>
    </row>
    <row r="364" spans="1:19" x14ac:dyDescent="0.25">
      <c r="A364" s="4" t="s">
        <v>61</v>
      </c>
      <c r="B364" s="4" t="s">
        <v>59</v>
      </c>
      <c r="C364" s="4" t="s">
        <v>62</v>
      </c>
      <c r="D364" s="4" t="s">
        <v>63</v>
      </c>
      <c r="E364" s="4" t="s">
        <v>443</v>
      </c>
      <c r="F364" s="4" t="s">
        <v>444</v>
      </c>
      <c r="G364" s="4" t="s">
        <v>157</v>
      </c>
      <c r="H364" s="4" t="s">
        <v>26</v>
      </c>
      <c r="I364" s="5">
        <v>90000000</v>
      </c>
      <c r="J364" s="5">
        <v>89000</v>
      </c>
      <c r="K364" s="5">
        <v>8900</v>
      </c>
      <c r="L364" s="4" t="s">
        <v>402</v>
      </c>
      <c r="M364" s="4" t="s">
        <v>403</v>
      </c>
      <c r="N364" s="3">
        <v>45896</v>
      </c>
      <c r="O364" s="4" t="s">
        <v>676</v>
      </c>
      <c r="P364" s="2">
        <v>6000</v>
      </c>
      <c r="Q364" s="2">
        <v>1681</v>
      </c>
      <c r="R364" s="4" t="s">
        <v>26</v>
      </c>
      <c r="S364" s="5">
        <v>86215260</v>
      </c>
    </row>
    <row r="365" spans="1:19" x14ac:dyDescent="0.25">
      <c r="A365" s="4" t="s">
        <v>61</v>
      </c>
      <c r="B365" s="4" t="s">
        <v>59</v>
      </c>
      <c r="C365" s="4" t="s">
        <v>62</v>
      </c>
      <c r="D365" s="4" t="s">
        <v>63</v>
      </c>
      <c r="E365" s="4" t="s">
        <v>238</v>
      </c>
      <c r="F365" s="4" t="s">
        <v>239</v>
      </c>
      <c r="G365" s="4" t="s">
        <v>190</v>
      </c>
      <c r="H365" s="4" t="s">
        <v>26</v>
      </c>
      <c r="I365" s="5">
        <v>90000000</v>
      </c>
      <c r="J365" s="5">
        <v>54000</v>
      </c>
      <c r="K365" s="5">
        <v>5400</v>
      </c>
      <c r="L365" s="4" t="s">
        <v>240</v>
      </c>
      <c r="M365" s="4" t="s">
        <v>241</v>
      </c>
      <c r="N365" s="3">
        <v>45874</v>
      </c>
      <c r="O365" s="4" t="s">
        <v>459</v>
      </c>
      <c r="P365" s="2">
        <v>1000</v>
      </c>
      <c r="Q365" s="2">
        <v>1687</v>
      </c>
      <c r="R365" s="4" t="s">
        <v>26</v>
      </c>
      <c r="S365" s="5">
        <v>88561500</v>
      </c>
    </row>
    <row r="366" spans="1:19" x14ac:dyDescent="0.25">
      <c r="A366" s="4" t="s">
        <v>61</v>
      </c>
      <c r="B366" s="4" t="s">
        <v>59</v>
      </c>
      <c r="C366" s="4" t="s">
        <v>62</v>
      </c>
      <c r="D366" s="4" t="s">
        <v>63</v>
      </c>
      <c r="E366" s="4" t="s">
        <v>468</v>
      </c>
      <c r="F366" s="4" t="s">
        <v>469</v>
      </c>
      <c r="G366" s="4" t="s">
        <v>76</v>
      </c>
      <c r="H366" s="4" t="s">
        <v>26</v>
      </c>
      <c r="I366" s="5">
        <v>110000000</v>
      </c>
      <c r="J366" s="5">
        <v>40500</v>
      </c>
      <c r="K366" s="5">
        <v>4050</v>
      </c>
      <c r="L366" s="4" t="s">
        <v>470</v>
      </c>
      <c r="M366" s="4" t="s">
        <v>471</v>
      </c>
      <c r="N366" s="3">
        <v>45874</v>
      </c>
      <c r="O366" s="4" t="s">
        <v>459</v>
      </c>
      <c r="P366" s="2">
        <v>1000</v>
      </c>
      <c r="Q366" s="2">
        <v>1701</v>
      </c>
      <c r="R366" s="4" t="s">
        <v>747</v>
      </c>
      <c r="S366" s="5">
        <v>109350000</v>
      </c>
    </row>
    <row r="367" spans="1:19" x14ac:dyDescent="0.25">
      <c r="A367" s="4" t="s">
        <v>61</v>
      </c>
      <c r="B367" s="4" t="s">
        <v>59</v>
      </c>
      <c r="C367" s="4" t="s">
        <v>62</v>
      </c>
      <c r="D367" s="4" t="s">
        <v>63</v>
      </c>
      <c r="E367" s="4" t="s">
        <v>468</v>
      </c>
      <c r="F367" s="4" t="s">
        <v>469</v>
      </c>
      <c r="G367" s="4" t="s">
        <v>76</v>
      </c>
      <c r="H367" s="4" t="s">
        <v>26</v>
      </c>
      <c r="I367" s="5">
        <v>110000000</v>
      </c>
      <c r="J367" s="5">
        <v>49500</v>
      </c>
      <c r="K367" s="5">
        <v>4950</v>
      </c>
      <c r="L367" s="4" t="s">
        <v>470</v>
      </c>
      <c r="M367" s="4" t="s">
        <v>471</v>
      </c>
      <c r="N367" s="3">
        <v>45874</v>
      </c>
      <c r="O367" s="4" t="s">
        <v>459</v>
      </c>
      <c r="P367" s="2">
        <v>2000</v>
      </c>
      <c r="Q367" s="2">
        <v>1701</v>
      </c>
      <c r="R367" s="4" t="s">
        <v>747</v>
      </c>
      <c r="S367" s="5">
        <v>109350000</v>
      </c>
    </row>
    <row r="368" spans="1:19" x14ac:dyDescent="0.25">
      <c r="A368" s="4" t="s">
        <v>61</v>
      </c>
      <c r="B368" s="4" t="s">
        <v>59</v>
      </c>
      <c r="C368" s="4" t="s">
        <v>62</v>
      </c>
      <c r="D368" s="4" t="s">
        <v>63</v>
      </c>
      <c r="E368" s="4" t="s">
        <v>85</v>
      </c>
      <c r="F368" s="4" t="s">
        <v>86</v>
      </c>
      <c r="G368" s="4" t="s">
        <v>50</v>
      </c>
      <c r="H368" s="4" t="s">
        <v>26</v>
      </c>
      <c r="I368" s="5">
        <v>65000000</v>
      </c>
      <c r="J368" s="5">
        <v>55000</v>
      </c>
      <c r="K368" s="5">
        <v>5500</v>
      </c>
      <c r="L368" s="4" t="s">
        <v>87</v>
      </c>
      <c r="M368" s="4" t="s">
        <v>88</v>
      </c>
      <c r="N368" s="3">
        <v>45873</v>
      </c>
      <c r="O368" s="4" t="s">
        <v>51</v>
      </c>
      <c r="P368" s="2">
        <v>1000</v>
      </c>
      <c r="Q368" s="2">
        <v>1730</v>
      </c>
      <c r="R368" s="4" t="s">
        <v>757</v>
      </c>
      <c r="S368" s="5">
        <v>63946000</v>
      </c>
    </row>
    <row r="369" spans="1:19" x14ac:dyDescent="0.25">
      <c r="A369" s="4" t="s">
        <v>61</v>
      </c>
      <c r="B369" s="4" t="s">
        <v>59</v>
      </c>
      <c r="C369" s="4" t="s">
        <v>62</v>
      </c>
      <c r="D369" s="4" t="s">
        <v>63</v>
      </c>
      <c r="E369" s="4" t="s">
        <v>263</v>
      </c>
      <c r="F369" s="4" t="s">
        <v>264</v>
      </c>
      <c r="G369" s="4" t="s">
        <v>81</v>
      </c>
      <c r="H369" s="4" t="s">
        <v>26</v>
      </c>
      <c r="I369" s="5">
        <v>65000000</v>
      </c>
      <c r="J369" s="5">
        <v>2837100</v>
      </c>
      <c r="K369" s="5">
        <v>283710</v>
      </c>
      <c r="L369" s="4" t="s">
        <v>26</v>
      </c>
      <c r="M369" s="4" t="s">
        <v>26</v>
      </c>
      <c r="N369" s="3">
        <v>45895</v>
      </c>
      <c r="O369" s="4" t="s">
        <v>672</v>
      </c>
      <c r="P369" s="2">
        <v>1000</v>
      </c>
      <c r="Q369" s="2">
        <v>1734</v>
      </c>
      <c r="R369" s="4" t="s">
        <v>762</v>
      </c>
      <c r="S369" s="5">
        <v>54808900</v>
      </c>
    </row>
    <row r="370" spans="1:19" x14ac:dyDescent="0.25">
      <c r="A370" s="4" t="s">
        <v>61</v>
      </c>
      <c r="B370" s="4" t="s">
        <v>59</v>
      </c>
      <c r="C370" s="4" t="s">
        <v>62</v>
      </c>
      <c r="D370" s="4" t="s">
        <v>63</v>
      </c>
      <c r="E370" s="4" t="s">
        <v>263</v>
      </c>
      <c r="F370" s="4" t="s">
        <v>264</v>
      </c>
      <c r="G370" s="4" t="s">
        <v>81</v>
      </c>
      <c r="H370" s="4" t="s">
        <v>26</v>
      </c>
      <c r="I370" s="5">
        <v>65000000</v>
      </c>
      <c r="J370" s="5">
        <v>320000</v>
      </c>
      <c r="K370" s="5">
        <v>32000</v>
      </c>
      <c r="L370" s="4" t="s">
        <v>67</v>
      </c>
      <c r="M370" s="4" t="s">
        <v>68</v>
      </c>
      <c r="N370" s="3">
        <v>45882</v>
      </c>
      <c r="O370" s="4" t="s">
        <v>605</v>
      </c>
      <c r="P370" s="2">
        <v>1000</v>
      </c>
      <c r="Q370" s="2">
        <v>1740</v>
      </c>
      <c r="R370" s="4" t="s">
        <v>756</v>
      </c>
      <c r="S370" s="5">
        <v>54808900</v>
      </c>
    </row>
    <row r="371" spans="1:19" x14ac:dyDescent="0.25">
      <c r="A371" s="4" t="s">
        <v>61</v>
      </c>
      <c r="B371" s="4" t="s">
        <v>59</v>
      </c>
      <c r="C371" s="4" t="s">
        <v>62</v>
      </c>
      <c r="D371" s="4" t="s">
        <v>63</v>
      </c>
      <c r="E371" s="4" t="s">
        <v>148</v>
      </c>
      <c r="F371" s="4" t="s">
        <v>149</v>
      </c>
      <c r="G371" s="4" t="s">
        <v>50</v>
      </c>
      <c r="H371" s="4" t="s">
        <v>26</v>
      </c>
      <c r="I371" s="5">
        <v>65000000</v>
      </c>
      <c r="J371" s="5">
        <v>54000</v>
      </c>
      <c r="K371" s="5">
        <v>5400</v>
      </c>
      <c r="L371" s="4" t="s">
        <v>26</v>
      </c>
      <c r="M371" s="4" t="s">
        <v>26</v>
      </c>
      <c r="N371" s="3">
        <v>45876</v>
      </c>
      <c r="O371" s="4" t="s">
        <v>432</v>
      </c>
      <c r="P371" s="2">
        <v>1000</v>
      </c>
      <c r="Q371" s="2">
        <v>1747</v>
      </c>
      <c r="R371" s="4" t="s">
        <v>749</v>
      </c>
      <c r="S371" s="5">
        <v>58699710</v>
      </c>
    </row>
    <row r="372" spans="1:19" x14ac:dyDescent="0.25">
      <c r="A372" s="4" t="s">
        <v>61</v>
      </c>
      <c r="B372" s="4" t="s">
        <v>59</v>
      </c>
      <c r="C372" s="4" t="s">
        <v>62</v>
      </c>
      <c r="D372" s="4" t="s">
        <v>63</v>
      </c>
      <c r="E372" s="4" t="s">
        <v>148</v>
      </c>
      <c r="F372" s="4" t="s">
        <v>149</v>
      </c>
      <c r="G372" s="4" t="s">
        <v>50</v>
      </c>
      <c r="H372" s="4" t="s">
        <v>26</v>
      </c>
      <c r="I372" s="5">
        <v>65000000</v>
      </c>
      <c r="J372" s="5">
        <v>30000</v>
      </c>
      <c r="K372" s="5">
        <v>3000</v>
      </c>
      <c r="L372" s="4" t="s">
        <v>26</v>
      </c>
      <c r="M372" s="4" t="s">
        <v>26</v>
      </c>
      <c r="N372" s="3">
        <v>45876</v>
      </c>
      <c r="O372" s="4" t="s">
        <v>432</v>
      </c>
      <c r="P372" s="2">
        <v>2000</v>
      </c>
      <c r="Q372" s="2">
        <v>1747</v>
      </c>
      <c r="R372" s="4" t="s">
        <v>84</v>
      </c>
      <c r="S372" s="5">
        <v>58699710</v>
      </c>
    </row>
    <row r="373" spans="1:19" x14ac:dyDescent="0.25">
      <c r="A373" s="4" t="s">
        <v>61</v>
      </c>
      <c r="B373" s="4" t="s">
        <v>59</v>
      </c>
      <c r="C373" s="4" t="s">
        <v>62</v>
      </c>
      <c r="D373" s="4" t="s">
        <v>63</v>
      </c>
      <c r="E373" s="4" t="s">
        <v>103</v>
      </c>
      <c r="F373" s="4" t="s">
        <v>104</v>
      </c>
      <c r="G373" s="4" t="s">
        <v>105</v>
      </c>
      <c r="H373" s="4" t="s">
        <v>26</v>
      </c>
      <c r="I373" s="5">
        <v>155000000</v>
      </c>
      <c r="J373" s="5">
        <v>126000</v>
      </c>
      <c r="K373" s="5">
        <v>12600</v>
      </c>
      <c r="L373" s="4" t="s">
        <v>26</v>
      </c>
      <c r="M373" s="4" t="s">
        <v>26</v>
      </c>
      <c r="N373" s="3">
        <v>45877</v>
      </c>
      <c r="O373" s="4" t="s">
        <v>283</v>
      </c>
      <c r="P373" s="2">
        <v>1000</v>
      </c>
      <c r="Q373" s="2">
        <v>1767</v>
      </c>
      <c r="R373" s="4" t="s">
        <v>755</v>
      </c>
      <c r="S373" s="5">
        <v>150234500</v>
      </c>
    </row>
    <row r="374" spans="1:19" x14ac:dyDescent="0.25">
      <c r="A374" s="4" t="s">
        <v>61</v>
      </c>
      <c r="B374" s="4" t="s">
        <v>59</v>
      </c>
      <c r="C374" s="4" t="s">
        <v>62</v>
      </c>
      <c r="D374" s="4" t="s">
        <v>63</v>
      </c>
      <c r="E374" s="4" t="s">
        <v>103</v>
      </c>
      <c r="F374" s="4" t="s">
        <v>104</v>
      </c>
      <c r="G374" s="4" t="s">
        <v>105</v>
      </c>
      <c r="H374" s="4" t="s">
        <v>26</v>
      </c>
      <c r="I374" s="5">
        <v>155000000</v>
      </c>
      <c r="J374" s="5">
        <v>119000</v>
      </c>
      <c r="K374" s="5">
        <v>11900</v>
      </c>
      <c r="L374" s="4" t="s">
        <v>26</v>
      </c>
      <c r="M374" s="4" t="s">
        <v>26</v>
      </c>
      <c r="N374" s="3">
        <v>45877</v>
      </c>
      <c r="O374" s="4" t="s">
        <v>283</v>
      </c>
      <c r="P374" s="2">
        <v>2000</v>
      </c>
      <c r="Q374" s="2">
        <v>1767</v>
      </c>
      <c r="R374" s="4" t="s">
        <v>755</v>
      </c>
      <c r="S374" s="5">
        <v>150234500</v>
      </c>
    </row>
    <row r="375" spans="1:19" x14ac:dyDescent="0.25">
      <c r="A375" s="4" t="s">
        <v>61</v>
      </c>
      <c r="B375" s="4" t="s">
        <v>59</v>
      </c>
      <c r="C375" s="4" t="s">
        <v>62</v>
      </c>
      <c r="D375" s="4" t="s">
        <v>63</v>
      </c>
      <c r="E375" s="4" t="s">
        <v>338</v>
      </c>
      <c r="F375" s="4" t="s">
        <v>339</v>
      </c>
      <c r="G375" s="4" t="s">
        <v>100</v>
      </c>
      <c r="H375" s="4" t="s">
        <v>26</v>
      </c>
      <c r="I375" s="5">
        <v>65000000</v>
      </c>
      <c r="J375" s="5">
        <v>30000</v>
      </c>
      <c r="K375" s="5">
        <v>3000</v>
      </c>
      <c r="L375" s="4" t="s">
        <v>340</v>
      </c>
      <c r="M375" s="4" t="s">
        <v>341</v>
      </c>
      <c r="N375" s="3">
        <v>45876</v>
      </c>
      <c r="O375" s="4" t="s">
        <v>432</v>
      </c>
      <c r="P375" s="2">
        <v>1000</v>
      </c>
      <c r="Q375" s="2">
        <v>1771</v>
      </c>
      <c r="R375" s="4" t="s">
        <v>84</v>
      </c>
      <c r="S375" s="5">
        <v>61189450</v>
      </c>
    </row>
    <row r="376" spans="1:19" x14ac:dyDescent="0.25">
      <c r="A376" s="4" t="s">
        <v>61</v>
      </c>
      <c r="B376" s="4" t="s">
        <v>59</v>
      </c>
      <c r="C376" s="4" t="s">
        <v>62</v>
      </c>
      <c r="D376" s="4" t="s">
        <v>63</v>
      </c>
      <c r="E376" s="4" t="s">
        <v>334</v>
      </c>
      <c r="F376" s="4" t="s">
        <v>335</v>
      </c>
      <c r="G376" s="4" t="s">
        <v>222</v>
      </c>
      <c r="H376" s="4" t="s">
        <v>26</v>
      </c>
      <c r="I376" s="5">
        <v>110000000</v>
      </c>
      <c r="J376" s="5">
        <v>126650</v>
      </c>
      <c r="K376" s="5">
        <v>12665</v>
      </c>
      <c r="L376" s="4" t="s">
        <v>336</v>
      </c>
      <c r="M376" s="4" t="s">
        <v>337</v>
      </c>
      <c r="N376" s="3">
        <v>45884</v>
      </c>
      <c r="O376" s="4" t="s">
        <v>698</v>
      </c>
      <c r="P376" s="2">
        <v>1000</v>
      </c>
      <c r="Q376" s="2">
        <v>1783</v>
      </c>
      <c r="R376" s="4" t="s">
        <v>758</v>
      </c>
      <c r="S376" s="5">
        <v>101184670</v>
      </c>
    </row>
    <row r="377" spans="1:19" x14ac:dyDescent="0.25">
      <c r="A377" s="4" t="s">
        <v>61</v>
      </c>
      <c r="B377" s="4" t="s">
        <v>59</v>
      </c>
      <c r="C377" s="4" t="s">
        <v>62</v>
      </c>
      <c r="D377" s="4" t="s">
        <v>63</v>
      </c>
      <c r="E377" s="4" t="s">
        <v>382</v>
      </c>
      <c r="F377" s="4" t="s">
        <v>383</v>
      </c>
      <c r="G377" s="4" t="s">
        <v>115</v>
      </c>
      <c r="H377" s="4" t="s">
        <v>26</v>
      </c>
      <c r="I377" s="5">
        <v>65000000</v>
      </c>
      <c r="J377" s="5">
        <v>67500</v>
      </c>
      <c r="K377" s="5">
        <v>6750</v>
      </c>
      <c r="L377" s="4" t="s">
        <v>384</v>
      </c>
      <c r="M377" s="4" t="s">
        <v>385</v>
      </c>
      <c r="N377" s="3">
        <v>45874</v>
      </c>
      <c r="O377" s="4" t="s">
        <v>565</v>
      </c>
      <c r="P377" s="2">
        <v>1000</v>
      </c>
      <c r="Q377" s="2">
        <v>1793</v>
      </c>
      <c r="R377" s="4" t="s">
        <v>749</v>
      </c>
      <c r="S377" s="5">
        <v>50115750</v>
      </c>
    </row>
    <row r="378" spans="1:19" x14ac:dyDescent="0.25">
      <c r="A378" s="4" t="s">
        <v>61</v>
      </c>
      <c r="B378" s="4" t="s">
        <v>59</v>
      </c>
      <c r="C378" s="4" t="s">
        <v>62</v>
      </c>
      <c r="D378" s="4" t="s">
        <v>63</v>
      </c>
      <c r="E378" s="4" t="s">
        <v>398</v>
      </c>
      <c r="F378" s="4" t="s">
        <v>399</v>
      </c>
      <c r="G378" s="4" t="s">
        <v>309</v>
      </c>
      <c r="H378" s="4" t="s">
        <v>26</v>
      </c>
      <c r="I378" s="5">
        <v>90000000</v>
      </c>
      <c r="J378" s="5">
        <v>25000</v>
      </c>
      <c r="K378" s="5">
        <v>2500</v>
      </c>
      <c r="L378" s="4" t="s">
        <v>472</v>
      </c>
      <c r="M378" s="4" t="s">
        <v>473</v>
      </c>
      <c r="N378" s="3">
        <v>45885</v>
      </c>
      <c r="O378" s="4" t="s">
        <v>733</v>
      </c>
      <c r="P378" s="2">
        <v>1000</v>
      </c>
      <c r="Q378" s="2">
        <v>1793</v>
      </c>
      <c r="R378" s="4" t="s">
        <v>766</v>
      </c>
      <c r="S378" s="5">
        <v>88662000</v>
      </c>
    </row>
    <row r="379" spans="1:19" x14ac:dyDescent="0.25">
      <c r="A379" s="4" t="s">
        <v>61</v>
      </c>
      <c r="B379" s="4" t="s">
        <v>59</v>
      </c>
      <c r="C379" s="4" t="s">
        <v>62</v>
      </c>
      <c r="D379" s="4" t="s">
        <v>63</v>
      </c>
      <c r="E379" s="4" t="s">
        <v>155</v>
      </c>
      <c r="F379" s="4" t="s">
        <v>156</v>
      </c>
      <c r="G379" s="4" t="s">
        <v>157</v>
      </c>
      <c r="H379" s="4" t="s">
        <v>26</v>
      </c>
      <c r="I379" s="5">
        <v>90000000</v>
      </c>
      <c r="J379" s="5">
        <v>275000</v>
      </c>
      <c r="K379" s="5">
        <v>27500</v>
      </c>
      <c r="L379" s="4" t="s">
        <v>158</v>
      </c>
      <c r="M379" s="4" t="s">
        <v>159</v>
      </c>
      <c r="N379" s="3">
        <v>45885</v>
      </c>
      <c r="O379" s="4" t="s">
        <v>698</v>
      </c>
      <c r="P379" s="2">
        <v>1000</v>
      </c>
      <c r="Q379" s="2">
        <v>1809</v>
      </c>
      <c r="R379" s="4" t="s">
        <v>769</v>
      </c>
      <c r="S379" s="5">
        <v>87868500</v>
      </c>
    </row>
    <row r="380" spans="1:19" x14ac:dyDescent="0.25">
      <c r="A380" s="4" t="s">
        <v>61</v>
      </c>
      <c r="B380" s="4" t="s">
        <v>59</v>
      </c>
      <c r="C380" s="4" t="s">
        <v>62</v>
      </c>
      <c r="D380" s="4" t="s">
        <v>63</v>
      </c>
      <c r="E380" s="4" t="s">
        <v>155</v>
      </c>
      <c r="F380" s="4" t="s">
        <v>156</v>
      </c>
      <c r="G380" s="4" t="s">
        <v>157</v>
      </c>
      <c r="H380" s="4" t="s">
        <v>26</v>
      </c>
      <c r="I380" s="5">
        <v>90000000</v>
      </c>
      <c r="J380" s="5">
        <v>275000</v>
      </c>
      <c r="K380" s="5">
        <v>27500</v>
      </c>
      <c r="L380" s="4" t="s">
        <v>158</v>
      </c>
      <c r="M380" s="4" t="s">
        <v>159</v>
      </c>
      <c r="N380" s="3">
        <v>45885</v>
      </c>
      <c r="O380" s="4" t="s">
        <v>698</v>
      </c>
      <c r="P380" s="2">
        <v>2000</v>
      </c>
      <c r="Q380" s="2">
        <v>1809</v>
      </c>
      <c r="R380" s="4" t="s">
        <v>769</v>
      </c>
      <c r="S380" s="5">
        <v>87868500</v>
      </c>
    </row>
    <row r="381" spans="1:19" x14ac:dyDescent="0.25">
      <c r="A381" s="4" t="s">
        <v>61</v>
      </c>
      <c r="B381" s="4" t="s">
        <v>59</v>
      </c>
      <c r="C381" s="4" t="s">
        <v>62</v>
      </c>
      <c r="D381" s="4" t="s">
        <v>63</v>
      </c>
      <c r="E381" s="4" t="s">
        <v>170</v>
      </c>
      <c r="F381" s="4" t="s">
        <v>171</v>
      </c>
      <c r="G381" s="4" t="s">
        <v>50</v>
      </c>
      <c r="H381" s="4" t="s">
        <v>26</v>
      </c>
      <c r="I381" s="5">
        <v>65000000</v>
      </c>
      <c r="J381" s="5">
        <v>140800</v>
      </c>
      <c r="K381" s="5">
        <v>14080</v>
      </c>
      <c r="L381" s="4" t="s">
        <v>26</v>
      </c>
      <c r="M381" s="4" t="s">
        <v>26</v>
      </c>
      <c r="N381" s="3">
        <v>45877</v>
      </c>
      <c r="O381" s="4" t="s">
        <v>283</v>
      </c>
      <c r="P381" s="2">
        <v>1000</v>
      </c>
      <c r="Q381" s="2">
        <v>1810</v>
      </c>
      <c r="R381" s="4" t="s">
        <v>755</v>
      </c>
      <c r="S381" s="5">
        <v>59051100</v>
      </c>
    </row>
    <row r="382" spans="1:19" x14ac:dyDescent="0.25">
      <c r="A382" s="4" t="s">
        <v>61</v>
      </c>
      <c r="B382" s="4" t="s">
        <v>59</v>
      </c>
      <c r="C382" s="4" t="s">
        <v>62</v>
      </c>
      <c r="D382" s="4" t="s">
        <v>63</v>
      </c>
      <c r="E382" s="4" t="s">
        <v>314</v>
      </c>
      <c r="F382" s="4" t="s">
        <v>315</v>
      </c>
      <c r="G382" s="4" t="s">
        <v>50</v>
      </c>
      <c r="H382" s="4" t="s">
        <v>26</v>
      </c>
      <c r="I382" s="5">
        <v>65000000</v>
      </c>
      <c r="J382" s="5">
        <v>40500</v>
      </c>
      <c r="K382" s="5">
        <v>4050</v>
      </c>
      <c r="L382" s="4" t="s">
        <v>26</v>
      </c>
      <c r="M382" s="4" t="s">
        <v>26</v>
      </c>
      <c r="N382" s="3">
        <v>45877</v>
      </c>
      <c r="O382" s="4" t="s">
        <v>283</v>
      </c>
      <c r="P382" s="2">
        <v>1000</v>
      </c>
      <c r="Q382" s="2">
        <v>1813</v>
      </c>
      <c r="R382" s="4" t="s">
        <v>747</v>
      </c>
      <c r="S382" s="5">
        <v>64788500</v>
      </c>
    </row>
    <row r="383" spans="1:19" x14ac:dyDescent="0.25">
      <c r="A383" s="4" t="s">
        <v>61</v>
      </c>
      <c r="B383" s="4" t="s">
        <v>59</v>
      </c>
      <c r="C383" s="4" t="s">
        <v>62</v>
      </c>
      <c r="D383" s="4" t="s">
        <v>63</v>
      </c>
      <c r="E383" s="4" t="s">
        <v>152</v>
      </c>
      <c r="F383" s="4" t="s">
        <v>153</v>
      </c>
      <c r="G383" s="4" t="s">
        <v>50</v>
      </c>
      <c r="H383" s="4" t="s">
        <v>26</v>
      </c>
      <c r="I383" s="5">
        <v>65000000</v>
      </c>
      <c r="J383" s="5">
        <v>49500</v>
      </c>
      <c r="K383" s="5">
        <v>4950</v>
      </c>
      <c r="L383" s="4" t="s">
        <v>26</v>
      </c>
      <c r="M383" s="4" t="s">
        <v>26</v>
      </c>
      <c r="N383" s="3">
        <v>45874</v>
      </c>
      <c r="O383" s="4" t="s">
        <v>416</v>
      </c>
      <c r="P383" s="2">
        <v>1000</v>
      </c>
      <c r="Q383" s="2">
        <v>1823</v>
      </c>
      <c r="R383" s="4" t="s">
        <v>747</v>
      </c>
      <c r="S383" s="5">
        <v>64141500</v>
      </c>
    </row>
    <row r="384" spans="1:19" x14ac:dyDescent="0.25">
      <c r="A384" s="4" t="s">
        <v>61</v>
      </c>
      <c r="B384" s="4" t="s">
        <v>59</v>
      </c>
      <c r="C384" s="4" t="s">
        <v>62</v>
      </c>
      <c r="D384" s="4" t="s">
        <v>63</v>
      </c>
      <c r="E384" s="4" t="s">
        <v>178</v>
      </c>
      <c r="F384" s="4" t="s">
        <v>179</v>
      </c>
      <c r="G384" s="4" t="s">
        <v>124</v>
      </c>
      <c r="H384" s="4" t="s">
        <v>26</v>
      </c>
      <c r="I384" s="5">
        <v>65000000</v>
      </c>
      <c r="J384" s="5">
        <v>34000</v>
      </c>
      <c r="K384" s="5">
        <v>3400</v>
      </c>
      <c r="L384" s="4" t="s">
        <v>26</v>
      </c>
      <c r="M384" s="4" t="s">
        <v>26</v>
      </c>
      <c r="N384" s="3">
        <v>45873</v>
      </c>
      <c r="O384" s="4" t="s">
        <v>154</v>
      </c>
      <c r="P384" s="2">
        <v>1000</v>
      </c>
      <c r="Q384" s="2">
        <v>1840</v>
      </c>
      <c r="R384" s="4" t="s">
        <v>84</v>
      </c>
      <c r="S384" s="5">
        <v>54146650</v>
      </c>
    </row>
    <row r="385" spans="1:19" x14ac:dyDescent="0.25">
      <c r="A385" s="4" t="s">
        <v>61</v>
      </c>
      <c r="B385" s="4" t="s">
        <v>59</v>
      </c>
      <c r="C385" s="4" t="s">
        <v>62</v>
      </c>
      <c r="D385" s="4" t="s">
        <v>63</v>
      </c>
      <c r="E385" s="4" t="s">
        <v>382</v>
      </c>
      <c r="F385" s="4" t="s">
        <v>383</v>
      </c>
      <c r="G385" s="4" t="s">
        <v>115</v>
      </c>
      <c r="H385" s="4" t="s">
        <v>26</v>
      </c>
      <c r="I385" s="5">
        <v>65000000</v>
      </c>
      <c r="J385" s="5">
        <v>49500</v>
      </c>
      <c r="K385" s="5">
        <v>4950</v>
      </c>
      <c r="L385" s="4" t="s">
        <v>384</v>
      </c>
      <c r="M385" s="4" t="s">
        <v>385</v>
      </c>
      <c r="N385" s="3">
        <v>45874</v>
      </c>
      <c r="O385" s="4" t="s">
        <v>459</v>
      </c>
      <c r="P385" s="2">
        <v>1000</v>
      </c>
      <c r="Q385" s="2">
        <v>1840</v>
      </c>
      <c r="R385" s="4" t="s">
        <v>747</v>
      </c>
      <c r="S385" s="5">
        <v>50115750</v>
      </c>
    </row>
    <row r="386" spans="1:19" x14ac:dyDescent="0.25">
      <c r="A386" s="4" t="s">
        <v>61</v>
      </c>
      <c r="B386" s="4" t="s">
        <v>59</v>
      </c>
      <c r="C386" s="4" t="s">
        <v>62</v>
      </c>
      <c r="D386" s="4" t="s">
        <v>63</v>
      </c>
      <c r="E386" s="4" t="s">
        <v>89</v>
      </c>
      <c r="F386" s="4" t="s">
        <v>90</v>
      </c>
      <c r="G386" s="4" t="s">
        <v>91</v>
      </c>
      <c r="H386" s="4" t="s">
        <v>26</v>
      </c>
      <c r="I386" s="5">
        <v>65000000</v>
      </c>
      <c r="J386" s="5">
        <v>34000</v>
      </c>
      <c r="K386" s="5">
        <v>3400</v>
      </c>
      <c r="L386" s="4" t="s">
        <v>26</v>
      </c>
      <c r="M386" s="4" t="s">
        <v>26</v>
      </c>
      <c r="N386" s="3">
        <v>45874</v>
      </c>
      <c r="O386" s="4" t="s">
        <v>51</v>
      </c>
      <c r="P386" s="2">
        <v>1000</v>
      </c>
      <c r="Q386" s="2">
        <v>1858</v>
      </c>
      <c r="R386" s="4" t="s">
        <v>84</v>
      </c>
      <c r="S386" s="5">
        <v>60891200</v>
      </c>
    </row>
    <row r="387" spans="1:19" x14ac:dyDescent="0.25">
      <c r="A387" s="4" t="s">
        <v>61</v>
      </c>
      <c r="B387" s="4" t="s">
        <v>59</v>
      </c>
      <c r="C387" s="4" t="s">
        <v>62</v>
      </c>
      <c r="D387" s="4" t="s">
        <v>63</v>
      </c>
      <c r="E387" s="4" t="s">
        <v>89</v>
      </c>
      <c r="F387" s="4" t="s">
        <v>90</v>
      </c>
      <c r="G387" s="4" t="s">
        <v>91</v>
      </c>
      <c r="H387" s="4" t="s">
        <v>26</v>
      </c>
      <c r="I387" s="5">
        <v>65000000</v>
      </c>
      <c r="J387" s="5">
        <v>31000</v>
      </c>
      <c r="K387" s="5">
        <v>3100</v>
      </c>
      <c r="L387" s="4" t="s">
        <v>26</v>
      </c>
      <c r="M387" s="4" t="s">
        <v>26</v>
      </c>
      <c r="N387" s="3">
        <v>45874</v>
      </c>
      <c r="O387" s="4" t="s">
        <v>51</v>
      </c>
      <c r="P387" s="2">
        <v>1000</v>
      </c>
      <c r="Q387" s="2">
        <v>1859</v>
      </c>
      <c r="R387" s="4" t="s">
        <v>749</v>
      </c>
      <c r="S387" s="5">
        <v>60891200</v>
      </c>
    </row>
    <row r="388" spans="1:19" x14ac:dyDescent="0.25">
      <c r="A388" s="4" t="s">
        <v>61</v>
      </c>
      <c r="B388" s="4" t="s">
        <v>59</v>
      </c>
      <c r="C388" s="4" t="s">
        <v>62</v>
      </c>
      <c r="D388" s="4" t="s">
        <v>63</v>
      </c>
      <c r="E388" s="4" t="s">
        <v>92</v>
      </c>
      <c r="F388" s="4" t="s">
        <v>93</v>
      </c>
      <c r="G388" s="4" t="s">
        <v>94</v>
      </c>
      <c r="H388" s="4" t="s">
        <v>26</v>
      </c>
      <c r="I388" s="5">
        <v>155000000</v>
      </c>
      <c r="J388" s="5">
        <v>31200</v>
      </c>
      <c r="K388" s="5">
        <v>3120</v>
      </c>
      <c r="L388" s="4" t="s">
        <v>26</v>
      </c>
      <c r="M388" s="4" t="s">
        <v>26</v>
      </c>
      <c r="N388" s="3">
        <v>45874</v>
      </c>
      <c r="O388" s="4" t="s">
        <v>51</v>
      </c>
      <c r="P388" s="2">
        <v>1000</v>
      </c>
      <c r="Q388" s="2">
        <v>1863</v>
      </c>
      <c r="R388" s="4" t="s">
        <v>749</v>
      </c>
      <c r="S388" s="5">
        <v>145558700</v>
      </c>
    </row>
    <row r="389" spans="1:19" x14ac:dyDescent="0.25">
      <c r="A389" s="4" t="s">
        <v>61</v>
      </c>
      <c r="B389" s="4" t="s">
        <v>59</v>
      </c>
      <c r="C389" s="4" t="s">
        <v>62</v>
      </c>
      <c r="D389" s="4" t="s">
        <v>63</v>
      </c>
      <c r="E389" s="4" t="s">
        <v>310</v>
      </c>
      <c r="F389" s="4" t="s">
        <v>311</v>
      </c>
      <c r="G389" s="4" t="s">
        <v>190</v>
      </c>
      <c r="H389" s="4" t="s">
        <v>26</v>
      </c>
      <c r="I389" s="5">
        <v>90000000</v>
      </c>
      <c r="J389" s="5">
        <v>30000</v>
      </c>
      <c r="K389" s="5">
        <v>3000</v>
      </c>
      <c r="L389" s="4" t="s">
        <v>312</v>
      </c>
      <c r="M389" s="4" t="s">
        <v>313</v>
      </c>
      <c r="N389" s="3">
        <v>45877</v>
      </c>
      <c r="O389" s="4" t="s">
        <v>283</v>
      </c>
      <c r="P389" s="2">
        <v>1000</v>
      </c>
      <c r="Q389" s="2">
        <v>1867</v>
      </c>
      <c r="R389" s="4" t="s">
        <v>84</v>
      </c>
      <c r="S389" s="5">
        <v>86184030</v>
      </c>
    </row>
    <row r="390" spans="1:19" x14ac:dyDescent="0.25">
      <c r="A390" s="4" t="s">
        <v>61</v>
      </c>
      <c r="B390" s="4" t="s">
        <v>59</v>
      </c>
      <c r="C390" s="4" t="s">
        <v>62</v>
      </c>
      <c r="D390" s="4" t="s">
        <v>63</v>
      </c>
      <c r="E390" s="4" t="s">
        <v>514</v>
      </c>
      <c r="F390" s="4" t="s">
        <v>515</v>
      </c>
      <c r="G390" s="4" t="s">
        <v>190</v>
      </c>
      <c r="H390" s="4" t="s">
        <v>26</v>
      </c>
      <c r="I390" s="5">
        <v>90000000</v>
      </c>
      <c r="J390" s="5">
        <v>241000</v>
      </c>
      <c r="K390" s="5">
        <v>24100</v>
      </c>
      <c r="L390" s="4" t="s">
        <v>516</v>
      </c>
      <c r="M390" s="4" t="s">
        <v>517</v>
      </c>
      <c r="N390" s="3">
        <v>45884</v>
      </c>
      <c r="O390" s="4" t="s">
        <v>732</v>
      </c>
      <c r="P390" s="2">
        <v>1000</v>
      </c>
      <c r="Q390" s="2">
        <v>1875</v>
      </c>
      <c r="R390" s="4" t="s">
        <v>604</v>
      </c>
      <c r="S390" s="5">
        <v>88751000</v>
      </c>
    </row>
    <row r="391" spans="1:19" x14ac:dyDescent="0.25">
      <c r="A391" s="4" t="s">
        <v>61</v>
      </c>
      <c r="B391" s="4" t="s">
        <v>59</v>
      </c>
      <c r="C391" s="4" t="s">
        <v>62</v>
      </c>
      <c r="D391" s="4" t="s">
        <v>63</v>
      </c>
      <c r="E391" s="4" t="s">
        <v>255</v>
      </c>
      <c r="F391" s="4" t="s">
        <v>256</v>
      </c>
      <c r="G391" s="4" t="s">
        <v>144</v>
      </c>
      <c r="H391" s="4" t="s">
        <v>26</v>
      </c>
      <c r="I391" s="5">
        <v>90000000</v>
      </c>
      <c r="J391" s="5">
        <v>285750</v>
      </c>
      <c r="K391" s="5">
        <v>28575</v>
      </c>
      <c r="L391" s="4" t="s">
        <v>281</v>
      </c>
      <c r="M391" s="4" t="s">
        <v>282</v>
      </c>
      <c r="N391" s="3">
        <v>45885</v>
      </c>
      <c r="O391" s="4" t="s">
        <v>733</v>
      </c>
      <c r="P391" s="2">
        <v>1000</v>
      </c>
      <c r="Q391" s="2">
        <v>1887</v>
      </c>
      <c r="R391" s="4" t="s">
        <v>26</v>
      </c>
      <c r="S391" s="5">
        <v>81505500</v>
      </c>
    </row>
    <row r="392" spans="1:19" x14ac:dyDescent="0.25">
      <c r="A392" s="4" t="s">
        <v>61</v>
      </c>
      <c r="B392" s="4" t="s">
        <v>59</v>
      </c>
      <c r="C392" s="4" t="s">
        <v>62</v>
      </c>
      <c r="D392" s="4" t="s">
        <v>63</v>
      </c>
      <c r="E392" s="4" t="s">
        <v>255</v>
      </c>
      <c r="F392" s="4" t="s">
        <v>256</v>
      </c>
      <c r="G392" s="4" t="s">
        <v>144</v>
      </c>
      <c r="H392" s="4" t="s">
        <v>26</v>
      </c>
      <c r="I392" s="5">
        <v>90000000</v>
      </c>
      <c r="J392" s="5">
        <v>443250</v>
      </c>
      <c r="K392" s="5">
        <v>44325</v>
      </c>
      <c r="L392" s="4" t="s">
        <v>281</v>
      </c>
      <c r="M392" s="4" t="s">
        <v>282</v>
      </c>
      <c r="N392" s="3">
        <v>45885</v>
      </c>
      <c r="O392" s="4" t="s">
        <v>733</v>
      </c>
      <c r="P392" s="2">
        <v>2000</v>
      </c>
      <c r="Q392" s="2">
        <v>1887</v>
      </c>
      <c r="R392" s="4" t="s">
        <v>26</v>
      </c>
      <c r="S392" s="5">
        <v>81505500</v>
      </c>
    </row>
    <row r="393" spans="1:19" x14ac:dyDescent="0.25">
      <c r="A393" s="4" t="s">
        <v>61</v>
      </c>
      <c r="B393" s="4" t="s">
        <v>59</v>
      </c>
      <c r="C393" s="4" t="s">
        <v>62</v>
      </c>
      <c r="D393" s="4" t="s">
        <v>63</v>
      </c>
      <c r="E393" s="4" t="s">
        <v>375</v>
      </c>
      <c r="F393" s="4" t="s">
        <v>376</v>
      </c>
      <c r="G393" s="4" t="s">
        <v>157</v>
      </c>
      <c r="H393" s="4" t="s">
        <v>26</v>
      </c>
      <c r="I393" s="5">
        <v>90000000</v>
      </c>
      <c r="J393" s="5">
        <v>350000</v>
      </c>
      <c r="K393" s="5">
        <v>35000</v>
      </c>
      <c r="L393" s="4" t="s">
        <v>26</v>
      </c>
      <c r="M393" s="4" t="s">
        <v>26</v>
      </c>
      <c r="N393" s="3">
        <v>45874</v>
      </c>
      <c r="O393" s="4" t="s">
        <v>459</v>
      </c>
      <c r="P393" s="2">
        <v>1000</v>
      </c>
      <c r="Q393" s="2">
        <v>1889</v>
      </c>
      <c r="R393" s="4" t="s">
        <v>757</v>
      </c>
      <c r="S393" s="5">
        <v>89330500</v>
      </c>
    </row>
    <row r="394" spans="1:19" x14ac:dyDescent="0.25">
      <c r="A394" s="4" t="s">
        <v>61</v>
      </c>
      <c r="B394" s="4" t="s">
        <v>59</v>
      </c>
      <c r="C394" s="4" t="s">
        <v>62</v>
      </c>
      <c r="D394" s="4" t="s">
        <v>63</v>
      </c>
      <c r="E394" s="4" t="s">
        <v>574</v>
      </c>
      <c r="F394" s="4" t="s">
        <v>575</v>
      </c>
      <c r="G394" s="4" t="s">
        <v>199</v>
      </c>
      <c r="H394" s="4" t="s">
        <v>26</v>
      </c>
      <c r="I394" s="5">
        <v>65000000</v>
      </c>
      <c r="J394" s="5">
        <v>378000</v>
      </c>
      <c r="K394" s="5">
        <v>37800</v>
      </c>
      <c r="L394" s="4" t="s">
        <v>26</v>
      </c>
      <c r="M394" s="4" t="s">
        <v>26</v>
      </c>
      <c r="N394" s="3">
        <v>45884</v>
      </c>
      <c r="O394" s="4" t="s">
        <v>605</v>
      </c>
      <c r="P394" s="2">
        <v>1000</v>
      </c>
      <c r="Q394" s="2">
        <v>1900</v>
      </c>
      <c r="R394" s="4" t="s">
        <v>759</v>
      </c>
      <c r="S394" s="5">
        <v>64332000</v>
      </c>
    </row>
    <row r="395" spans="1:19" x14ac:dyDescent="0.25">
      <c r="A395" s="4" t="s">
        <v>61</v>
      </c>
      <c r="B395" s="4" t="s">
        <v>59</v>
      </c>
      <c r="C395" s="4" t="s">
        <v>62</v>
      </c>
      <c r="D395" s="4" t="s">
        <v>63</v>
      </c>
      <c r="E395" s="4" t="s">
        <v>148</v>
      </c>
      <c r="F395" s="4" t="s">
        <v>149</v>
      </c>
      <c r="G395" s="4" t="s">
        <v>50</v>
      </c>
      <c r="H395" s="4" t="s">
        <v>26</v>
      </c>
      <c r="I395" s="5">
        <v>65000000</v>
      </c>
      <c r="J395" s="5">
        <v>324000</v>
      </c>
      <c r="K395" s="5">
        <v>32400</v>
      </c>
      <c r="L395" s="4" t="s">
        <v>26</v>
      </c>
      <c r="M395" s="4" t="s">
        <v>26</v>
      </c>
      <c r="N395" s="3">
        <v>45874</v>
      </c>
      <c r="O395" s="4" t="s">
        <v>459</v>
      </c>
      <c r="P395" s="2">
        <v>1000</v>
      </c>
      <c r="Q395" s="2">
        <v>1910</v>
      </c>
      <c r="R395" s="4" t="s">
        <v>84</v>
      </c>
      <c r="S395" s="5">
        <v>58699710</v>
      </c>
    </row>
    <row r="396" spans="1:19" x14ac:dyDescent="0.25">
      <c r="A396" s="4" t="s">
        <v>61</v>
      </c>
      <c r="B396" s="4" t="s">
        <v>59</v>
      </c>
      <c r="C396" s="4" t="s">
        <v>62</v>
      </c>
      <c r="D396" s="4" t="s">
        <v>63</v>
      </c>
      <c r="E396" s="4" t="s">
        <v>498</v>
      </c>
      <c r="F396" s="4" t="s">
        <v>499</v>
      </c>
      <c r="G396" s="4" t="s">
        <v>144</v>
      </c>
      <c r="H396" s="4" t="s">
        <v>26</v>
      </c>
      <c r="I396" s="5">
        <v>90000000</v>
      </c>
      <c r="J396" s="5">
        <v>339150</v>
      </c>
      <c r="K396" s="5">
        <v>33915</v>
      </c>
      <c r="L396" s="4" t="s">
        <v>500</v>
      </c>
      <c r="M396" s="4" t="s">
        <v>501</v>
      </c>
      <c r="N396" s="3">
        <v>45896</v>
      </c>
      <c r="O396" s="4" t="s">
        <v>690</v>
      </c>
      <c r="P396" s="2">
        <v>1000</v>
      </c>
      <c r="Q396" s="2">
        <v>1921</v>
      </c>
      <c r="R396" s="4" t="s">
        <v>764</v>
      </c>
      <c r="S396" s="5">
        <v>84861850</v>
      </c>
    </row>
    <row r="397" spans="1:19" x14ac:dyDescent="0.25">
      <c r="A397" s="4" t="s">
        <v>61</v>
      </c>
      <c r="B397" s="4" t="s">
        <v>59</v>
      </c>
      <c r="C397" s="4" t="s">
        <v>62</v>
      </c>
      <c r="D397" s="4" t="s">
        <v>63</v>
      </c>
      <c r="E397" s="4" t="s">
        <v>484</v>
      </c>
      <c r="F397" s="4" t="s">
        <v>485</v>
      </c>
      <c r="G397" s="4" t="s">
        <v>381</v>
      </c>
      <c r="H397" s="4" t="s">
        <v>26</v>
      </c>
      <c r="I397" s="5">
        <v>90000000</v>
      </c>
      <c r="J397" s="5">
        <v>90000</v>
      </c>
      <c r="K397" s="5">
        <v>9000</v>
      </c>
      <c r="L397" s="4" t="s">
        <v>486</v>
      </c>
      <c r="M397" s="4" t="s">
        <v>487</v>
      </c>
      <c r="N397" s="3">
        <v>45874</v>
      </c>
      <c r="O397" s="4" t="s">
        <v>459</v>
      </c>
      <c r="P397" s="2">
        <v>1000</v>
      </c>
      <c r="Q397" s="2">
        <v>1928</v>
      </c>
      <c r="R397" s="4" t="s">
        <v>84</v>
      </c>
      <c r="S397" s="5">
        <v>84618000</v>
      </c>
    </row>
    <row r="398" spans="1:19" x14ac:dyDescent="0.25">
      <c r="A398" s="4" t="s">
        <v>61</v>
      </c>
      <c r="B398" s="4" t="s">
        <v>59</v>
      </c>
      <c r="C398" s="4" t="s">
        <v>62</v>
      </c>
      <c r="D398" s="4" t="s">
        <v>63</v>
      </c>
      <c r="E398" s="4" t="s">
        <v>443</v>
      </c>
      <c r="F398" s="4" t="s">
        <v>444</v>
      </c>
      <c r="G398" s="4" t="s">
        <v>157</v>
      </c>
      <c r="H398" s="4" t="s">
        <v>26</v>
      </c>
      <c r="I398" s="5">
        <v>90000000</v>
      </c>
      <c r="J398" s="5">
        <v>910800</v>
      </c>
      <c r="K398" s="5">
        <v>91080</v>
      </c>
      <c r="L398" s="4" t="s">
        <v>26</v>
      </c>
      <c r="M398" s="4" t="s">
        <v>26</v>
      </c>
      <c r="N398" s="3">
        <v>45896</v>
      </c>
      <c r="O398" s="4" t="s">
        <v>709</v>
      </c>
      <c r="P398" s="2">
        <v>1000</v>
      </c>
      <c r="Q398" s="2">
        <v>1947</v>
      </c>
      <c r="R398" s="4" t="s">
        <v>750</v>
      </c>
      <c r="S398" s="5">
        <v>86215260</v>
      </c>
    </row>
    <row r="399" spans="1:19" x14ac:dyDescent="0.25">
      <c r="A399" s="4" t="s">
        <v>61</v>
      </c>
      <c r="B399" s="4" t="s">
        <v>59</v>
      </c>
      <c r="C399" s="4" t="s">
        <v>62</v>
      </c>
      <c r="D399" s="4" t="s">
        <v>63</v>
      </c>
      <c r="E399" s="4" t="s">
        <v>443</v>
      </c>
      <c r="F399" s="4" t="s">
        <v>444</v>
      </c>
      <c r="G399" s="4" t="s">
        <v>157</v>
      </c>
      <c r="H399" s="4" t="s">
        <v>26</v>
      </c>
      <c r="I399" s="5">
        <v>90000000</v>
      </c>
      <c r="J399" s="5">
        <v>590640</v>
      </c>
      <c r="K399" s="5">
        <v>59064</v>
      </c>
      <c r="L399" s="4" t="s">
        <v>26</v>
      </c>
      <c r="M399" s="4" t="s">
        <v>26</v>
      </c>
      <c r="N399" s="3">
        <v>45896</v>
      </c>
      <c r="O399" s="4" t="s">
        <v>709</v>
      </c>
      <c r="P399" s="2">
        <v>2000</v>
      </c>
      <c r="Q399" s="2">
        <v>1947</v>
      </c>
      <c r="R399" s="4" t="s">
        <v>750</v>
      </c>
      <c r="S399" s="5">
        <v>86215260</v>
      </c>
    </row>
    <row r="400" spans="1:19" x14ac:dyDescent="0.25">
      <c r="A400" s="4" t="s">
        <v>61</v>
      </c>
      <c r="B400" s="4" t="s">
        <v>59</v>
      </c>
      <c r="C400" s="4" t="s">
        <v>62</v>
      </c>
      <c r="D400" s="4" t="s">
        <v>63</v>
      </c>
      <c r="E400" s="4" t="s">
        <v>359</v>
      </c>
      <c r="F400" s="4" t="s">
        <v>360</v>
      </c>
      <c r="G400" s="4" t="s">
        <v>50</v>
      </c>
      <c r="H400" s="4" t="s">
        <v>26</v>
      </c>
      <c r="I400" s="5">
        <v>65000000</v>
      </c>
      <c r="J400" s="5">
        <v>275000</v>
      </c>
      <c r="K400" s="5">
        <v>27500</v>
      </c>
      <c r="L400" s="4" t="s">
        <v>361</v>
      </c>
      <c r="M400" s="4" t="s">
        <v>362</v>
      </c>
      <c r="N400" s="3">
        <v>45896</v>
      </c>
      <c r="O400" s="4" t="s">
        <v>709</v>
      </c>
      <c r="P400" s="2">
        <v>1000</v>
      </c>
      <c r="Q400" s="2">
        <v>1955</v>
      </c>
      <c r="R400" s="4" t="s">
        <v>758</v>
      </c>
      <c r="S400" s="5">
        <v>60590420</v>
      </c>
    </row>
    <row r="401" spans="1:19" x14ac:dyDescent="0.25">
      <c r="A401" s="4" t="s">
        <v>61</v>
      </c>
      <c r="B401" s="4" t="s">
        <v>59</v>
      </c>
      <c r="C401" s="4" t="s">
        <v>62</v>
      </c>
      <c r="D401" s="4" t="s">
        <v>63</v>
      </c>
      <c r="E401" s="4" t="s">
        <v>359</v>
      </c>
      <c r="F401" s="4" t="s">
        <v>360</v>
      </c>
      <c r="G401" s="4" t="s">
        <v>50</v>
      </c>
      <c r="H401" s="4" t="s">
        <v>26</v>
      </c>
      <c r="I401" s="5">
        <v>65000000</v>
      </c>
      <c r="J401" s="5">
        <v>249000</v>
      </c>
      <c r="K401" s="5">
        <v>24900</v>
      </c>
      <c r="L401" s="4" t="s">
        <v>361</v>
      </c>
      <c r="M401" s="4" t="s">
        <v>362</v>
      </c>
      <c r="N401" s="3">
        <v>45896</v>
      </c>
      <c r="O401" s="4" t="s">
        <v>709</v>
      </c>
      <c r="P401" s="2">
        <v>2000</v>
      </c>
      <c r="Q401" s="2">
        <v>1955</v>
      </c>
      <c r="R401" s="4" t="s">
        <v>758</v>
      </c>
      <c r="S401" s="5">
        <v>60590420</v>
      </c>
    </row>
    <row r="402" spans="1:19" x14ac:dyDescent="0.25">
      <c r="A402" s="4" t="s">
        <v>61</v>
      </c>
      <c r="B402" s="4" t="s">
        <v>59</v>
      </c>
      <c r="C402" s="4" t="s">
        <v>62</v>
      </c>
      <c r="D402" s="4" t="s">
        <v>63</v>
      </c>
      <c r="E402" s="4" t="s">
        <v>225</v>
      </c>
      <c r="F402" s="4" t="s">
        <v>226</v>
      </c>
      <c r="G402" s="4" t="s">
        <v>50</v>
      </c>
      <c r="H402" s="4" t="s">
        <v>26</v>
      </c>
      <c r="I402" s="5">
        <v>65000000</v>
      </c>
      <c r="J402" s="5">
        <v>140800</v>
      </c>
      <c r="K402" s="5">
        <v>14080</v>
      </c>
      <c r="L402" s="4" t="s">
        <v>551</v>
      </c>
      <c r="M402" s="4" t="s">
        <v>552</v>
      </c>
      <c r="N402" s="3">
        <v>45873</v>
      </c>
      <c r="O402" s="4" t="s">
        <v>154</v>
      </c>
      <c r="P402" s="2">
        <v>1000</v>
      </c>
      <c r="Q402" s="2">
        <v>1971</v>
      </c>
      <c r="R402" s="4" t="s">
        <v>26</v>
      </c>
      <c r="S402" s="5">
        <v>63203100</v>
      </c>
    </row>
    <row r="403" spans="1:19" x14ac:dyDescent="0.25">
      <c r="A403" s="4" t="s">
        <v>61</v>
      </c>
      <c r="B403" s="4" t="s">
        <v>59</v>
      </c>
      <c r="C403" s="4" t="s">
        <v>62</v>
      </c>
      <c r="D403" s="4" t="s">
        <v>63</v>
      </c>
      <c r="E403" s="4" t="s">
        <v>225</v>
      </c>
      <c r="F403" s="4" t="s">
        <v>226</v>
      </c>
      <c r="G403" s="4" t="s">
        <v>50</v>
      </c>
      <c r="H403" s="4" t="s">
        <v>26</v>
      </c>
      <c r="I403" s="5">
        <v>65000000</v>
      </c>
      <c r="J403" s="5">
        <v>88000</v>
      </c>
      <c r="K403" s="5">
        <v>8800</v>
      </c>
      <c r="L403" s="4" t="s">
        <v>551</v>
      </c>
      <c r="M403" s="4" t="s">
        <v>552</v>
      </c>
      <c r="N403" s="3">
        <v>45873</v>
      </c>
      <c r="O403" s="4" t="s">
        <v>154</v>
      </c>
      <c r="P403" s="2">
        <v>2000</v>
      </c>
      <c r="Q403" s="2">
        <v>1971</v>
      </c>
      <c r="R403" s="4" t="s">
        <v>26</v>
      </c>
      <c r="S403" s="5">
        <v>63203100</v>
      </c>
    </row>
    <row r="404" spans="1:19" x14ac:dyDescent="0.25">
      <c r="A404" s="4" t="s">
        <v>61</v>
      </c>
      <c r="B404" s="4" t="s">
        <v>59</v>
      </c>
      <c r="C404" s="4" t="s">
        <v>62</v>
      </c>
      <c r="D404" s="4" t="s">
        <v>63</v>
      </c>
      <c r="E404" s="4" t="s">
        <v>635</v>
      </c>
      <c r="F404" s="4" t="s">
        <v>636</v>
      </c>
      <c r="G404" s="4" t="s">
        <v>222</v>
      </c>
      <c r="H404" s="4" t="s">
        <v>26</v>
      </c>
      <c r="I404" s="5">
        <v>110000000</v>
      </c>
      <c r="J404" s="5">
        <v>299000</v>
      </c>
      <c r="K404" s="5">
        <v>29900</v>
      </c>
      <c r="L404" s="4" t="s">
        <v>384</v>
      </c>
      <c r="M404" s="4" t="s">
        <v>385</v>
      </c>
      <c r="N404" s="3">
        <v>45897</v>
      </c>
      <c r="O404" s="4" t="s">
        <v>690</v>
      </c>
      <c r="P404" s="2">
        <v>1000</v>
      </c>
      <c r="Q404" s="2">
        <v>1984</v>
      </c>
      <c r="R404" s="4" t="s">
        <v>772</v>
      </c>
      <c r="S404" s="5">
        <v>102037000</v>
      </c>
    </row>
    <row r="405" spans="1:19" x14ac:dyDescent="0.25">
      <c r="A405" s="4" t="s">
        <v>61</v>
      </c>
      <c r="B405" s="4" t="s">
        <v>59</v>
      </c>
      <c r="C405" s="4" t="s">
        <v>62</v>
      </c>
      <c r="D405" s="4" t="s">
        <v>63</v>
      </c>
      <c r="E405" s="4" t="s">
        <v>635</v>
      </c>
      <c r="F405" s="4" t="s">
        <v>636</v>
      </c>
      <c r="G405" s="4" t="s">
        <v>222</v>
      </c>
      <c r="H405" s="4" t="s">
        <v>26</v>
      </c>
      <c r="I405" s="5">
        <v>110000000</v>
      </c>
      <c r="J405" s="5">
        <v>149000</v>
      </c>
      <c r="K405" s="5">
        <v>14900</v>
      </c>
      <c r="L405" s="4" t="s">
        <v>384</v>
      </c>
      <c r="M405" s="4" t="s">
        <v>385</v>
      </c>
      <c r="N405" s="3">
        <v>45897</v>
      </c>
      <c r="O405" s="4" t="s">
        <v>690</v>
      </c>
      <c r="P405" s="2">
        <v>2000</v>
      </c>
      <c r="Q405" s="2">
        <v>1984</v>
      </c>
      <c r="R405" s="4" t="s">
        <v>772</v>
      </c>
      <c r="S405" s="5">
        <v>102037000</v>
      </c>
    </row>
    <row r="406" spans="1:19" x14ac:dyDescent="0.25">
      <c r="A406" s="4" t="s">
        <v>61</v>
      </c>
      <c r="B406" s="4" t="s">
        <v>59</v>
      </c>
      <c r="C406" s="4" t="s">
        <v>62</v>
      </c>
      <c r="D406" s="4" t="s">
        <v>63</v>
      </c>
      <c r="E406" s="4" t="s">
        <v>635</v>
      </c>
      <c r="F406" s="4" t="s">
        <v>636</v>
      </c>
      <c r="G406" s="4" t="s">
        <v>222</v>
      </c>
      <c r="H406" s="4" t="s">
        <v>26</v>
      </c>
      <c r="I406" s="5">
        <v>110000000</v>
      </c>
      <c r="J406" s="5">
        <v>199000</v>
      </c>
      <c r="K406" s="5">
        <v>19900</v>
      </c>
      <c r="L406" s="4" t="s">
        <v>384</v>
      </c>
      <c r="M406" s="4" t="s">
        <v>385</v>
      </c>
      <c r="N406" s="3">
        <v>45897</v>
      </c>
      <c r="O406" s="4" t="s">
        <v>690</v>
      </c>
      <c r="P406" s="2">
        <v>3000</v>
      </c>
      <c r="Q406" s="2">
        <v>1984</v>
      </c>
      <c r="R406" s="4" t="s">
        <v>26</v>
      </c>
      <c r="S406" s="5">
        <v>102037000</v>
      </c>
    </row>
    <row r="407" spans="1:19" x14ac:dyDescent="0.25">
      <c r="A407" s="4" t="s">
        <v>61</v>
      </c>
      <c r="B407" s="4" t="s">
        <v>59</v>
      </c>
      <c r="C407" s="4" t="s">
        <v>62</v>
      </c>
      <c r="D407" s="4" t="s">
        <v>63</v>
      </c>
      <c r="E407" s="4" t="s">
        <v>635</v>
      </c>
      <c r="F407" s="4" t="s">
        <v>636</v>
      </c>
      <c r="G407" s="4" t="s">
        <v>222</v>
      </c>
      <c r="H407" s="4" t="s">
        <v>26</v>
      </c>
      <c r="I407" s="5">
        <v>110000000</v>
      </c>
      <c r="J407" s="5">
        <v>179000</v>
      </c>
      <c r="K407" s="5">
        <v>17900</v>
      </c>
      <c r="L407" s="4" t="s">
        <v>26</v>
      </c>
      <c r="M407" s="4" t="s">
        <v>26</v>
      </c>
      <c r="N407" s="3">
        <v>45897</v>
      </c>
      <c r="O407" s="4" t="s">
        <v>690</v>
      </c>
      <c r="P407" s="2">
        <v>1000</v>
      </c>
      <c r="Q407" s="2">
        <v>1985</v>
      </c>
      <c r="R407" s="4" t="s">
        <v>772</v>
      </c>
      <c r="S407" s="5">
        <v>102037000</v>
      </c>
    </row>
    <row r="408" spans="1:19" x14ac:dyDescent="0.25">
      <c r="A408" s="4" t="s">
        <v>61</v>
      </c>
      <c r="B408" s="4" t="s">
        <v>59</v>
      </c>
      <c r="C408" s="4" t="s">
        <v>62</v>
      </c>
      <c r="D408" s="4" t="s">
        <v>63</v>
      </c>
      <c r="E408" s="4" t="s">
        <v>635</v>
      </c>
      <c r="F408" s="4" t="s">
        <v>636</v>
      </c>
      <c r="G408" s="4" t="s">
        <v>222</v>
      </c>
      <c r="H408" s="4" t="s">
        <v>26</v>
      </c>
      <c r="I408" s="5">
        <v>110000000</v>
      </c>
      <c r="J408" s="5">
        <v>99000</v>
      </c>
      <c r="K408" s="5">
        <v>9900</v>
      </c>
      <c r="L408" s="4" t="s">
        <v>26</v>
      </c>
      <c r="M408" s="4" t="s">
        <v>26</v>
      </c>
      <c r="N408" s="3">
        <v>45897</v>
      </c>
      <c r="O408" s="4" t="s">
        <v>690</v>
      </c>
      <c r="P408" s="2">
        <v>2000</v>
      </c>
      <c r="Q408" s="2">
        <v>1985</v>
      </c>
      <c r="R408" s="4" t="s">
        <v>772</v>
      </c>
      <c r="S408" s="5">
        <v>102037000</v>
      </c>
    </row>
    <row r="409" spans="1:19" x14ac:dyDescent="0.25">
      <c r="A409" s="4" t="s">
        <v>61</v>
      </c>
      <c r="B409" s="4" t="s">
        <v>59</v>
      </c>
      <c r="C409" s="4" t="s">
        <v>62</v>
      </c>
      <c r="D409" s="4" t="s">
        <v>63</v>
      </c>
      <c r="E409" s="4" t="s">
        <v>635</v>
      </c>
      <c r="F409" s="4" t="s">
        <v>636</v>
      </c>
      <c r="G409" s="4" t="s">
        <v>222</v>
      </c>
      <c r="H409" s="4" t="s">
        <v>26</v>
      </c>
      <c r="I409" s="5">
        <v>110000000</v>
      </c>
      <c r="J409" s="5">
        <v>99000</v>
      </c>
      <c r="K409" s="5">
        <v>9900</v>
      </c>
      <c r="L409" s="4" t="s">
        <v>26</v>
      </c>
      <c r="M409" s="4" t="s">
        <v>26</v>
      </c>
      <c r="N409" s="3">
        <v>45897</v>
      </c>
      <c r="O409" s="4" t="s">
        <v>690</v>
      </c>
      <c r="P409" s="2">
        <v>3000</v>
      </c>
      <c r="Q409" s="2">
        <v>1985</v>
      </c>
      <c r="R409" s="4" t="s">
        <v>772</v>
      </c>
      <c r="S409" s="5">
        <v>102037000</v>
      </c>
    </row>
    <row r="410" spans="1:19" x14ac:dyDescent="0.25">
      <c r="A410" s="4" t="s">
        <v>61</v>
      </c>
      <c r="B410" s="4" t="s">
        <v>59</v>
      </c>
      <c r="C410" s="4" t="s">
        <v>62</v>
      </c>
      <c r="D410" s="4" t="s">
        <v>63</v>
      </c>
      <c r="E410" s="4" t="s">
        <v>635</v>
      </c>
      <c r="F410" s="4" t="s">
        <v>636</v>
      </c>
      <c r="G410" s="4" t="s">
        <v>222</v>
      </c>
      <c r="H410" s="4" t="s">
        <v>26</v>
      </c>
      <c r="I410" s="5">
        <v>110000000</v>
      </c>
      <c r="J410" s="5">
        <v>99000</v>
      </c>
      <c r="K410" s="5">
        <v>9900</v>
      </c>
      <c r="L410" s="4" t="s">
        <v>26</v>
      </c>
      <c r="M410" s="4" t="s">
        <v>26</v>
      </c>
      <c r="N410" s="3">
        <v>45897</v>
      </c>
      <c r="O410" s="4" t="s">
        <v>690</v>
      </c>
      <c r="P410" s="2">
        <v>4000</v>
      </c>
      <c r="Q410" s="2">
        <v>1985</v>
      </c>
      <c r="R410" s="4" t="s">
        <v>772</v>
      </c>
      <c r="S410" s="5">
        <v>102037000</v>
      </c>
    </row>
    <row r="411" spans="1:19" x14ac:dyDescent="0.25">
      <c r="A411" s="4" t="s">
        <v>61</v>
      </c>
      <c r="B411" s="4" t="s">
        <v>59</v>
      </c>
      <c r="C411" s="4" t="s">
        <v>62</v>
      </c>
      <c r="D411" s="4" t="s">
        <v>63</v>
      </c>
      <c r="E411" s="4" t="s">
        <v>635</v>
      </c>
      <c r="F411" s="4" t="s">
        <v>636</v>
      </c>
      <c r="G411" s="4" t="s">
        <v>222</v>
      </c>
      <c r="H411" s="4" t="s">
        <v>26</v>
      </c>
      <c r="I411" s="5">
        <v>110000000</v>
      </c>
      <c r="J411" s="5">
        <v>79000</v>
      </c>
      <c r="K411" s="5">
        <v>7900</v>
      </c>
      <c r="L411" s="4" t="s">
        <v>26</v>
      </c>
      <c r="M411" s="4" t="s">
        <v>26</v>
      </c>
      <c r="N411" s="3">
        <v>45897</v>
      </c>
      <c r="O411" s="4" t="s">
        <v>690</v>
      </c>
      <c r="P411" s="2">
        <v>5000</v>
      </c>
      <c r="Q411" s="2">
        <v>1985</v>
      </c>
      <c r="R411" s="4" t="s">
        <v>772</v>
      </c>
      <c r="S411" s="5">
        <v>102037000</v>
      </c>
    </row>
    <row r="412" spans="1:19" x14ac:dyDescent="0.25">
      <c r="A412" s="4" t="s">
        <v>61</v>
      </c>
      <c r="B412" s="4" t="s">
        <v>59</v>
      </c>
      <c r="C412" s="4" t="s">
        <v>62</v>
      </c>
      <c r="D412" s="4" t="s">
        <v>63</v>
      </c>
      <c r="E412" s="4" t="s">
        <v>635</v>
      </c>
      <c r="F412" s="4" t="s">
        <v>636</v>
      </c>
      <c r="G412" s="4" t="s">
        <v>222</v>
      </c>
      <c r="H412" s="4" t="s">
        <v>26</v>
      </c>
      <c r="I412" s="5">
        <v>110000000</v>
      </c>
      <c r="J412" s="5">
        <v>79000</v>
      </c>
      <c r="K412" s="5">
        <v>7900</v>
      </c>
      <c r="L412" s="4" t="s">
        <v>26</v>
      </c>
      <c r="M412" s="4" t="s">
        <v>26</v>
      </c>
      <c r="N412" s="3">
        <v>45897</v>
      </c>
      <c r="O412" s="4" t="s">
        <v>690</v>
      </c>
      <c r="P412" s="2">
        <v>6000</v>
      </c>
      <c r="Q412" s="2">
        <v>1985</v>
      </c>
      <c r="R412" s="4" t="s">
        <v>772</v>
      </c>
      <c r="S412" s="5">
        <v>102037000</v>
      </c>
    </row>
    <row r="413" spans="1:19" x14ac:dyDescent="0.25">
      <c r="A413" s="4" t="s">
        <v>61</v>
      </c>
      <c r="B413" s="4" t="s">
        <v>59</v>
      </c>
      <c r="C413" s="4" t="s">
        <v>62</v>
      </c>
      <c r="D413" s="4" t="s">
        <v>63</v>
      </c>
      <c r="E413" s="4" t="s">
        <v>635</v>
      </c>
      <c r="F413" s="4" t="s">
        <v>636</v>
      </c>
      <c r="G413" s="4" t="s">
        <v>222</v>
      </c>
      <c r="H413" s="4" t="s">
        <v>26</v>
      </c>
      <c r="I413" s="5">
        <v>110000000</v>
      </c>
      <c r="J413" s="5">
        <v>79000</v>
      </c>
      <c r="K413" s="5">
        <v>7900</v>
      </c>
      <c r="L413" s="4" t="s">
        <v>26</v>
      </c>
      <c r="M413" s="4" t="s">
        <v>26</v>
      </c>
      <c r="N413" s="3">
        <v>45897</v>
      </c>
      <c r="O413" s="4" t="s">
        <v>690</v>
      </c>
      <c r="P413" s="2">
        <v>7000</v>
      </c>
      <c r="Q413" s="2">
        <v>1985</v>
      </c>
      <c r="R413" s="4" t="s">
        <v>772</v>
      </c>
      <c r="S413" s="5">
        <v>102037000</v>
      </c>
    </row>
    <row r="414" spans="1:19" x14ac:dyDescent="0.25">
      <c r="A414" s="4" t="s">
        <v>61</v>
      </c>
      <c r="B414" s="4" t="s">
        <v>59</v>
      </c>
      <c r="C414" s="4" t="s">
        <v>62</v>
      </c>
      <c r="D414" s="4" t="s">
        <v>63</v>
      </c>
      <c r="E414" s="4" t="s">
        <v>635</v>
      </c>
      <c r="F414" s="4" t="s">
        <v>636</v>
      </c>
      <c r="G414" s="4" t="s">
        <v>222</v>
      </c>
      <c r="H414" s="4" t="s">
        <v>26</v>
      </c>
      <c r="I414" s="5">
        <v>110000000</v>
      </c>
      <c r="J414" s="5">
        <v>99000</v>
      </c>
      <c r="K414" s="5">
        <v>9900</v>
      </c>
      <c r="L414" s="4" t="s">
        <v>26</v>
      </c>
      <c r="M414" s="4" t="s">
        <v>26</v>
      </c>
      <c r="N414" s="3">
        <v>45897</v>
      </c>
      <c r="O414" s="4" t="s">
        <v>690</v>
      </c>
      <c r="P414" s="2">
        <v>8000</v>
      </c>
      <c r="Q414" s="2">
        <v>1985</v>
      </c>
      <c r="R414" s="4" t="s">
        <v>772</v>
      </c>
      <c r="S414" s="5">
        <v>102037000</v>
      </c>
    </row>
    <row r="415" spans="1:19" x14ac:dyDescent="0.25">
      <c r="A415" s="4" t="s">
        <v>61</v>
      </c>
      <c r="B415" s="4" t="s">
        <v>59</v>
      </c>
      <c r="C415" s="4" t="s">
        <v>62</v>
      </c>
      <c r="D415" s="4" t="s">
        <v>63</v>
      </c>
      <c r="E415" s="4" t="s">
        <v>310</v>
      </c>
      <c r="F415" s="4" t="s">
        <v>311</v>
      </c>
      <c r="G415" s="4" t="s">
        <v>190</v>
      </c>
      <c r="H415" s="4" t="s">
        <v>26</v>
      </c>
      <c r="I415" s="5">
        <v>90000000</v>
      </c>
      <c r="J415" s="5">
        <v>240800</v>
      </c>
      <c r="K415" s="5">
        <v>24080</v>
      </c>
      <c r="L415" s="4" t="s">
        <v>312</v>
      </c>
      <c r="M415" s="4" t="s">
        <v>313</v>
      </c>
      <c r="N415" s="3">
        <v>45887</v>
      </c>
      <c r="O415" s="4" t="s">
        <v>605</v>
      </c>
      <c r="P415" s="2">
        <v>1000</v>
      </c>
      <c r="Q415" s="2">
        <v>1998</v>
      </c>
      <c r="R415" s="4" t="s">
        <v>756</v>
      </c>
      <c r="S415" s="5">
        <v>86184030</v>
      </c>
    </row>
    <row r="416" spans="1:19" x14ac:dyDescent="0.25">
      <c r="A416" s="4" t="s">
        <v>61</v>
      </c>
      <c r="B416" s="4" t="s">
        <v>59</v>
      </c>
      <c r="C416" s="4" t="s">
        <v>62</v>
      </c>
      <c r="D416" s="4" t="s">
        <v>63</v>
      </c>
      <c r="E416" s="4" t="s">
        <v>310</v>
      </c>
      <c r="F416" s="4" t="s">
        <v>311</v>
      </c>
      <c r="G416" s="4" t="s">
        <v>190</v>
      </c>
      <c r="H416" s="4" t="s">
        <v>26</v>
      </c>
      <c r="I416" s="5">
        <v>90000000</v>
      </c>
      <c r="J416" s="5">
        <v>385000</v>
      </c>
      <c r="K416" s="5">
        <v>38500</v>
      </c>
      <c r="L416" s="4" t="s">
        <v>312</v>
      </c>
      <c r="M416" s="4" t="s">
        <v>313</v>
      </c>
      <c r="N416" s="3">
        <v>45887</v>
      </c>
      <c r="O416" s="4" t="s">
        <v>605</v>
      </c>
      <c r="P416" s="2">
        <v>2000</v>
      </c>
      <c r="Q416" s="2">
        <v>1998</v>
      </c>
      <c r="R416" s="4" t="s">
        <v>756</v>
      </c>
      <c r="S416" s="5">
        <v>86184030</v>
      </c>
    </row>
    <row r="417" spans="1:19" x14ac:dyDescent="0.25">
      <c r="A417" s="4" t="s">
        <v>61</v>
      </c>
      <c r="B417" s="4" t="s">
        <v>59</v>
      </c>
      <c r="C417" s="4" t="s">
        <v>62</v>
      </c>
      <c r="D417" s="4" t="s">
        <v>63</v>
      </c>
      <c r="E417" s="4" t="s">
        <v>188</v>
      </c>
      <c r="F417" s="4" t="s">
        <v>189</v>
      </c>
      <c r="G417" s="4" t="s">
        <v>190</v>
      </c>
      <c r="H417" s="4" t="s">
        <v>26</v>
      </c>
      <c r="I417" s="5">
        <v>90000000</v>
      </c>
      <c r="J417" s="5">
        <v>131600</v>
      </c>
      <c r="K417" s="5">
        <v>13160</v>
      </c>
      <c r="L417" s="4" t="s">
        <v>191</v>
      </c>
      <c r="M417" s="4" t="s">
        <v>192</v>
      </c>
      <c r="N417" s="3">
        <v>45878</v>
      </c>
      <c r="O417" s="4" t="s">
        <v>283</v>
      </c>
      <c r="P417" s="2">
        <v>1000</v>
      </c>
      <c r="Q417" s="2">
        <v>2000</v>
      </c>
      <c r="R417" s="4" t="s">
        <v>755</v>
      </c>
      <c r="S417" s="5">
        <v>87040690</v>
      </c>
    </row>
    <row r="418" spans="1:19" x14ac:dyDescent="0.25">
      <c r="A418" s="4" t="s">
        <v>61</v>
      </c>
      <c r="B418" s="4" t="s">
        <v>59</v>
      </c>
      <c r="C418" s="4" t="s">
        <v>62</v>
      </c>
      <c r="D418" s="4" t="s">
        <v>63</v>
      </c>
      <c r="E418" s="4" t="s">
        <v>504</v>
      </c>
      <c r="F418" s="4" t="s">
        <v>505</v>
      </c>
      <c r="G418" s="4" t="s">
        <v>108</v>
      </c>
      <c r="H418" s="4" t="s">
        <v>26</v>
      </c>
      <c r="I418" s="5">
        <v>150000000</v>
      </c>
      <c r="J418" s="5">
        <v>480000</v>
      </c>
      <c r="K418" s="5">
        <v>48000</v>
      </c>
      <c r="L418" s="4" t="s">
        <v>506</v>
      </c>
      <c r="M418" s="4" t="s">
        <v>507</v>
      </c>
      <c r="N418" s="3">
        <v>45876</v>
      </c>
      <c r="O418" s="4" t="s">
        <v>719</v>
      </c>
      <c r="P418" s="2">
        <v>1000</v>
      </c>
      <c r="Q418" s="2">
        <v>2008</v>
      </c>
      <c r="R418" s="4" t="s">
        <v>766</v>
      </c>
      <c r="S418" s="5">
        <v>148092900</v>
      </c>
    </row>
    <row r="419" spans="1:19" x14ac:dyDescent="0.25">
      <c r="A419" s="4" t="s">
        <v>61</v>
      </c>
      <c r="B419" s="4" t="s">
        <v>59</v>
      </c>
      <c r="C419" s="4" t="s">
        <v>62</v>
      </c>
      <c r="D419" s="4" t="s">
        <v>63</v>
      </c>
      <c r="E419" s="4" t="s">
        <v>504</v>
      </c>
      <c r="F419" s="4" t="s">
        <v>505</v>
      </c>
      <c r="G419" s="4" t="s">
        <v>108</v>
      </c>
      <c r="H419" s="4" t="s">
        <v>26</v>
      </c>
      <c r="I419" s="5">
        <v>150000000</v>
      </c>
      <c r="J419" s="5">
        <v>580000</v>
      </c>
      <c r="K419" s="5">
        <v>58000</v>
      </c>
      <c r="L419" s="4" t="s">
        <v>506</v>
      </c>
      <c r="M419" s="4" t="s">
        <v>507</v>
      </c>
      <c r="N419" s="3">
        <v>45876</v>
      </c>
      <c r="O419" s="4" t="s">
        <v>719</v>
      </c>
      <c r="P419" s="2">
        <v>2000</v>
      </c>
      <c r="Q419" s="2">
        <v>2008</v>
      </c>
      <c r="R419" s="4" t="s">
        <v>766</v>
      </c>
      <c r="S419" s="5">
        <v>148092900</v>
      </c>
    </row>
    <row r="420" spans="1:19" x14ac:dyDescent="0.25">
      <c r="A420" s="4" t="s">
        <v>61</v>
      </c>
      <c r="B420" s="4" t="s">
        <v>59</v>
      </c>
      <c r="C420" s="4" t="s">
        <v>62</v>
      </c>
      <c r="D420" s="4" t="s">
        <v>63</v>
      </c>
      <c r="E420" s="4" t="s">
        <v>204</v>
      </c>
      <c r="F420" s="4" t="s">
        <v>205</v>
      </c>
      <c r="G420" s="4" t="s">
        <v>144</v>
      </c>
      <c r="H420" s="4" t="s">
        <v>26</v>
      </c>
      <c r="I420" s="5">
        <v>90000000</v>
      </c>
      <c r="J420" s="5">
        <v>106250</v>
      </c>
      <c r="K420" s="5">
        <v>10625</v>
      </c>
      <c r="L420" s="4" t="s">
        <v>261</v>
      </c>
      <c r="M420" s="4" t="s">
        <v>262</v>
      </c>
      <c r="N420" s="3">
        <v>45877</v>
      </c>
      <c r="O420" s="4" t="s">
        <v>432</v>
      </c>
      <c r="P420" s="2">
        <v>1000</v>
      </c>
      <c r="Q420" s="2">
        <v>2016</v>
      </c>
      <c r="R420" s="4" t="s">
        <v>755</v>
      </c>
      <c r="S420" s="5">
        <v>80677900</v>
      </c>
    </row>
    <row r="421" spans="1:19" x14ac:dyDescent="0.25">
      <c r="A421" s="4" t="s">
        <v>61</v>
      </c>
      <c r="B421" s="4" t="s">
        <v>59</v>
      </c>
      <c r="C421" s="4" t="s">
        <v>62</v>
      </c>
      <c r="D421" s="4" t="s">
        <v>63</v>
      </c>
      <c r="E421" s="4" t="s">
        <v>204</v>
      </c>
      <c r="F421" s="4" t="s">
        <v>205</v>
      </c>
      <c r="G421" s="4" t="s">
        <v>144</v>
      </c>
      <c r="H421" s="4" t="s">
        <v>26</v>
      </c>
      <c r="I421" s="5">
        <v>90000000</v>
      </c>
      <c r="J421" s="5">
        <v>119000</v>
      </c>
      <c r="K421" s="5">
        <v>11900</v>
      </c>
      <c r="L421" s="4" t="s">
        <v>261</v>
      </c>
      <c r="M421" s="4" t="s">
        <v>262</v>
      </c>
      <c r="N421" s="3">
        <v>45877</v>
      </c>
      <c r="O421" s="4" t="s">
        <v>432</v>
      </c>
      <c r="P421" s="2">
        <v>2000</v>
      </c>
      <c r="Q421" s="2">
        <v>2016</v>
      </c>
      <c r="R421" s="4" t="s">
        <v>755</v>
      </c>
      <c r="S421" s="5">
        <v>80677900</v>
      </c>
    </row>
    <row r="422" spans="1:19" x14ac:dyDescent="0.25">
      <c r="A422" s="4" t="s">
        <v>61</v>
      </c>
      <c r="B422" s="4" t="s">
        <v>59</v>
      </c>
      <c r="C422" s="4" t="s">
        <v>62</v>
      </c>
      <c r="D422" s="4" t="s">
        <v>63</v>
      </c>
      <c r="E422" s="4" t="s">
        <v>204</v>
      </c>
      <c r="F422" s="4" t="s">
        <v>205</v>
      </c>
      <c r="G422" s="4" t="s">
        <v>144</v>
      </c>
      <c r="H422" s="4" t="s">
        <v>26</v>
      </c>
      <c r="I422" s="5">
        <v>90000000</v>
      </c>
      <c r="J422" s="5">
        <v>157250</v>
      </c>
      <c r="K422" s="5">
        <v>15725</v>
      </c>
      <c r="L422" s="4" t="s">
        <v>261</v>
      </c>
      <c r="M422" s="4" t="s">
        <v>262</v>
      </c>
      <c r="N422" s="3">
        <v>45877</v>
      </c>
      <c r="O422" s="4" t="s">
        <v>432</v>
      </c>
      <c r="P422" s="2">
        <v>3000</v>
      </c>
      <c r="Q422" s="2">
        <v>2016</v>
      </c>
      <c r="R422" s="4" t="s">
        <v>755</v>
      </c>
      <c r="S422" s="5">
        <v>80677900</v>
      </c>
    </row>
    <row r="423" spans="1:19" x14ac:dyDescent="0.25">
      <c r="A423" s="4" t="s">
        <v>61</v>
      </c>
      <c r="B423" s="4" t="s">
        <v>59</v>
      </c>
      <c r="C423" s="4" t="s">
        <v>62</v>
      </c>
      <c r="D423" s="4" t="s">
        <v>63</v>
      </c>
      <c r="E423" s="4" t="s">
        <v>204</v>
      </c>
      <c r="F423" s="4" t="s">
        <v>205</v>
      </c>
      <c r="G423" s="4" t="s">
        <v>144</v>
      </c>
      <c r="H423" s="4" t="s">
        <v>26</v>
      </c>
      <c r="I423" s="5">
        <v>90000000</v>
      </c>
      <c r="J423" s="5">
        <v>153000</v>
      </c>
      <c r="K423" s="5">
        <v>15300</v>
      </c>
      <c r="L423" s="4" t="s">
        <v>261</v>
      </c>
      <c r="M423" s="4" t="s">
        <v>262</v>
      </c>
      <c r="N423" s="3">
        <v>45877</v>
      </c>
      <c r="O423" s="4" t="s">
        <v>432</v>
      </c>
      <c r="P423" s="2">
        <v>4000</v>
      </c>
      <c r="Q423" s="2">
        <v>2016</v>
      </c>
      <c r="R423" s="4" t="s">
        <v>755</v>
      </c>
      <c r="S423" s="5">
        <v>80677900</v>
      </c>
    </row>
    <row r="424" spans="1:19" x14ac:dyDescent="0.25">
      <c r="A424" s="4" t="s">
        <v>61</v>
      </c>
      <c r="B424" s="4" t="s">
        <v>59</v>
      </c>
      <c r="C424" s="4" t="s">
        <v>62</v>
      </c>
      <c r="D424" s="4" t="s">
        <v>63</v>
      </c>
      <c r="E424" s="4" t="s">
        <v>204</v>
      </c>
      <c r="F424" s="4" t="s">
        <v>205</v>
      </c>
      <c r="G424" s="4" t="s">
        <v>144</v>
      </c>
      <c r="H424" s="4" t="s">
        <v>26</v>
      </c>
      <c r="I424" s="5">
        <v>90000000</v>
      </c>
      <c r="J424" s="5">
        <v>140250</v>
      </c>
      <c r="K424" s="5">
        <v>14025</v>
      </c>
      <c r="L424" s="4" t="s">
        <v>261</v>
      </c>
      <c r="M424" s="4" t="s">
        <v>262</v>
      </c>
      <c r="N424" s="3">
        <v>45877</v>
      </c>
      <c r="O424" s="4" t="s">
        <v>432</v>
      </c>
      <c r="P424" s="2">
        <v>5000</v>
      </c>
      <c r="Q424" s="2">
        <v>2016</v>
      </c>
      <c r="R424" s="4" t="s">
        <v>755</v>
      </c>
      <c r="S424" s="5">
        <v>80677900</v>
      </c>
    </row>
    <row r="425" spans="1:19" x14ac:dyDescent="0.25">
      <c r="A425" s="4" t="s">
        <v>61</v>
      </c>
      <c r="B425" s="4" t="s">
        <v>59</v>
      </c>
      <c r="C425" s="4" t="s">
        <v>62</v>
      </c>
      <c r="D425" s="4" t="s">
        <v>63</v>
      </c>
      <c r="E425" s="4" t="s">
        <v>204</v>
      </c>
      <c r="F425" s="4" t="s">
        <v>205</v>
      </c>
      <c r="G425" s="4" t="s">
        <v>144</v>
      </c>
      <c r="H425" s="4" t="s">
        <v>26</v>
      </c>
      <c r="I425" s="5">
        <v>90000000</v>
      </c>
      <c r="J425" s="5">
        <v>123250</v>
      </c>
      <c r="K425" s="5">
        <v>12325</v>
      </c>
      <c r="L425" s="4" t="s">
        <v>261</v>
      </c>
      <c r="M425" s="4" t="s">
        <v>262</v>
      </c>
      <c r="N425" s="3">
        <v>45877</v>
      </c>
      <c r="O425" s="4" t="s">
        <v>432</v>
      </c>
      <c r="P425" s="2">
        <v>6000</v>
      </c>
      <c r="Q425" s="2">
        <v>2016</v>
      </c>
      <c r="R425" s="4" t="s">
        <v>755</v>
      </c>
      <c r="S425" s="5">
        <v>80677900</v>
      </c>
    </row>
    <row r="426" spans="1:19" x14ac:dyDescent="0.25">
      <c r="A426" s="4" t="s">
        <v>61</v>
      </c>
      <c r="B426" s="4" t="s">
        <v>59</v>
      </c>
      <c r="C426" s="4" t="s">
        <v>62</v>
      </c>
      <c r="D426" s="4" t="s">
        <v>63</v>
      </c>
      <c r="E426" s="4" t="s">
        <v>204</v>
      </c>
      <c r="F426" s="4" t="s">
        <v>205</v>
      </c>
      <c r="G426" s="4" t="s">
        <v>144</v>
      </c>
      <c r="H426" s="4" t="s">
        <v>26</v>
      </c>
      <c r="I426" s="5">
        <v>90000000</v>
      </c>
      <c r="J426" s="5">
        <v>165750</v>
      </c>
      <c r="K426" s="5">
        <v>16575</v>
      </c>
      <c r="L426" s="4" t="s">
        <v>261</v>
      </c>
      <c r="M426" s="4" t="s">
        <v>262</v>
      </c>
      <c r="N426" s="3">
        <v>45877</v>
      </c>
      <c r="O426" s="4" t="s">
        <v>432</v>
      </c>
      <c r="P426" s="2">
        <v>7000</v>
      </c>
      <c r="Q426" s="2">
        <v>2016</v>
      </c>
      <c r="R426" s="4" t="s">
        <v>755</v>
      </c>
      <c r="S426" s="5">
        <v>80677900</v>
      </c>
    </row>
    <row r="427" spans="1:19" x14ac:dyDescent="0.25">
      <c r="A427" s="4" t="s">
        <v>61</v>
      </c>
      <c r="B427" s="4" t="s">
        <v>59</v>
      </c>
      <c r="C427" s="4" t="s">
        <v>62</v>
      </c>
      <c r="D427" s="4" t="s">
        <v>63</v>
      </c>
      <c r="E427" s="4" t="s">
        <v>330</v>
      </c>
      <c r="F427" s="4" t="s">
        <v>331</v>
      </c>
      <c r="G427" s="4" t="s">
        <v>124</v>
      </c>
      <c r="H427" s="4" t="s">
        <v>26</v>
      </c>
      <c r="I427" s="5">
        <v>65000000</v>
      </c>
      <c r="J427" s="5">
        <v>499500</v>
      </c>
      <c r="K427" s="5">
        <v>49950</v>
      </c>
      <c r="L427" s="4" t="s">
        <v>674</v>
      </c>
      <c r="M427" s="4" t="s">
        <v>675</v>
      </c>
      <c r="N427" s="3">
        <v>45892</v>
      </c>
      <c r="O427" s="4" t="s">
        <v>673</v>
      </c>
      <c r="P427" s="2">
        <v>1000</v>
      </c>
      <c r="Q427" s="2">
        <v>2017</v>
      </c>
      <c r="R427" s="4" t="s">
        <v>767</v>
      </c>
      <c r="S427" s="5">
        <v>62496720</v>
      </c>
    </row>
    <row r="428" spans="1:19" x14ac:dyDescent="0.25">
      <c r="A428" s="4" t="s">
        <v>61</v>
      </c>
      <c r="B428" s="4" t="s">
        <v>59</v>
      </c>
      <c r="C428" s="4" t="s">
        <v>62</v>
      </c>
      <c r="D428" s="4" t="s">
        <v>63</v>
      </c>
      <c r="E428" s="4" t="s">
        <v>330</v>
      </c>
      <c r="F428" s="4" t="s">
        <v>331</v>
      </c>
      <c r="G428" s="4" t="s">
        <v>124</v>
      </c>
      <c r="H428" s="4" t="s">
        <v>26</v>
      </c>
      <c r="I428" s="5">
        <v>65000000</v>
      </c>
      <c r="J428" s="5">
        <v>374500</v>
      </c>
      <c r="K428" s="5">
        <v>37450</v>
      </c>
      <c r="L428" s="4" t="s">
        <v>674</v>
      </c>
      <c r="M428" s="4" t="s">
        <v>675</v>
      </c>
      <c r="N428" s="3">
        <v>45892</v>
      </c>
      <c r="O428" s="4" t="s">
        <v>673</v>
      </c>
      <c r="P428" s="2">
        <v>2000</v>
      </c>
      <c r="Q428" s="2">
        <v>2017</v>
      </c>
      <c r="R428" s="4" t="s">
        <v>767</v>
      </c>
      <c r="S428" s="5">
        <v>62496720</v>
      </c>
    </row>
    <row r="429" spans="1:19" x14ac:dyDescent="0.25">
      <c r="A429" s="4" t="s">
        <v>61</v>
      </c>
      <c r="B429" s="4" t="s">
        <v>59</v>
      </c>
      <c r="C429" s="4" t="s">
        <v>62</v>
      </c>
      <c r="D429" s="4" t="s">
        <v>63</v>
      </c>
      <c r="E429" s="4" t="s">
        <v>412</v>
      </c>
      <c r="F429" s="4" t="s">
        <v>413</v>
      </c>
      <c r="G429" s="4" t="s">
        <v>157</v>
      </c>
      <c r="H429" s="4" t="s">
        <v>26</v>
      </c>
      <c r="I429" s="5">
        <v>90000000</v>
      </c>
      <c r="J429" s="5">
        <v>49500</v>
      </c>
      <c r="K429" s="5">
        <v>4950</v>
      </c>
      <c r="L429" s="4" t="s">
        <v>414</v>
      </c>
      <c r="M429" s="4" t="s">
        <v>415</v>
      </c>
      <c r="N429" s="3">
        <v>45875</v>
      </c>
      <c r="O429" s="4" t="s">
        <v>459</v>
      </c>
      <c r="P429" s="2">
        <v>1000</v>
      </c>
      <c r="Q429" s="2">
        <v>2024</v>
      </c>
      <c r="R429" s="4" t="s">
        <v>747</v>
      </c>
      <c r="S429" s="5">
        <v>87613200</v>
      </c>
    </row>
    <row r="430" spans="1:19" x14ac:dyDescent="0.25">
      <c r="A430" s="4" t="s">
        <v>61</v>
      </c>
      <c r="B430" s="4" t="s">
        <v>59</v>
      </c>
      <c r="C430" s="4" t="s">
        <v>62</v>
      </c>
      <c r="D430" s="4" t="s">
        <v>63</v>
      </c>
      <c r="E430" s="4" t="s">
        <v>225</v>
      </c>
      <c r="F430" s="4" t="s">
        <v>226</v>
      </c>
      <c r="G430" s="4" t="s">
        <v>50</v>
      </c>
      <c r="H430" s="4" t="s">
        <v>26</v>
      </c>
      <c r="I430" s="5">
        <v>65000000</v>
      </c>
      <c r="J430" s="5">
        <v>35700</v>
      </c>
      <c r="K430" s="5">
        <v>3570</v>
      </c>
      <c r="L430" s="4" t="s">
        <v>120</v>
      </c>
      <c r="M430" s="4" t="s">
        <v>121</v>
      </c>
      <c r="N430" s="3">
        <v>45878</v>
      </c>
      <c r="O430" s="4" t="s">
        <v>283</v>
      </c>
      <c r="P430" s="2">
        <v>1000</v>
      </c>
      <c r="Q430" s="2">
        <v>2033</v>
      </c>
      <c r="R430" s="4" t="s">
        <v>768</v>
      </c>
      <c r="S430" s="5">
        <v>63203100</v>
      </c>
    </row>
    <row r="431" spans="1:19" x14ac:dyDescent="0.25">
      <c r="A431" s="4" t="s">
        <v>61</v>
      </c>
      <c r="B431" s="4" t="s">
        <v>59</v>
      </c>
      <c r="C431" s="4" t="s">
        <v>62</v>
      </c>
      <c r="D431" s="4" t="s">
        <v>63</v>
      </c>
      <c r="E431" s="4" t="s">
        <v>225</v>
      </c>
      <c r="F431" s="4" t="s">
        <v>226</v>
      </c>
      <c r="G431" s="4" t="s">
        <v>50</v>
      </c>
      <c r="H431" s="4" t="s">
        <v>26</v>
      </c>
      <c r="I431" s="5">
        <v>65000000</v>
      </c>
      <c r="J431" s="5">
        <v>110000</v>
      </c>
      <c r="K431" s="5">
        <v>11000</v>
      </c>
      <c r="L431" s="4" t="s">
        <v>120</v>
      </c>
      <c r="M431" s="4" t="s">
        <v>121</v>
      </c>
      <c r="N431" s="3">
        <v>45878</v>
      </c>
      <c r="O431" s="4" t="s">
        <v>283</v>
      </c>
      <c r="P431" s="2">
        <v>2000</v>
      </c>
      <c r="Q431" s="2">
        <v>2033</v>
      </c>
      <c r="R431" s="4" t="s">
        <v>84</v>
      </c>
      <c r="S431" s="5">
        <v>63203100</v>
      </c>
    </row>
    <row r="432" spans="1:19" x14ac:dyDescent="0.25">
      <c r="A432" s="4" t="s">
        <v>61</v>
      </c>
      <c r="B432" s="4" t="s">
        <v>59</v>
      </c>
      <c r="C432" s="4" t="s">
        <v>62</v>
      </c>
      <c r="D432" s="4" t="s">
        <v>63</v>
      </c>
      <c r="E432" s="4" t="s">
        <v>227</v>
      </c>
      <c r="F432" s="4" t="s">
        <v>228</v>
      </c>
      <c r="G432" s="4" t="s">
        <v>100</v>
      </c>
      <c r="H432" s="4" t="s">
        <v>26</v>
      </c>
      <c r="I432" s="5">
        <v>65000000</v>
      </c>
      <c r="J432" s="5">
        <v>629000</v>
      </c>
      <c r="K432" s="5">
        <v>62900</v>
      </c>
      <c r="L432" s="4" t="s">
        <v>684</v>
      </c>
      <c r="M432" s="4" t="s">
        <v>685</v>
      </c>
      <c r="N432" s="3">
        <v>45886</v>
      </c>
      <c r="O432" s="4" t="s">
        <v>733</v>
      </c>
      <c r="P432" s="2">
        <v>1000</v>
      </c>
      <c r="Q432" s="2">
        <v>2037</v>
      </c>
      <c r="R432" s="4" t="s">
        <v>766</v>
      </c>
      <c r="S432" s="5">
        <v>62005700</v>
      </c>
    </row>
    <row r="433" spans="1:19" x14ac:dyDescent="0.25">
      <c r="A433" s="4" t="s">
        <v>61</v>
      </c>
      <c r="B433" s="4" t="s">
        <v>59</v>
      </c>
      <c r="C433" s="4" t="s">
        <v>62</v>
      </c>
      <c r="D433" s="4" t="s">
        <v>63</v>
      </c>
      <c r="E433" s="4" t="s">
        <v>111</v>
      </c>
      <c r="F433" s="4" t="s">
        <v>112</v>
      </c>
      <c r="G433" s="4" t="s">
        <v>81</v>
      </c>
      <c r="H433" s="4" t="s">
        <v>26</v>
      </c>
      <c r="I433" s="5">
        <v>65000000</v>
      </c>
      <c r="J433" s="5">
        <v>51000</v>
      </c>
      <c r="K433" s="5">
        <v>5100</v>
      </c>
      <c r="L433" s="4" t="s">
        <v>186</v>
      </c>
      <c r="M433" s="4" t="s">
        <v>187</v>
      </c>
      <c r="N433" s="3">
        <v>45878</v>
      </c>
      <c r="O433" s="4" t="s">
        <v>283</v>
      </c>
      <c r="P433" s="2">
        <v>1000</v>
      </c>
      <c r="Q433" s="2">
        <v>2041</v>
      </c>
      <c r="R433" s="4" t="s">
        <v>747</v>
      </c>
      <c r="S433" s="5">
        <v>61345000</v>
      </c>
    </row>
    <row r="434" spans="1:19" x14ac:dyDescent="0.25">
      <c r="A434" s="4" t="s">
        <v>61</v>
      </c>
      <c r="B434" s="4" t="s">
        <v>59</v>
      </c>
      <c r="C434" s="4" t="s">
        <v>62</v>
      </c>
      <c r="D434" s="4" t="s">
        <v>63</v>
      </c>
      <c r="E434" s="4" t="s">
        <v>225</v>
      </c>
      <c r="F434" s="4" t="s">
        <v>226</v>
      </c>
      <c r="G434" s="4" t="s">
        <v>50</v>
      </c>
      <c r="H434" s="4" t="s">
        <v>26</v>
      </c>
      <c r="I434" s="5">
        <v>65000000</v>
      </c>
      <c r="J434" s="5">
        <v>40500</v>
      </c>
      <c r="K434" s="5">
        <v>4050</v>
      </c>
      <c r="L434" s="4" t="s">
        <v>488</v>
      </c>
      <c r="M434" s="4" t="s">
        <v>489</v>
      </c>
      <c r="N434" s="3">
        <v>45875</v>
      </c>
      <c r="O434" s="4" t="s">
        <v>459</v>
      </c>
      <c r="P434" s="2">
        <v>1000</v>
      </c>
      <c r="Q434" s="2">
        <v>2054</v>
      </c>
      <c r="R434" s="4" t="s">
        <v>747</v>
      </c>
      <c r="S434" s="5">
        <v>63203100</v>
      </c>
    </row>
    <row r="435" spans="1:19" x14ac:dyDescent="0.25">
      <c r="A435" s="4" t="s">
        <v>61</v>
      </c>
      <c r="B435" s="4" t="s">
        <v>59</v>
      </c>
      <c r="C435" s="4" t="s">
        <v>62</v>
      </c>
      <c r="D435" s="4" t="s">
        <v>63</v>
      </c>
      <c r="E435" s="4" t="s">
        <v>225</v>
      </c>
      <c r="F435" s="4" t="s">
        <v>226</v>
      </c>
      <c r="G435" s="4" t="s">
        <v>50</v>
      </c>
      <c r="H435" s="4" t="s">
        <v>26</v>
      </c>
      <c r="I435" s="5">
        <v>65000000</v>
      </c>
      <c r="J435" s="5">
        <v>40000</v>
      </c>
      <c r="K435" s="5">
        <v>4000</v>
      </c>
      <c r="L435" s="4" t="s">
        <v>488</v>
      </c>
      <c r="M435" s="4" t="s">
        <v>489</v>
      </c>
      <c r="N435" s="3">
        <v>45875</v>
      </c>
      <c r="O435" s="4" t="s">
        <v>459</v>
      </c>
      <c r="P435" s="2">
        <v>2000</v>
      </c>
      <c r="Q435" s="2">
        <v>2054</v>
      </c>
      <c r="R435" s="4" t="s">
        <v>84</v>
      </c>
      <c r="S435" s="5">
        <v>63203100</v>
      </c>
    </row>
    <row r="436" spans="1:19" x14ac:dyDescent="0.25">
      <c r="A436" s="4" t="s">
        <v>61</v>
      </c>
      <c r="B436" s="4" t="s">
        <v>59</v>
      </c>
      <c r="C436" s="4" t="s">
        <v>62</v>
      </c>
      <c r="D436" s="4" t="s">
        <v>63</v>
      </c>
      <c r="E436" s="4" t="s">
        <v>98</v>
      </c>
      <c r="F436" s="4" t="s">
        <v>99</v>
      </c>
      <c r="G436" s="4" t="s">
        <v>100</v>
      </c>
      <c r="H436" s="4" t="s">
        <v>26</v>
      </c>
      <c r="I436" s="5">
        <v>65000000</v>
      </c>
      <c r="J436" s="5">
        <v>99000</v>
      </c>
      <c r="K436" s="5">
        <v>9900</v>
      </c>
      <c r="L436" s="4" t="s">
        <v>26</v>
      </c>
      <c r="M436" s="4" t="s">
        <v>26</v>
      </c>
      <c r="N436" s="3">
        <v>45874</v>
      </c>
      <c r="O436" s="4" t="s">
        <v>51</v>
      </c>
      <c r="P436" s="2">
        <v>1000</v>
      </c>
      <c r="Q436" s="2">
        <v>2074</v>
      </c>
      <c r="R436" s="4" t="s">
        <v>749</v>
      </c>
      <c r="S436" s="5">
        <v>64502350</v>
      </c>
    </row>
    <row r="437" spans="1:19" x14ac:dyDescent="0.25">
      <c r="A437" s="4" t="s">
        <v>61</v>
      </c>
      <c r="B437" s="4" t="s">
        <v>59</v>
      </c>
      <c r="C437" s="4" t="s">
        <v>62</v>
      </c>
      <c r="D437" s="4" t="s">
        <v>63</v>
      </c>
      <c r="E437" s="4" t="s">
        <v>103</v>
      </c>
      <c r="F437" s="4" t="s">
        <v>104</v>
      </c>
      <c r="G437" s="4" t="s">
        <v>105</v>
      </c>
      <c r="H437" s="4" t="s">
        <v>26</v>
      </c>
      <c r="I437" s="5">
        <v>155000000</v>
      </c>
      <c r="J437" s="5">
        <v>87200</v>
      </c>
      <c r="K437" s="5">
        <v>8720</v>
      </c>
      <c r="L437" s="4" t="s">
        <v>26</v>
      </c>
      <c r="M437" s="4" t="s">
        <v>26</v>
      </c>
      <c r="N437" s="3">
        <v>45875</v>
      </c>
      <c r="O437" s="4" t="s">
        <v>565</v>
      </c>
      <c r="P437" s="2">
        <v>1000</v>
      </c>
      <c r="Q437" s="2">
        <v>2075</v>
      </c>
      <c r="R437" s="4" t="s">
        <v>749</v>
      </c>
      <c r="S437" s="5">
        <v>150234500</v>
      </c>
    </row>
    <row r="438" spans="1:19" x14ac:dyDescent="0.25">
      <c r="A438" s="4" t="s">
        <v>61</v>
      </c>
      <c r="B438" s="4" t="s">
        <v>59</v>
      </c>
      <c r="C438" s="4" t="s">
        <v>62</v>
      </c>
      <c r="D438" s="4" t="s">
        <v>63</v>
      </c>
      <c r="E438" s="4" t="s">
        <v>334</v>
      </c>
      <c r="F438" s="4" t="s">
        <v>335</v>
      </c>
      <c r="G438" s="4" t="s">
        <v>222</v>
      </c>
      <c r="H438" s="4" t="s">
        <v>26</v>
      </c>
      <c r="I438" s="5">
        <v>110000000</v>
      </c>
      <c r="J438" s="5">
        <v>810000</v>
      </c>
      <c r="K438" s="5">
        <v>81000</v>
      </c>
      <c r="L438" s="4" t="s">
        <v>336</v>
      </c>
      <c r="M438" s="4" t="s">
        <v>337</v>
      </c>
      <c r="N438" s="3">
        <v>45886</v>
      </c>
      <c r="O438" s="4" t="s">
        <v>698</v>
      </c>
      <c r="P438" s="2">
        <v>1000</v>
      </c>
      <c r="Q438" s="2">
        <v>2075</v>
      </c>
      <c r="R438" s="4" t="s">
        <v>758</v>
      </c>
      <c r="S438" s="5">
        <v>101184670</v>
      </c>
    </row>
    <row r="439" spans="1:19" x14ac:dyDescent="0.25">
      <c r="A439" s="4" t="s">
        <v>61</v>
      </c>
      <c r="B439" s="4" t="s">
        <v>59</v>
      </c>
      <c r="C439" s="4" t="s">
        <v>62</v>
      </c>
      <c r="D439" s="4" t="s">
        <v>63</v>
      </c>
      <c r="E439" s="4" t="s">
        <v>334</v>
      </c>
      <c r="F439" s="4" t="s">
        <v>335</v>
      </c>
      <c r="G439" s="4" t="s">
        <v>222</v>
      </c>
      <c r="H439" s="4" t="s">
        <v>26</v>
      </c>
      <c r="I439" s="5">
        <v>110000000</v>
      </c>
      <c r="J439" s="5">
        <v>810000</v>
      </c>
      <c r="K439" s="5">
        <v>81000</v>
      </c>
      <c r="L439" s="4" t="s">
        <v>336</v>
      </c>
      <c r="M439" s="4" t="s">
        <v>337</v>
      </c>
      <c r="N439" s="3">
        <v>45886</v>
      </c>
      <c r="O439" s="4" t="s">
        <v>698</v>
      </c>
      <c r="P439" s="2">
        <v>2000</v>
      </c>
      <c r="Q439" s="2">
        <v>2075</v>
      </c>
      <c r="R439" s="4" t="s">
        <v>758</v>
      </c>
      <c r="S439" s="5">
        <v>101184670</v>
      </c>
    </row>
    <row r="440" spans="1:19" x14ac:dyDescent="0.25">
      <c r="A440" s="4" t="s">
        <v>61</v>
      </c>
      <c r="B440" s="4" t="s">
        <v>59</v>
      </c>
      <c r="C440" s="4" t="s">
        <v>62</v>
      </c>
      <c r="D440" s="4" t="s">
        <v>63</v>
      </c>
      <c r="E440" s="4" t="s">
        <v>334</v>
      </c>
      <c r="F440" s="4" t="s">
        <v>335</v>
      </c>
      <c r="G440" s="4" t="s">
        <v>222</v>
      </c>
      <c r="H440" s="4" t="s">
        <v>26</v>
      </c>
      <c r="I440" s="5">
        <v>110000000</v>
      </c>
      <c r="J440" s="5">
        <v>810000</v>
      </c>
      <c r="K440" s="5">
        <v>81000</v>
      </c>
      <c r="L440" s="4" t="s">
        <v>336</v>
      </c>
      <c r="M440" s="4" t="s">
        <v>337</v>
      </c>
      <c r="N440" s="3">
        <v>45886</v>
      </c>
      <c r="O440" s="4" t="s">
        <v>698</v>
      </c>
      <c r="P440" s="2">
        <v>3000</v>
      </c>
      <c r="Q440" s="2">
        <v>2075</v>
      </c>
      <c r="R440" s="4" t="s">
        <v>758</v>
      </c>
      <c r="S440" s="5">
        <v>101184670</v>
      </c>
    </row>
    <row r="441" spans="1:19" x14ac:dyDescent="0.25">
      <c r="A441" s="4" t="s">
        <v>61</v>
      </c>
      <c r="B441" s="4" t="s">
        <v>59</v>
      </c>
      <c r="C441" s="4" t="s">
        <v>62</v>
      </c>
      <c r="D441" s="4" t="s">
        <v>63</v>
      </c>
      <c r="E441" s="4" t="s">
        <v>334</v>
      </c>
      <c r="F441" s="4" t="s">
        <v>335</v>
      </c>
      <c r="G441" s="4" t="s">
        <v>222</v>
      </c>
      <c r="H441" s="4" t="s">
        <v>26</v>
      </c>
      <c r="I441" s="5">
        <v>110000000</v>
      </c>
      <c r="J441" s="5">
        <v>810000</v>
      </c>
      <c r="K441" s="5">
        <v>81000</v>
      </c>
      <c r="L441" s="4" t="s">
        <v>336</v>
      </c>
      <c r="M441" s="4" t="s">
        <v>337</v>
      </c>
      <c r="N441" s="3">
        <v>45886</v>
      </c>
      <c r="O441" s="4" t="s">
        <v>698</v>
      </c>
      <c r="P441" s="2">
        <v>4000</v>
      </c>
      <c r="Q441" s="2">
        <v>2075</v>
      </c>
      <c r="R441" s="4" t="s">
        <v>26</v>
      </c>
      <c r="S441" s="5">
        <v>101184670</v>
      </c>
    </row>
    <row r="442" spans="1:19" x14ac:dyDescent="0.25">
      <c r="A442" s="4" t="s">
        <v>61</v>
      </c>
      <c r="B442" s="4" t="s">
        <v>59</v>
      </c>
      <c r="C442" s="4" t="s">
        <v>62</v>
      </c>
      <c r="D442" s="4" t="s">
        <v>63</v>
      </c>
      <c r="E442" s="4" t="s">
        <v>79</v>
      </c>
      <c r="F442" s="4" t="s">
        <v>80</v>
      </c>
      <c r="G442" s="4" t="s">
        <v>81</v>
      </c>
      <c r="H442" s="4" t="s">
        <v>26</v>
      </c>
      <c r="I442" s="5">
        <v>65000000</v>
      </c>
      <c r="J442" s="5">
        <v>199000</v>
      </c>
      <c r="K442" s="5">
        <v>19900</v>
      </c>
      <c r="L442" s="4" t="s">
        <v>242</v>
      </c>
      <c r="M442" s="4" t="s">
        <v>243</v>
      </c>
      <c r="N442" s="3">
        <v>45898</v>
      </c>
      <c r="O442" s="4" t="s">
        <v>690</v>
      </c>
      <c r="P442" s="2">
        <v>1000</v>
      </c>
      <c r="Q442" s="2">
        <v>2076</v>
      </c>
      <c r="R442" s="4" t="s">
        <v>772</v>
      </c>
      <c r="S442" s="5">
        <v>61690700</v>
      </c>
    </row>
    <row r="443" spans="1:19" x14ac:dyDescent="0.25">
      <c r="A443" s="4" t="s">
        <v>61</v>
      </c>
      <c r="B443" s="4" t="s">
        <v>59</v>
      </c>
      <c r="C443" s="4" t="s">
        <v>62</v>
      </c>
      <c r="D443" s="4" t="s">
        <v>63</v>
      </c>
      <c r="E443" s="4" t="s">
        <v>79</v>
      </c>
      <c r="F443" s="4" t="s">
        <v>80</v>
      </c>
      <c r="G443" s="4" t="s">
        <v>81</v>
      </c>
      <c r="H443" s="4" t="s">
        <v>26</v>
      </c>
      <c r="I443" s="5">
        <v>65000000</v>
      </c>
      <c r="J443" s="5">
        <v>99000</v>
      </c>
      <c r="K443" s="5">
        <v>9900</v>
      </c>
      <c r="L443" s="4" t="s">
        <v>242</v>
      </c>
      <c r="M443" s="4" t="s">
        <v>243</v>
      </c>
      <c r="N443" s="3">
        <v>45898</v>
      </c>
      <c r="O443" s="4" t="s">
        <v>690</v>
      </c>
      <c r="P443" s="2">
        <v>2000</v>
      </c>
      <c r="Q443" s="2">
        <v>2076</v>
      </c>
      <c r="R443" s="4" t="s">
        <v>772</v>
      </c>
      <c r="S443" s="5">
        <v>61690700</v>
      </c>
    </row>
    <row r="444" spans="1:19" x14ac:dyDescent="0.25">
      <c r="A444" s="4" t="s">
        <v>61</v>
      </c>
      <c r="B444" s="4" t="s">
        <v>59</v>
      </c>
      <c r="C444" s="4" t="s">
        <v>62</v>
      </c>
      <c r="D444" s="4" t="s">
        <v>63</v>
      </c>
      <c r="E444" s="4" t="s">
        <v>178</v>
      </c>
      <c r="F444" s="4" t="s">
        <v>179</v>
      </c>
      <c r="G444" s="4" t="s">
        <v>124</v>
      </c>
      <c r="H444" s="4" t="s">
        <v>26</v>
      </c>
      <c r="I444" s="5">
        <v>65000000</v>
      </c>
      <c r="J444" s="5">
        <v>4086000</v>
      </c>
      <c r="K444" s="5">
        <v>408600</v>
      </c>
      <c r="L444" s="4" t="s">
        <v>214</v>
      </c>
      <c r="M444" s="4" t="s">
        <v>215</v>
      </c>
      <c r="N444" s="3">
        <v>45892</v>
      </c>
      <c r="O444" s="4" t="s">
        <v>681</v>
      </c>
      <c r="P444" s="2">
        <v>1000</v>
      </c>
      <c r="Q444" s="2">
        <v>2078</v>
      </c>
      <c r="R444" s="4" t="s">
        <v>770</v>
      </c>
      <c r="S444" s="5">
        <v>54146650</v>
      </c>
    </row>
    <row r="445" spans="1:19" x14ac:dyDescent="0.25">
      <c r="A445" s="4" t="s">
        <v>61</v>
      </c>
      <c r="B445" s="4" t="s">
        <v>59</v>
      </c>
      <c r="C445" s="4" t="s">
        <v>62</v>
      </c>
      <c r="D445" s="4" t="s">
        <v>63</v>
      </c>
      <c r="E445" s="4" t="s">
        <v>89</v>
      </c>
      <c r="F445" s="4" t="s">
        <v>90</v>
      </c>
      <c r="G445" s="4" t="s">
        <v>91</v>
      </c>
      <c r="H445" s="4" t="s">
        <v>26</v>
      </c>
      <c r="I445" s="5">
        <v>65000000</v>
      </c>
      <c r="J445" s="5">
        <v>2910000</v>
      </c>
      <c r="K445" s="5">
        <v>291000</v>
      </c>
      <c r="L445" s="4" t="s">
        <v>658</v>
      </c>
      <c r="M445" s="4" t="s">
        <v>659</v>
      </c>
      <c r="N445" s="3">
        <v>45878</v>
      </c>
      <c r="O445" s="4" t="s">
        <v>657</v>
      </c>
      <c r="P445" s="2">
        <v>1000</v>
      </c>
      <c r="Q445" s="2">
        <v>2092</v>
      </c>
      <c r="R445" s="4" t="s">
        <v>746</v>
      </c>
      <c r="S445" s="5">
        <v>60891200</v>
      </c>
    </row>
    <row r="446" spans="1:19" x14ac:dyDescent="0.25">
      <c r="A446" s="4" t="s">
        <v>61</v>
      </c>
      <c r="B446" s="4" t="s">
        <v>59</v>
      </c>
      <c r="C446" s="4" t="s">
        <v>62</v>
      </c>
      <c r="D446" s="4" t="s">
        <v>63</v>
      </c>
      <c r="E446" s="4" t="s">
        <v>263</v>
      </c>
      <c r="F446" s="4" t="s">
        <v>264</v>
      </c>
      <c r="G446" s="4" t="s">
        <v>81</v>
      </c>
      <c r="H446" s="4" t="s">
        <v>26</v>
      </c>
      <c r="I446" s="5">
        <v>65000000</v>
      </c>
      <c r="J446" s="5">
        <v>134100</v>
      </c>
      <c r="K446" s="5">
        <v>13410</v>
      </c>
      <c r="L446" s="4" t="s">
        <v>679</v>
      </c>
      <c r="M446" s="4" t="s">
        <v>680</v>
      </c>
      <c r="N446" s="3">
        <v>45899</v>
      </c>
      <c r="O446" s="4" t="s">
        <v>676</v>
      </c>
      <c r="P446" s="2">
        <v>1000</v>
      </c>
      <c r="Q446" s="2">
        <v>2092</v>
      </c>
      <c r="R446" s="4" t="s">
        <v>773</v>
      </c>
      <c r="S446" s="5">
        <v>54808900</v>
      </c>
    </row>
    <row r="447" spans="1:19" x14ac:dyDescent="0.25">
      <c r="A447" s="4" t="s">
        <v>61</v>
      </c>
      <c r="B447" s="4" t="s">
        <v>59</v>
      </c>
      <c r="C447" s="4" t="s">
        <v>62</v>
      </c>
      <c r="D447" s="4" t="s">
        <v>63</v>
      </c>
      <c r="E447" s="4" t="s">
        <v>263</v>
      </c>
      <c r="F447" s="4" t="s">
        <v>264</v>
      </c>
      <c r="G447" s="4" t="s">
        <v>81</v>
      </c>
      <c r="H447" s="4" t="s">
        <v>26</v>
      </c>
      <c r="I447" s="5">
        <v>65000000</v>
      </c>
      <c r="J447" s="5">
        <v>290000</v>
      </c>
      <c r="K447" s="5">
        <v>29000</v>
      </c>
      <c r="L447" s="4" t="s">
        <v>679</v>
      </c>
      <c r="M447" s="4" t="s">
        <v>680</v>
      </c>
      <c r="N447" s="3">
        <v>45899</v>
      </c>
      <c r="O447" s="4" t="s">
        <v>676</v>
      </c>
      <c r="P447" s="2">
        <v>2000</v>
      </c>
      <c r="Q447" s="2">
        <v>2092</v>
      </c>
      <c r="R447" s="4" t="s">
        <v>773</v>
      </c>
      <c r="S447" s="5">
        <v>54808900</v>
      </c>
    </row>
    <row r="448" spans="1:19" x14ac:dyDescent="0.25">
      <c r="A448" s="4" t="s">
        <v>61</v>
      </c>
      <c r="B448" s="4" t="s">
        <v>59</v>
      </c>
      <c r="C448" s="4" t="s">
        <v>62</v>
      </c>
      <c r="D448" s="4" t="s">
        <v>63</v>
      </c>
      <c r="E448" s="4" t="s">
        <v>263</v>
      </c>
      <c r="F448" s="4" t="s">
        <v>264</v>
      </c>
      <c r="G448" s="4" t="s">
        <v>81</v>
      </c>
      <c r="H448" s="4" t="s">
        <v>26</v>
      </c>
      <c r="I448" s="5">
        <v>65000000</v>
      </c>
      <c r="J448" s="5">
        <v>249000</v>
      </c>
      <c r="K448" s="5">
        <v>24900</v>
      </c>
      <c r="L448" s="4" t="s">
        <v>679</v>
      </c>
      <c r="M448" s="4" t="s">
        <v>680</v>
      </c>
      <c r="N448" s="3">
        <v>45899</v>
      </c>
      <c r="O448" s="4" t="s">
        <v>676</v>
      </c>
      <c r="P448" s="2">
        <v>3000</v>
      </c>
      <c r="Q448" s="2">
        <v>2092</v>
      </c>
      <c r="R448" s="4" t="s">
        <v>773</v>
      </c>
      <c r="S448" s="5">
        <v>54808900</v>
      </c>
    </row>
    <row r="449" spans="1:19" x14ac:dyDescent="0.25">
      <c r="A449" s="4" t="s">
        <v>61</v>
      </c>
      <c r="B449" s="4" t="s">
        <v>59</v>
      </c>
      <c r="C449" s="4" t="s">
        <v>62</v>
      </c>
      <c r="D449" s="4" t="s">
        <v>63</v>
      </c>
      <c r="E449" s="4" t="s">
        <v>184</v>
      </c>
      <c r="F449" s="4" t="s">
        <v>185</v>
      </c>
      <c r="G449" s="4" t="s">
        <v>100</v>
      </c>
      <c r="H449" s="4" t="s">
        <v>26</v>
      </c>
      <c r="I449" s="5">
        <v>65000000</v>
      </c>
      <c r="J449" s="5">
        <v>138600</v>
      </c>
      <c r="K449" s="5">
        <v>13860</v>
      </c>
      <c r="L449" s="4" t="s">
        <v>316</v>
      </c>
      <c r="M449" s="4" t="s">
        <v>317</v>
      </c>
      <c r="N449" s="3">
        <v>45878</v>
      </c>
      <c r="O449" s="4" t="s">
        <v>283</v>
      </c>
      <c r="P449" s="2">
        <v>1000</v>
      </c>
      <c r="Q449" s="2">
        <v>2106</v>
      </c>
      <c r="R449" s="4" t="s">
        <v>755</v>
      </c>
      <c r="S449" s="5">
        <v>64079500</v>
      </c>
    </row>
    <row r="450" spans="1:19" x14ac:dyDescent="0.25">
      <c r="A450" s="4" t="s">
        <v>61</v>
      </c>
      <c r="B450" s="4" t="s">
        <v>59</v>
      </c>
      <c r="C450" s="4" t="s">
        <v>62</v>
      </c>
      <c r="D450" s="4" t="s">
        <v>63</v>
      </c>
      <c r="E450" s="4" t="s">
        <v>184</v>
      </c>
      <c r="F450" s="4" t="s">
        <v>185</v>
      </c>
      <c r="G450" s="4" t="s">
        <v>100</v>
      </c>
      <c r="H450" s="4" t="s">
        <v>26</v>
      </c>
      <c r="I450" s="5">
        <v>65000000</v>
      </c>
      <c r="J450" s="5">
        <v>53900</v>
      </c>
      <c r="K450" s="5">
        <v>5390</v>
      </c>
      <c r="L450" s="4" t="s">
        <v>316</v>
      </c>
      <c r="M450" s="4" t="s">
        <v>317</v>
      </c>
      <c r="N450" s="3">
        <v>45878</v>
      </c>
      <c r="O450" s="4" t="s">
        <v>283</v>
      </c>
      <c r="P450" s="2">
        <v>2000</v>
      </c>
      <c r="Q450" s="2">
        <v>2106</v>
      </c>
      <c r="R450" s="4" t="s">
        <v>755</v>
      </c>
      <c r="S450" s="5">
        <v>64079500</v>
      </c>
    </row>
    <row r="451" spans="1:19" x14ac:dyDescent="0.25">
      <c r="A451" s="4" t="s">
        <v>61</v>
      </c>
      <c r="B451" s="4" t="s">
        <v>59</v>
      </c>
      <c r="C451" s="4" t="s">
        <v>62</v>
      </c>
      <c r="D451" s="4" t="s">
        <v>63</v>
      </c>
      <c r="E451" s="4" t="s">
        <v>184</v>
      </c>
      <c r="F451" s="4" t="s">
        <v>185</v>
      </c>
      <c r="G451" s="4" t="s">
        <v>100</v>
      </c>
      <c r="H451" s="4" t="s">
        <v>26</v>
      </c>
      <c r="I451" s="5">
        <v>65000000</v>
      </c>
      <c r="J451" s="5">
        <v>46200</v>
      </c>
      <c r="K451" s="5">
        <v>4620</v>
      </c>
      <c r="L451" s="4" t="s">
        <v>316</v>
      </c>
      <c r="M451" s="4" t="s">
        <v>317</v>
      </c>
      <c r="N451" s="3">
        <v>45878</v>
      </c>
      <c r="O451" s="4" t="s">
        <v>283</v>
      </c>
      <c r="P451" s="2">
        <v>3000</v>
      </c>
      <c r="Q451" s="2">
        <v>2106</v>
      </c>
      <c r="R451" s="4" t="s">
        <v>755</v>
      </c>
      <c r="S451" s="5">
        <v>64079500</v>
      </c>
    </row>
    <row r="452" spans="1:19" x14ac:dyDescent="0.25">
      <c r="A452" s="4" t="s">
        <v>61</v>
      </c>
      <c r="B452" s="4" t="s">
        <v>59</v>
      </c>
      <c r="C452" s="4" t="s">
        <v>62</v>
      </c>
      <c r="D452" s="4" t="s">
        <v>63</v>
      </c>
      <c r="E452" s="4" t="s">
        <v>184</v>
      </c>
      <c r="F452" s="4" t="s">
        <v>185</v>
      </c>
      <c r="G452" s="4" t="s">
        <v>100</v>
      </c>
      <c r="H452" s="4" t="s">
        <v>26</v>
      </c>
      <c r="I452" s="5">
        <v>65000000</v>
      </c>
      <c r="J452" s="5">
        <v>131600</v>
      </c>
      <c r="K452" s="5">
        <v>13160</v>
      </c>
      <c r="L452" s="4" t="s">
        <v>316</v>
      </c>
      <c r="M452" s="4" t="s">
        <v>317</v>
      </c>
      <c r="N452" s="3">
        <v>45878</v>
      </c>
      <c r="O452" s="4" t="s">
        <v>283</v>
      </c>
      <c r="P452" s="2">
        <v>4000</v>
      </c>
      <c r="Q452" s="2">
        <v>2106</v>
      </c>
      <c r="R452" s="4" t="s">
        <v>755</v>
      </c>
      <c r="S452" s="5">
        <v>64079500</v>
      </c>
    </row>
    <row r="453" spans="1:19" x14ac:dyDescent="0.25">
      <c r="A453" s="4" t="s">
        <v>61</v>
      </c>
      <c r="B453" s="4" t="s">
        <v>59</v>
      </c>
      <c r="C453" s="4" t="s">
        <v>62</v>
      </c>
      <c r="D453" s="4" t="s">
        <v>63</v>
      </c>
      <c r="E453" s="4" t="s">
        <v>210</v>
      </c>
      <c r="F453" s="4" t="s">
        <v>211</v>
      </c>
      <c r="G453" s="4" t="s">
        <v>50</v>
      </c>
      <c r="H453" s="4" t="s">
        <v>26</v>
      </c>
      <c r="I453" s="5">
        <v>65000000</v>
      </c>
      <c r="J453" s="5">
        <v>99000</v>
      </c>
      <c r="K453" s="5">
        <v>9900</v>
      </c>
      <c r="L453" s="4" t="s">
        <v>26</v>
      </c>
      <c r="M453" s="4" t="s">
        <v>26</v>
      </c>
      <c r="N453" s="3">
        <v>45898</v>
      </c>
      <c r="O453" s="4" t="s">
        <v>690</v>
      </c>
      <c r="P453" s="2">
        <v>1000</v>
      </c>
      <c r="Q453" s="2">
        <v>2108</v>
      </c>
      <c r="R453" s="4" t="s">
        <v>772</v>
      </c>
      <c r="S453" s="5">
        <v>63482950</v>
      </c>
    </row>
    <row r="454" spans="1:19" x14ac:dyDescent="0.25">
      <c r="A454" s="4" t="s">
        <v>61</v>
      </c>
      <c r="B454" s="4" t="s">
        <v>59</v>
      </c>
      <c r="C454" s="4" t="s">
        <v>62</v>
      </c>
      <c r="D454" s="4" t="s">
        <v>63</v>
      </c>
      <c r="E454" s="4" t="s">
        <v>164</v>
      </c>
      <c r="F454" s="4" t="s">
        <v>165</v>
      </c>
      <c r="G454" s="4" t="s">
        <v>50</v>
      </c>
      <c r="H454" s="4" t="s">
        <v>26</v>
      </c>
      <c r="I454" s="5">
        <v>65000000</v>
      </c>
      <c r="J454" s="5">
        <v>70550</v>
      </c>
      <c r="K454" s="5">
        <v>7055</v>
      </c>
      <c r="L454" s="4" t="s">
        <v>26</v>
      </c>
      <c r="M454" s="4" t="s">
        <v>26</v>
      </c>
      <c r="N454" s="3">
        <v>45878</v>
      </c>
      <c r="O454" s="4" t="s">
        <v>432</v>
      </c>
      <c r="P454" s="2">
        <v>1000</v>
      </c>
      <c r="Q454" s="2">
        <v>2144</v>
      </c>
      <c r="R454" s="4" t="s">
        <v>755</v>
      </c>
      <c r="S454" s="5">
        <v>64817100</v>
      </c>
    </row>
    <row r="455" spans="1:19" x14ac:dyDescent="0.25">
      <c r="A455" s="4" t="s">
        <v>61</v>
      </c>
      <c r="B455" s="4" t="s">
        <v>59</v>
      </c>
      <c r="C455" s="4" t="s">
        <v>62</v>
      </c>
      <c r="D455" s="4" t="s">
        <v>63</v>
      </c>
      <c r="E455" s="4" t="s">
        <v>164</v>
      </c>
      <c r="F455" s="4" t="s">
        <v>165</v>
      </c>
      <c r="G455" s="4" t="s">
        <v>50</v>
      </c>
      <c r="H455" s="4" t="s">
        <v>26</v>
      </c>
      <c r="I455" s="5">
        <v>65000000</v>
      </c>
      <c r="J455" s="5">
        <v>9350</v>
      </c>
      <c r="K455" s="5">
        <v>935</v>
      </c>
      <c r="L455" s="4" t="s">
        <v>26</v>
      </c>
      <c r="M455" s="4" t="s">
        <v>26</v>
      </c>
      <c r="N455" s="3">
        <v>45878</v>
      </c>
      <c r="O455" s="4" t="s">
        <v>432</v>
      </c>
      <c r="P455" s="2">
        <v>2000</v>
      </c>
      <c r="Q455" s="2">
        <v>2144</v>
      </c>
      <c r="R455" s="4" t="s">
        <v>755</v>
      </c>
      <c r="S455" s="5">
        <v>64817100</v>
      </c>
    </row>
    <row r="456" spans="1:19" x14ac:dyDescent="0.25">
      <c r="A456" s="4" t="s">
        <v>61</v>
      </c>
      <c r="B456" s="4" t="s">
        <v>59</v>
      </c>
      <c r="C456" s="4" t="s">
        <v>62</v>
      </c>
      <c r="D456" s="4" t="s">
        <v>63</v>
      </c>
      <c r="E456" s="4" t="s">
        <v>164</v>
      </c>
      <c r="F456" s="4" t="s">
        <v>165</v>
      </c>
      <c r="G456" s="4" t="s">
        <v>50</v>
      </c>
      <c r="H456" s="4" t="s">
        <v>26</v>
      </c>
      <c r="I456" s="5">
        <v>65000000</v>
      </c>
      <c r="J456" s="5">
        <v>23800</v>
      </c>
      <c r="K456" s="5">
        <v>2380</v>
      </c>
      <c r="L456" s="4" t="s">
        <v>26</v>
      </c>
      <c r="M456" s="4" t="s">
        <v>26</v>
      </c>
      <c r="N456" s="3">
        <v>45878</v>
      </c>
      <c r="O456" s="4" t="s">
        <v>432</v>
      </c>
      <c r="P456" s="2">
        <v>3000</v>
      </c>
      <c r="Q456" s="2">
        <v>2144</v>
      </c>
      <c r="R456" s="4" t="s">
        <v>755</v>
      </c>
      <c r="S456" s="5">
        <v>64817100</v>
      </c>
    </row>
    <row r="457" spans="1:19" x14ac:dyDescent="0.25">
      <c r="A457" s="4" t="s">
        <v>61</v>
      </c>
      <c r="B457" s="4" t="s">
        <v>59</v>
      </c>
      <c r="C457" s="4" t="s">
        <v>62</v>
      </c>
      <c r="D457" s="4" t="s">
        <v>63</v>
      </c>
      <c r="E457" s="4" t="s">
        <v>408</v>
      </c>
      <c r="F457" s="4" t="s">
        <v>409</v>
      </c>
      <c r="G457" s="4" t="s">
        <v>100</v>
      </c>
      <c r="H457" s="4" t="s">
        <v>26</v>
      </c>
      <c r="I457" s="5">
        <v>65000000</v>
      </c>
      <c r="J457" s="5">
        <v>76500</v>
      </c>
      <c r="K457" s="5">
        <v>7650</v>
      </c>
      <c r="L457" s="4" t="s">
        <v>410</v>
      </c>
      <c r="M457" s="4" t="s">
        <v>411</v>
      </c>
      <c r="N457" s="3">
        <v>45882</v>
      </c>
      <c r="O457" s="4" t="s">
        <v>738</v>
      </c>
      <c r="P457" s="2">
        <v>1000</v>
      </c>
      <c r="Q457" s="2">
        <v>2154</v>
      </c>
      <c r="R457" s="4" t="s">
        <v>749</v>
      </c>
      <c r="S457" s="5">
        <v>64703500</v>
      </c>
    </row>
    <row r="458" spans="1:19" x14ac:dyDescent="0.25">
      <c r="A458" s="4" t="s">
        <v>61</v>
      </c>
      <c r="B458" s="4" t="s">
        <v>59</v>
      </c>
      <c r="C458" s="4" t="s">
        <v>62</v>
      </c>
      <c r="D458" s="4" t="s">
        <v>63</v>
      </c>
      <c r="E458" s="4" t="s">
        <v>251</v>
      </c>
      <c r="F458" s="4" t="s">
        <v>252</v>
      </c>
      <c r="G458" s="4" t="s">
        <v>222</v>
      </c>
      <c r="H458" s="4" t="s">
        <v>26</v>
      </c>
      <c r="I458" s="5">
        <v>110000000</v>
      </c>
      <c r="J458" s="5">
        <v>79000</v>
      </c>
      <c r="K458" s="5">
        <v>7900</v>
      </c>
      <c r="L458" s="4" t="s">
        <v>253</v>
      </c>
      <c r="M458" s="4" t="s">
        <v>254</v>
      </c>
      <c r="N458" s="3">
        <v>45898</v>
      </c>
      <c r="O458" s="4" t="s">
        <v>690</v>
      </c>
      <c r="P458" s="2">
        <v>1000</v>
      </c>
      <c r="Q458" s="2">
        <v>2158</v>
      </c>
      <c r="R458" s="4" t="s">
        <v>772</v>
      </c>
      <c r="S458" s="5">
        <v>108445000</v>
      </c>
    </row>
    <row r="459" spans="1:19" x14ac:dyDescent="0.25">
      <c r="A459" s="4" t="s">
        <v>61</v>
      </c>
      <c r="B459" s="4" t="s">
        <v>59</v>
      </c>
      <c r="C459" s="4" t="s">
        <v>62</v>
      </c>
      <c r="D459" s="4" t="s">
        <v>63</v>
      </c>
      <c r="E459" s="4" t="s">
        <v>251</v>
      </c>
      <c r="F459" s="4" t="s">
        <v>252</v>
      </c>
      <c r="G459" s="4" t="s">
        <v>222</v>
      </c>
      <c r="H459" s="4" t="s">
        <v>26</v>
      </c>
      <c r="I459" s="5">
        <v>110000000</v>
      </c>
      <c r="J459" s="5">
        <v>79000</v>
      </c>
      <c r="K459" s="5">
        <v>7900</v>
      </c>
      <c r="L459" s="4" t="s">
        <v>253</v>
      </c>
      <c r="M459" s="4" t="s">
        <v>254</v>
      </c>
      <c r="N459" s="3">
        <v>45898</v>
      </c>
      <c r="O459" s="4" t="s">
        <v>690</v>
      </c>
      <c r="P459" s="2">
        <v>2000</v>
      </c>
      <c r="Q459" s="2">
        <v>2158</v>
      </c>
      <c r="R459" s="4" t="s">
        <v>772</v>
      </c>
      <c r="S459" s="5">
        <v>108445000</v>
      </c>
    </row>
    <row r="460" spans="1:19" x14ac:dyDescent="0.25">
      <c r="A460" s="4" t="s">
        <v>61</v>
      </c>
      <c r="B460" s="4" t="s">
        <v>59</v>
      </c>
      <c r="C460" s="4" t="s">
        <v>62</v>
      </c>
      <c r="D460" s="4" t="s">
        <v>63</v>
      </c>
      <c r="E460" s="4" t="s">
        <v>251</v>
      </c>
      <c r="F460" s="4" t="s">
        <v>252</v>
      </c>
      <c r="G460" s="4" t="s">
        <v>222</v>
      </c>
      <c r="H460" s="4" t="s">
        <v>26</v>
      </c>
      <c r="I460" s="5">
        <v>110000000</v>
      </c>
      <c r="J460" s="5">
        <v>79000</v>
      </c>
      <c r="K460" s="5">
        <v>7900</v>
      </c>
      <c r="L460" s="4" t="s">
        <v>253</v>
      </c>
      <c r="M460" s="4" t="s">
        <v>254</v>
      </c>
      <c r="N460" s="3">
        <v>45898</v>
      </c>
      <c r="O460" s="4" t="s">
        <v>690</v>
      </c>
      <c r="P460" s="2">
        <v>3000</v>
      </c>
      <c r="Q460" s="2">
        <v>2158</v>
      </c>
      <c r="R460" s="4" t="s">
        <v>772</v>
      </c>
      <c r="S460" s="5">
        <v>108445000</v>
      </c>
    </row>
    <row r="461" spans="1:19" x14ac:dyDescent="0.25">
      <c r="A461" s="4" t="s">
        <v>61</v>
      </c>
      <c r="B461" s="4" t="s">
        <v>59</v>
      </c>
      <c r="C461" s="4" t="s">
        <v>62</v>
      </c>
      <c r="D461" s="4" t="s">
        <v>63</v>
      </c>
      <c r="E461" s="4" t="s">
        <v>92</v>
      </c>
      <c r="F461" s="4" t="s">
        <v>93</v>
      </c>
      <c r="G461" s="4" t="s">
        <v>94</v>
      </c>
      <c r="H461" s="4" t="s">
        <v>26</v>
      </c>
      <c r="I461" s="5">
        <v>155000000</v>
      </c>
      <c r="J461" s="5">
        <v>559300</v>
      </c>
      <c r="K461" s="5">
        <v>55930</v>
      </c>
      <c r="L461" s="4" t="s">
        <v>492</v>
      </c>
      <c r="M461" s="4" t="s">
        <v>493</v>
      </c>
      <c r="N461" s="3">
        <v>45876</v>
      </c>
      <c r="O461" s="4" t="s">
        <v>719</v>
      </c>
      <c r="P461" s="2">
        <v>1000</v>
      </c>
      <c r="Q461" s="2">
        <v>2164</v>
      </c>
      <c r="R461" s="4" t="s">
        <v>26</v>
      </c>
      <c r="S461" s="5">
        <v>145558700</v>
      </c>
    </row>
    <row r="462" spans="1:19" x14ac:dyDescent="0.25">
      <c r="A462" s="4" t="s">
        <v>61</v>
      </c>
      <c r="B462" s="4" t="s">
        <v>59</v>
      </c>
      <c r="C462" s="4" t="s">
        <v>62</v>
      </c>
      <c r="D462" s="4" t="s">
        <v>63</v>
      </c>
      <c r="E462" s="4" t="s">
        <v>92</v>
      </c>
      <c r="F462" s="4" t="s">
        <v>93</v>
      </c>
      <c r="G462" s="4" t="s">
        <v>94</v>
      </c>
      <c r="H462" s="4" t="s">
        <v>26</v>
      </c>
      <c r="I462" s="5">
        <v>155000000</v>
      </c>
      <c r="J462" s="5">
        <v>479200</v>
      </c>
      <c r="K462" s="5">
        <v>47920</v>
      </c>
      <c r="L462" s="4" t="s">
        <v>492</v>
      </c>
      <c r="M462" s="4" t="s">
        <v>493</v>
      </c>
      <c r="N462" s="3">
        <v>45876</v>
      </c>
      <c r="O462" s="4" t="s">
        <v>719</v>
      </c>
      <c r="P462" s="2">
        <v>2000</v>
      </c>
      <c r="Q462" s="2">
        <v>2164</v>
      </c>
      <c r="R462" s="4" t="s">
        <v>26</v>
      </c>
      <c r="S462" s="5">
        <v>145558700</v>
      </c>
    </row>
    <row r="463" spans="1:19" x14ac:dyDescent="0.25">
      <c r="A463" s="4" t="s">
        <v>61</v>
      </c>
      <c r="B463" s="4" t="s">
        <v>59</v>
      </c>
      <c r="C463" s="4" t="s">
        <v>62</v>
      </c>
      <c r="D463" s="4" t="s">
        <v>63</v>
      </c>
      <c r="E463" s="4" t="s">
        <v>101</v>
      </c>
      <c r="F463" s="4" t="s">
        <v>102</v>
      </c>
      <c r="G463" s="4" t="s">
        <v>71</v>
      </c>
      <c r="H463" s="4" t="s">
        <v>26</v>
      </c>
      <c r="I463" s="5">
        <v>155000000</v>
      </c>
      <c r="J463" s="5">
        <v>79200</v>
      </c>
      <c r="K463" s="5">
        <v>7920</v>
      </c>
      <c r="L463" s="4" t="s">
        <v>26</v>
      </c>
      <c r="M463" s="4" t="s">
        <v>26</v>
      </c>
      <c r="N463" s="3">
        <v>45875</v>
      </c>
      <c r="O463" s="4" t="s">
        <v>51</v>
      </c>
      <c r="P463" s="2">
        <v>1000</v>
      </c>
      <c r="Q463" s="2">
        <v>2191</v>
      </c>
      <c r="R463" s="4" t="s">
        <v>749</v>
      </c>
      <c r="S463" s="5">
        <v>154309700</v>
      </c>
    </row>
    <row r="464" spans="1:19" x14ac:dyDescent="0.25">
      <c r="A464" s="4" t="s">
        <v>61</v>
      </c>
      <c r="B464" s="4" t="s">
        <v>59</v>
      </c>
      <c r="C464" s="4" t="s">
        <v>62</v>
      </c>
      <c r="D464" s="4" t="s">
        <v>63</v>
      </c>
      <c r="E464" s="4" t="s">
        <v>232</v>
      </c>
      <c r="F464" s="4" t="s">
        <v>233</v>
      </c>
      <c r="G464" s="4" t="s">
        <v>81</v>
      </c>
      <c r="H464" s="4" t="s">
        <v>26</v>
      </c>
      <c r="I464" s="5">
        <v>65000000</v>
      </c>
      <c r="J464" s="5">
        <v>79900</v>
      </c>
      <c r="K464" s="5">
        <v>7990</v>
      </c>
      <c r="L464" s="4" t="s">
        <v>26</v>
      </c>
      <c r="M464" s="4" t="s">
        <v>26</v>
      </c>
      <c r="N464" s="3">
        <v>45878</v>
      </c>
      <c r="O464" s="4" t="s">
        <v>432</v>
      </c>
      <c r="P464" s="2">
        <v>1000</v>
      </c>
      <c r="Q464" s="2">
        <v>2196</v>
      </c>
      <c r="R464" s="4" t="s">
        <v>755</v>
      </c>
      <c r="S464" s="5">
        <v>56050260</v>
      </c>
    </row>
    <row r="465" spans="1:19" x14ac:dyDescent="0.25">
      <c r="A465" s="4" t="s">
        <v>61</v>
      </c>
      <c r="B465" s="4" t="s">
        <v>59</v>
      </c>
      <c r="C465" s="4" t="s">
        <v>62</v>
      </c>
      <c r="D465" s="4" t="s">
        <v>63</v>
      </c>
      <c r="E465" s="4" t="s">
        <v>232</v>
      </c>
      <c r="F465" s="4" t="s">
        <v>233</v>
      </c>
      <c r="G465" s="4" t="s">
        <v>81</v>
      </c>
      <c r="H465" s="4" t="s">
        <v>26</v>
      </c>
      <c r="I465" s="5">
        <v>65000000</v>
      </c>
      <c r="J465" s="5">
        <v>23800</v>
      </c>
      <c r="K465" s="5">
        <v>2380</v>
      </c>
      <c r="L465" s="4" t="s">
        <v>26</v>
      </c>
      <c r="M465" s="4" t="s">
        <v>26</v>
      </c>
      <c r="N465" s="3">
        <v>45878</v>
      </c>
      <c r="O465" s="4" t="s">
        <v>432</v>
      </c>
      <c r="P465" s="2">
        <v>2000</v>
      </c>
      <c r="Q465" s="2">
        <v>2196</v>
      </c>
      <c r="R465" s="4" t="s">
        <v>755</v>
      </c>
      <c r="S465" s="5">
        <v>56050260</v>
      </c>
    </row>
    <row r="466" spans="1:19" x14ac:dyDescent="0.25">
      <c r="A466" s="4" t="s">
        <v>61</v>
      </c>
      <c r="B466" s="4" t="s">
        <v>59</v>
      </c>
      <c r="C466" s="4" t="s">
        <v>62</v>
      </c>
      <c r="D466" s="4" t="s">
        <v>63</v>
      </c>
      <c r="E466" s="4" t="s">
        <v>232</v>
      </c>
      <c r="F466" s="4" t="s">
        <v>233</v>
      </c>
      <c r="G466" s="4" t="s">
        <v>81</v>
      </c>
      <c r="H466" s="4" t="s">
        <v>26</v>
      </c>
      <c r="I466" s="5">
        <v>65000000</v>
      </c>
      <c r="J466" s="5">
        <v>4250</v>
      </c>
      <c r="K466" s="5">
        <v>425</v>
      </c>
      <c r="L466" s="4" t="s">
        <v>26</v>
      </c>
      <c r="M466" s="4" t="s">
        <v>26</v>
      </c>
      <c r="N466" s="3">
        <v>45878</v>
      </c>
      <c r="O466" s="4" t="s">
        <v>432</v>
      </c>
      <c r="P466" s="2">
        <v>3000</v>
      </c>
      <c r="Q466" s="2">
        <v>2196</v>
      </c>
      <c r="R466" s="4" t="s">
        <v>755</v>
      </c>
      <c r="S466" s="5">
        <v>56050260</v>
      </c>
    </row>
    <row r="467" spans="1:19" x14ac:dyDescent="0.25">
      <c r="A467" s="4" t="s">
        <v>61</v>
      </c>
      <c r="B467" s="4" t="s">
        <v>59</v>
      </c>
      <c r="C467" s="4" t="s">
        <v>62</v>
      </c>
      <c r="D467" s="4" t="s">
        <v>63</v>
      </c>
      <c r="E467" s="4" t="s">
        <v>98</v>
      </c>
      <c r="F467" s="4" t="s">
        <v>99</v>
      </c>
      <c r="G467" s="4" t="s">
        <v>100</v>
      </c>
      <c r="H467" s="4" t="s">
        <v>26</v>
      </c>
      <c r="I467" s="5">
        <v>65000000</v>
      </c>
      <c r="J467" s="5">
        <v>70550</v>
      </c>
      <c r="K467" s="5">
        <v>7055</v>
      </c>
      <c r="L467" s="4" t="s">
        <v>26</v>
      </c>
      <c r="M467" s="4" t="s">
        <v>26</v>
      </c>
      <c r="N467" s="3">
        <v>45878</v>
      </c>
      <c r="O467" s="4" t="s">
        <v>432</v>
      </c>
      <c r="P467" s="2">
        <v>1000</v>
      </c>
      <c r="Q467" s="2">
        <v>2198</v>
      </c>
      <c r="R467" s="4" t="s">
        <v>755</v>
      </c>
      <c r="S467" s="5">
        <v>64502350</v>
      </c>
    </row>
    <row r="468" spans="1:19" x14ac:dyDescent="0.25">
      <c r="A468" s="4" t="s">
        <v>61</v>
      </c>
      <c r="B468" s="4" t="s">
        <v>59</v>
      </c>
      <c r="C468" s="4" t="s">
        <v>62</v>
      </c>
      <c r="D468" s="4" t="s">
        <v>63</v>
      </c>
      <c r="E468" s="4" t="s">
        <v>98</v>
      </c>
      <c r="F468" s="4" t="s">
        <v>99</v>
      </c>
      <c r="G468" s="4" t="s">
        <v>100</v>
      </c>
      <c r="H468" s="4" t="s">
        <v>26</v>
      </c>
      <c r="I468" s="5">
        <v>65000000</v>
      </c>
      <c r="J468" s="5">
        <v>28050</v>
      </c>
      <c r="K468" s="5">
        <v>2805</v>
      </c>
      <c r="L468" s="4" t="s">
        <v>26</v>
      </c>
      <c r="M468" s="4" t="s">
        <v>26</v>
      </c>
      <c r="N468" s="3">
        <v>45878</v>
      </c>
      <c r="O468" s="4" t="s">
        <v>432</v>
      </c>
      <c r="P468" s="2">
        <v>2000</v>
      </c>
      <c r="Q468" s="2">
        <v>2198</v>
      </c>
      <c r="R468" s="4" t="s">
        <v>26</v>
      </c>
      <c r="S468" s="5">
        <v>64502350</v>
      </c>
    </row>
    <row r="469" spans="1:19" x14ac:dyDescent="0.25">
      <c r="A469" s="4" t="s">
        <v>61</v>
      </c>
      <c r="B469" s="4" t="s">
        <v>59</v>
      </c>
      <c r="C469" s="4" t="s">
        <v>62</v>
      </c>
      <c r="D469" s="4" t="s">
        <v>63</v>
      </c>
      <c r="E469" s="4" t="s">
        <v>98</v>
      </c>
      <c r="F469" s="4" t="s">
        <v>99</v>
      </c>
      <c r="G469" s="4" t="s">
        <v>100</v>
      </c>
      <c r="H469" s="4" t="s">
        <v>26</v>
      </c>
      <c r="I469" s="5">
        <v>65000000</v>
      </c>
      <c r="J469" s="5">
        <v>159800</v>
      </c>
      <c r="K469" s="5">
        <v>15980</v>
      </c>
      <c r="L469" s="4" t="s">
        <v>26</v>
      </c>
      <c r="M469" s="4" t="s">
        <v>26</v>
      </c>
      <c r="N469" s="3">
        <v>45878</v>
      </c>
      <c r="O469" s="4" t="s">
        <v>432</v>
      </c>
      <c r="P469" s="2">
        <v>3000</v>
      </c>
      <c r="Q469" s="2">
        <v>2198</v>
      </c>
      <c r="R469" s="4" t="s">
        <v>755</v>
      </c>
      <c r="S469" s="5">
        <v>64502350</v>
      </c>
    </row>
    <row r="470" spans="1:19" x14ac:dyDescent="0.25">
      <c r="A470" s="4" t="s">
        <v>61</v>
      </c>
      <c r="B470" s="4" t="s">
        <v>59</v>
      </c>
      <c r="C470" s="4" t="s">
        <v>62</v>
      </c>
      <c r="D470" s="4" t="s">
        <v>63</v>
      </c>
      <c r="E470" s="4" t="s">
        <v>98</v>
      </c>
      <c r="F470" s="4" t="s">
        <v>99</v>
      </c>
      <c r="G470" s="4" t="s">
        <v>100</v>
      </c>
      <c r="H470" s="4" t="s">
        <v>26</v>
      </c>
      <c r="I470" s="5">
        <v>65000000</v>
      </c>
      <c r="J470" s="5">
        <v>83300</v>
      </c>
      <c r="K470" s="5">
        <v>8330</v>
      </c>
      <c r="L470" s="4" t="s">
        <v>26</v>
      </c>
      <c r="M470" s="4" t="s">
        <v>26</v>
      </c>
      <c r="N470" s="3">
        <v>45878</v>
      </c>
      <c r="O470" s="4" t="s">
        <v>432</v>
      </c>
      <c r="P470" s="2">
        <v>4000</v>
      </c>
      <c r="Q470" s="2">
        <v>2198</v>
      </c>
      <c r="R470" s="4" t="s">
        <v>755</v>
      </c>
      <c r="S470" s="5">
        <v>64502350</v>
      </c>
    </row>
    <row r="471" spans="1:19" x14ac:dyDescent="0.25">
      <c r="A471" s="4" t="s">
        <v>61</v>
      </c>
      <c r="B471" s="4" t="s">
        <v>59</v>
      </c>
      <c r="C471" s="4" t="s">
        <v>62</v>
      </c>
      <c r="D471" s="4" t="s">
        <v>63</v>
      </c>
      <c r="E471" s="4" t="s">
        <v>98</v>
      </c>
      <c r="F471" s="4" t="s">
        <v>99</v>
      </c>
      <c r="G471" s="4" t="s">
        <v>100</v>
      </c>
      <c r="H471" s="4" t="s">
        <v>26</v>
      </c>
      <c r="I471" s="5">
        <v>65000000</v>
      </c>
      <c r="J471" s="5">
        <v>14450</v>
      </c>
      <c r="K471" s="5">
        <v>1445</v>
      </c>
      <c r="L471" s="4" t="s">
        <v>26</v>
      </c>
      <c r="M471" s="4" t="s">
        <v>26</v>
      </c>
      <c r="N471" s="3">
        <v>45878</v>
      </c>
      <c r="O471" s="4" t="s">
        <v>432</v>
      </c>
      <c r="P471" s="2">
        <v>5000</v>
      </c>
      <c r="Q471" s="2">
        <v>2198</v>
      </c>
      <c r="R471" s="4" t="s">
        <v>755</v>
      </c>
      <c r="S471" s="5">
        <v>64502350</v>
      </c>
    </row>
    <row r="472" spans="1:19" x14ac:dyDescent="0.25">
      <c r="A472" s="4" t="s">
        <v>61</v>
      </c>
      <c r="B472" s="4" t="s">
        <v>59</v>
      </c>
      <c r="C472" s="4" t="s">
        <v>62</v>
      </c>
      <c r="D472" s="4" t="s">
        <v>63</v>
      </c>
      <c r="E472" s="4" t="s">
        <v>568</v>
      </c>
      <c r="F472" s="4" t="s">
        <v>569</v>
      </c>
      <c r="G472" s="4" t="s">
        <v>199</v>
      </c>
      <c r="H472" s="4" t="s">
        <v>26</v>
      </c>
      <c r="I472" s="5">
        <v>65000000</v>
      </c>
      <c r="J472" s="5">
        <v>413700</v>
      </c>
      <c r="K472" s="5">
        <v>41370</v>
      </c>
      <c r="L472" s="4" t="s">
        <v>592</v>
      </c>
      <c r="M472" s="4" t="s">
        <v>593</v>
      </c>
      <c r="N472" s="3">
        <v>45888</v>
      </c>
      <c r="O472" s="4" t="s">
        <v>605</v>
      </c>
      <c r="P472" s="2">
        <v>1000</v>
      </c>
      <c r="Q472" s="2">
        <v>2199</v>
      </c>
      <c r="R472" s="4" t="s">
        <v>26</v>
      </c>
      <c r="S472" s="5">
        <v>60252900</v>
      </c>
    </row>
    <row r="473" spans="1:19" x14ac:dyDescent="0.25">
      <c r="A473" s="4" t="s">
        <v>61</v>
      </c>
      <c r="B473" s="4" t="s">
        <v>59</v>
      </c>
      <c r="C473" s="4" t="s">
        <v>62</v>
      </c>
      <c r="D473" s="4" t="s">
        <v>63</v>
      </c>
      <c r="E473" s="4" t="s">
        <v>568</v>
      </c>
      <c r="F473" s="4" t="s">
        <v>569</v>
      </c>
      <c r="G473" s="4" t="s">
        <v>199</v>
      </c>
      <c r="H473" s="4" t="s">
        <v>26</v>
      </c>
      <c r="I473" s="5">
        <v>65000000</v>
      </c>
      <c r="J473" s="5">
        <v>89000</v>
      </c>
      <c r="K473" s="5">
        <v>8900</v>
      </c>
      <c r="L473" s="4" t="s">
        <v>592</v>
      </c>
      <c r="M473" s="4" t="s">
        <v>593</v>
      </c>
      <c r="N473" s="3">
        <v>45888</v>
      </c>
      <c r="O473" s="4" t="s">
        <v>605</v>
      </c>
      <c r="P473" s="2">
        <v>2000</v>
      </c>
      <c r="Q473" s="2">
        <v>2199</v>
      </c>
      <c r="R473" s="4" t="s">
        <v>26</v>
      </c>
      <c r="S473" s="5">
        <v>60252900</v>
      </c>
    </row>
    <row r="474" spans="1:19" x14ac:dyDescent="0.25">
      <c r="A474" s="4" t="s">
        <v>61</v>
      </c>
      <c r="B474" s="4" t="s">
        <v>59</v>
      </c>
      <c r="C474" s="4" t="s">
        <v>62</v>
      </c>
      <c r="D474" s="4" t="s">
        <v>63</v>
      </c>
      <c r="E474" s="4" t="s">
        <v>204</v>
      </c>
      <c r="F474" s="4" t="s">
        <v>205</v>
      </c>
      <c r="G474" s="4" t="s">
        <v>144</v>
      </c>
      <c r="H474" s="4" t="s">
        <v>26</v>
      </c>
      <c r="I474" s="5">
        <v>90000000</v>
      </c>
      <c r="J474" s="5">
        <v>512000</v>
      </c>
      <c r="K474" s="5">
        <v>51200</v>
      </c>
      <c r="L474" s="4" t="s">
        <v>26</v>
      </c>
      <c r="M474" s="4" t="s">
        <v>26</v>
      </c>
      <c r="N474" s="3">
        <v>45884</v>
      </c>
      <c r="O474" s="4" t="s">
        <v>587</v>
      </c>
      <c r="P474" s="2">
        <v>1000</v>
      </c>
      <c r="Q474" s="2">
        <v>2206</v>
      </c>
      <c r="R474" s="4" t="s">
        <v>756</v>
      </c>
      <c r="S474" s="5">
        <v>80677900</v>
      </c>
    </row>
    <row r="475" spans="1:19" x14ac:dyDescent="0.25">
      <c r="A475" s="4" t="s">
        <v>61</v>
      </c>
      <c r="B475" s="4" t="s">
        <v>59</v>
      </c>
      <c r="C475" s="4" t="s">
        <v>62</v>
      </c>
      <c r="D475" s="4" t="s">
        <v>63</v>
      </c>
      <c r="E475" s="4" t="s">
        <v>204</v>
      </c>
      <c r="F475" s="4" t="s">
        <v>205</v>
      </c>
      <c r="G475" s="4" t="s">
        <v>144</v>
      </c>
      <c r="H475" s="4" t="s">
        <v>26</v>
      </c>
      <c r="I475" s="5">
        <v>90000000</v>
      </c>
      <c r="J475" s="5">
        <v>512000</v>
      </c>
      <c r="K475" s="5">
        <v>51200</v>
      </c>
      <c r="L475" s="4" t="s">
        <v>26</v>
      </c>
      <c r="M475" s="4" t="s">
        <v>26</v>
      </c>
      <c r="N475" s="3">
        <v>45884</v>
      </c>
      <c r="O475" s="4" t="s">
        <v>587</v>
      </c>
      <c r="P475" s="2">
        <v>2000</v>
      </c>
      <c r="Q475" s="2">
        <v>2206</v>
      </c>
      <c r="R475" s="4" t="s">
        <v>756</v>
      </c>
      <c r="S475" s="5">
        <v>80677900</v>
      </c>
    </row>
    <row r="476" spans="1:19" x14ac:dyDescent="0.25">
      <c r="A476" s="4" t="s">
        <v>61</v>
      </c>
      <c r="B476" s="4" t="s">
        <v>59</v>
      </c>
      <c r="C476" s="4" t="s">
        <v>62</v>
      </c>
      <c r="D476" s="4" t="s">
        <v>63</v>
      </c>
      <c r="E476" s="4" t="s">
        <v>227</v>
      </c>
      <c r="F476" s="4" t="s">
        <v>228</v>
      </c>
      <c r="G476" s="4" t="s">
        <v>100</v>
      </c>
      <c r="H476" s="4" t="s">
        <v>26</v>
      </c>
      <c r="I476" s="5">
        <v>65000000</v>
      </c>
      <c r="J476" s="5">
        <v>286200</v>
      </c>
      <c r="K476" s="5">
        <v>28620</v>
      </c>
      <c r="L476" s="4" t="s">
        <v>279</v>
      </c>
      <c r="M476" s="4" t="s">
        <v>280</v>
      </c>
      <c r="N476" s="3">
        <v>45878</v>
      </c>
      <c r="O476" s="4" t="s">
        <v>432</v>
      </c>
      <c r="P476" s="2">
        <v>1000</v>
      </c>
      <c r="Q476" s="2">
        <v>2209</v>
      </c>
      <c r="R476" s="4" t="s">
        <v>26</v>
      </c>
      <c r="S476" s="5">
        <v>62005700</v>
      </c>
    </row>
    <row r="477" spans="1:19" x14ac:dyDescent="0.25">
      <c r="A477" s="4" t="s">
        <v>61</v>
      </c>
      <c r="B477" s="4" t="s">
        <v>59</v>
      </c>
      <c r="C477" s="4" t="s">
        <v>62</v>
      </c>
      <c r="D477" s="4" t="s">
        <v>63</v>
      </c>
      <c r="E477" s="4" t="s">
        <v>227</v>
      </c>
      <c r="F477" s="4" t="s">
        <v>228</v>
      </c>
      <c r="G477" s="4" t="s">
        <v>100</v>
      </c>
      <c r="H477" s="4" t="s">
        <v>26</v>
      </c>
      <c r="I477" s="5">
        <v>65000000</v>
      </c>
      <c r="J477" s="5">
        <v>152100</v>
      </c>
      <c r="K477" s="5">
        <v>15210</v>
      </c>
      <c r="L477" s="4" t="s">
        <v>279</v>
      </c>
      <c r="M477" s="4" t="s">
        <v>280</v>
      </c>
      <c r="N477" s="3">
        <v>45878</v>
      </c>
      <c r="O477" s="4" t="s">
        <v>432</v>
      </c>
      <c r="P477" s="2">
        <v>2000</v>
      </c>
      <c r="Q477" s="2">
        <v>2209</v>
      </c>
      <c r="R477" s="4" t="s">
        <v>26</v>
      </c>
      <c r="S477" s="5">
        <v>62005700</v>
      </c>
    </row>
    <row r="478" spans="1:19" x14ac:dyDescent="0.25">
      <c r="A478" s="4" t="s">
        <v>61</v>
      </c>
      <c r="B478" s="4" t="s">
        <v>59</v>
      </c>
      <c r="C478" s="4" t="s">
        <v>62</v>
      </c>
      <c r="D478" s="4" t="s">
        <v>63</v>
      </c>
      <c r="E478" s="4" t="s">
        <v>227</v>
      </c>
      <c r="F478" s="4" t="s">
        <v>228</v>
      </c>
      <c r="G478" s="4" t="s">
        <v>100</v>
      </c>
      <c r="H478" s="4" t="s">
        <v>26</v>
      </c>
      <c r="I478" s="5">
        <v>65000000</v>
      </c>
      <c r="J478" s="5">
        <v>116100</v>
      </c>
      <c r="K478" s="5">
        <v>11610</v>
      </c>
      <c r="L478" s="4" t="s">
        <v>279</v>
      </c>
      <c r="M478" s="4" t="s">
        <v>280</v>
      </c>
      <c r="N478" s="3">
        <v>45878</v>
      </c>
      <c r="O478" s="4" t="s">
        <v>432</v>
      </c>
      <c r="P478" s="2">
        <v>3000</v>
      </c>
      <c r="Q478" s="2">
        <v>2209</v>
      </c>
      <c r="R478" s="4" t="s">
        <v>26</v>
      </c>
      <c r="S478" s="5">
        <v>62005700</v>
      </c>
    </row>
    <row r="479" spans="1:19" x14ac:dyDescent="0.25">
      <c r="A479" s="4" t="s">
        <v>61</v>
      </c>
      <c r="B479" s="4" t="s">
        <v>59</v>
      </c>
      <c r="C479" s="4" t="s">
        <v>62</v>
      </c>
      <c r="D479" s="4" t="s">
        <v>63</v>
      </c>
      <c r="E479" s="4" t="s">
        <v>227</v>
      </c>
      <c r="F479" s="4" t="s">
        <v>228</v>
      </c>
      <c r="G479" s="4" t="s">
        <v>100</v>
      </c>
      <c r="H479" s="4" t="s">
        <v>26</v>
      </c>
      <c r="I479" s="5">
        <v>65000000</v>
      </c>
      <c r="J479" s="5">
        <v>79200</v>
      </c>
      <c r="K479" s="5">
        <v>7920</v>
      </c>
      <c r="L479" s="4" t="s">
        <v>279</v>
      </c>
      <c r="M479" s="4" t="s">
        <v>280</v>
      </c>
      <c r="N479" s="3">
        <v>45878</v>
      </c>
      <c r="O479" s="4" t="s">
        <v>432</v>
      </c>
      <c r="P479" s="2">
        <v>4000</v>
      </c>
      <c r="Q479" s="2">
        <v>2209</v>
      </c>
      <c r="R479" s="4" t="s">
        <v>26</v>
      </c>
      <c r="S479" s="5">
        <v>62005700</v>
      </c>
    </row>
    <row r="480" spans="1:19" x14ac:dyDescent="0.25">
      <c r="A480" s="4" t="s">
        <v>61</v>
      </c>
      <c r="B480" s="4" t="s">
        <v>59</v>
      </c>
      <c r="C480" s="4" t="s">
        <v>62</v>
      </c>
      <c r="D480" s="4" t="s">
        <v>63</v>
      </c>
      <c r="E480" s="4" t="s">
        <v>227</v>
      </c>
      <c r="F480" s="4" t="s">
        <v>228</v>
      </c>
      <c r="G480" s="4" t="s">
        <v>100</v>
      </c>
      <c r="H480" s="4" t="s">
        <v>26</v>
      </c>
      <c r="I480" s="5">
        <v>65000000</v>
      </c>
      <c r="J480" s="5">
        <v>71100</v>
      </c>
      <c r="K480" s="5">
        <v>7110</v>
      </c>
      <c r="L480" s="4" t="s">
        <v>279</v>
      </c>
      <c r="M480" s="4" t="s">
        <v>280</v>
      </c>
      <c r="N480" s="3">
        <v>45878</v>
      </c>
      <c r="O480" s="4" t="s">
        <v>432</v>
      </c>
      <c r="P480" s="2">
        <v>5000</v>
      </c>
      <c r="Q480" s="2">
        <v>2209</v>
      </c>
      <c r="R480" s="4" t="s">
        <v>26</v>
      </c>
      <c r="S480" s="5">
        <v>62005700</v>
      </c>
    </row>
    <row r="481" spans="1:19" x14ac:dyDescent="0.25">
      <c r="A481" s="4" t="s">
        <v>61</v>
      </c>
      <c r="B481" s="4" t="s">
        <v>59</v>
      </c>
      <c r="C481" s="4" t="s">
        <v>62</v>
      </c>
      <c r="D481" s="4" t="s">
        <v>63</v>
      </c>
      <c r="E481" s="4" t="s">
        <v>502</v>
      </c>
      <c r="F481" s="4" t="s">
        <v>503</v>
      </c>
      <c r="G481" s="4" t="s">
        <v>81</v>
      </c>
      <c r="H481" s="4" t="s">
        <v>26</v>
      </c>
      <c r="I481" s="5">
        <v>65000000</v>
      </c>
      <c r="J481" s="5">
        <v>239400</v>
      </c>
      <c r="K481" s="5">
        <v>23940</v>
      </c>
      <c r="L481" s="4" t="s">
        <v>145</v>
      </c>
      <c r="M481" s="4" t="s">
        <v>146</v>
      </c>
      <c r="N481" s="3">
        <v>45900</v>
      </c>
      <c r="O481" s="4" t="s">
        <v>676</v>
      </c>
      <c r="P481" s="2">
        <v>1000</v>
      </c>
      <c r="Q481" s="2">
        <v>2225</v>
      </c>
      <c r="R481" s="4" t="s">
        <v>773</v>
      </c>
      <c r="S481" s="5">
        <v>61995300</v>
      </c>
    </row>
    <row r="482" spans="1:19" x14ac:dyDescent="0.25">
      <c r="A482" s="4" t="s">
        <v>61</v>
      </c>
      <c r="B482" s="4" t="s">
        <v>59</v>
      </c>
      <c r="C482" s="4" t="s">
        <v>62</v>
      </c>
      <c r="D482" s="4" t="s">
        <v>63</v>
      </c>
      <c r="E482" s="4" t="s">
        <v>502</v>
      </c>
      <c r="F482" s="4" t="s">
        <v>503</v>
      </c>
      <c r="G482" s="4" t="s">
        <v>81</v>
      </c>
      <c r="H482" s="4" t="s">
        <v>26</v>
      </c>
      <c r="I482" s="5">
        <v>65000000</v>
      </c>
      <c r="J482" s="5">
        <v>860800</v>
      </c>
      <c r="K482" s="5">
        <v>86080</v>
      </c>
      <c r="L482" s="4" t="s">
        <v>145</v>
      </c>
      <c r="M482" s="4" t="s">
        <v>146</v>
      </c>
      <c r="N482" s="3">
        <v>45900</v>
      </c>
      <c r="O482" s="4" t="s">
        <v>676</v>
      </c>
      <c r="P482" s="2">
        <v>2000</v>
      </c>
      <c r="Q482" s="2">
        <v>2225</v>
      </c>
      <c r="R482" s="4" t="s">
        <v>26</v>
      </c>
      <c r="S482" s="5">
        <v>61995300</v>
      </c>
    </row>
    <row r="483" spans="1:19" x14ac:dyDescent="0.25">
      <c r="A483" s="4" t="s">
        <v>61</v>
      </c>
      <c r="B483" s="4" t="s">
        <v>59</v>
      </c>
      <c r="C483" s="4" t="s">
        <v>62</v>
      </c>
      <c r="D483" s="4" t="s">
        <v>63</v>
      </c>
      <c r="E483" s="4" t="s">
        <v>502</v>
      </c>
      <c r="F483" s="4" t="s">
        <v>503</v>
      </c>
      <c r="G483" s="4" t="s">
        <v>81</v>
      </c>
      <c r="H483" s="4" t="s">
        <v>26</v>
      </c>
      <c r="I483" s="5">
        <v>65000000</v>
      </c>
      <c r="J483" s="5">
        <v>286400</v>
      </c>
      <c r="K483" s="5">
        <v>28640</v>
      </c>
      <c r="L483" s="4" t="s">
        <v>145</v>
      </c>
      <c r="M483" s="4" t="s">
        <v>146</v>
      </c>
      <c r="N483" s="3">
        <v>45900</v>
      </c>
      <c r="O483" s="4" t="s">
        <v>676</v>
      </c>
      <c r="P483" s="2">
        <v>3000</v>
      </c>
      <c r="Q483" s="2">
        <v>2225</v>
      </c>
      <c r="R483" s="4" t="s">
        <v>767</v>
      </c>
      <c r="S483" s="5">
        <v>61995300</v>
      </c>
    </row>
    <row r="484" spans="1:19" x14ac:dyDescent="0.25">
      <c r="A484" s="4" t="s">
        <v>61</v>
      </c>
      <c r="B484" s="4" t="s">
        <v>59</v>
      </c>
      <c r="C484" s="4" t="s">
        <v>62</v>
      </c>
      <c r="D484" s="4" t="s">
        <v>63</v>
      </c>
      <c r="E484" s="4" t="s">
        <v>502</v>
      </c>
      <c r="F484" s="4" t="s">
        <v>503</v>
      </c>
      <c r="G484" s="4" t="s">
        <v>81</v>
      </c>
      <c r="H484" s="4" t="s">
        <v>26</v>
      </c>
      <c r="I484" s="5">
        <v>65000000</v>
      </c>
      <c r="J484" s="5">
        <v>286400</v>
      </c>
      <c r="K484" s="5">
        <v>28640</v>
      </c>
      <c r="L484" s="4" t="s">
        <v>145</v>
      </c>
      <c r="M484" s="4" t="s">
        <v>146</v>
      </c>
      <c r="N484" s="3">
        <v>45900</v>
      </c>
      <c r="O484" s="4" t="s">
        <v>676</v>
      </c>
      <c r="P484" s="2">
        <v>4000</v>
      </c>
      <c r="Q484" s="2">
        <v>2225</v>
      </c>
      <c r="R484" s="4" t="s">
        <v>26</v>
      </c>
      <c r="S484" s="5">
        <v>61995300</v>
      </c>
    </row>
    <row r="485" spans="1:19" x14ac:dyDescent="0.25">
      <c r="A485" s="4" t="s">
        <v>61</v>
      </c>
      <c r="B485" s="4" t="s">
        <v>59</v>
      </c>
      <c r="C485" s="4" t="s">
        <v>62</v>
      </c>
      <c r="D485" s="4" t="s">
        <v>63</v>
      </c>
      <c r="E485" s="4" t="s">
        <v>188</v>
      </c>
      <c r="F485" s="4" t="s">
        <v>189</v>
      </c>
      <c r="G485" s="4" t="s">
        <v>190</v>
      </c>
      <c r="H485" s="4" t="s">
        <v>26</v>
      </c>
      <c r="I485" s="5">
        <v>90000000</v>
      </c>
      <c r="J485" s="5">
        <v>55250</v>
      </c>
      <c r="K485" s="5">
        <v>5525</v>
      </c>
      <c r="L485" s="4" t="s">
        <v>191</v>
      </c>
      <c r="M485" s="4" t="s">
        <v>192</v>
      </c>
      <c r="N485" s="3">
        <v>45875</v>
      </c>
      <c r="O485" s="4" t="s">
        <v>459</v>
      </c>
      <c r="P485" s="2">
        <v>1000</v>
      </c>
      <c r="Q485" s="2">
        <v>2231</v>
      </c>
      <c r="R485" s="4" t="s">
        <v>747</v>
      </c>
      <c r="S485" s="5">
        <v>87040690</v>
      </c>
    </row>
    <row r="486" spans="1:19" x14ac:dyDescent="0.25">
      <c r="A486" s="4" t="s">
        <v>61</v>
      </c>
      <c r="B486" s="4" t="s">
        <v>59</v>
      </c>
      <c r="C486" s="4" t="s">
        <v>62</v>
      </c>
      <c r="D486" s="4" t="s">
        <v>63</v>
      </c>
      <c r="E486" s="4" t="s">
        <v>412</v>
      </c>
      <c r="F486" s="4" t="s">
        <v>413</v>
      </c>
      <c r="G486" s="4" t="s">
        <v>157</v>
      </c>
      <c r="H486" s="4" t="s">
        <v>26</v>
      </c>
      <c r="I486" s="5">
        <v>90000000</v>
      </c>
      <c r="J486" s="5">
        <v>760000</v>
      </c>
      <c r="K486" s="5">
        <v>76000</v>
      </c>
      <c r="L486" s="4" t="s">
        <v>414</v>
      </c>
      <c r="M486" s="4" t="s">
        <v>415</v>
      </c>
      <c r="N486" s="3">
        <v>45893</v>
      </c>
      <c r="O486" s="4" t="s">
        <v>681</v>
      </c>
      <c r="P486" s="2">
        <v>1000</v>
      </c>
      <c r="Q486" s="2">
        <v>2243</v>
      </c>
      <c r="R486" s="4" t="s">
        <v>770</v>
      </c>
      <c r="S486" s="5">
        <v>87613200</v>
      </c>
    </row>
    <row r="487" spans="1:19" x14ac:dyDescent="0.25">
      <c r="A487" s="4" t="s">
        <v>61</v>
      </c>
      <c r="B487" s="4" t="s">
        <v>59</v>
      </c>
      <c r="C487" s="4" t="s">
        <v>62</v>
      </c>
      <c r="D487" s="4" t="s">
        <v>63</v>
      </c>
      <c r="E487" s="4" t="s">
        <v>103</v>
      </c>
      <c r="F487" s="4" t="s">
        <v>104</v>
      </c>
      <c r="G487" s="4" t="s">
        <v>105</v>
      </c>
      <c r="H487" s="4" t="s">
        <v>26</v>
      </c>
      <c r="I487" s="5">
        <v>155000000</v>
      </c>
      <c r="J487" s="5">
        <v>87200</v>
      </c>
      <c r="K487" s="5">
        <v>8720</v>
      </c>
      <c r="L487" s="4" t="s">
        <v>26</v>
      </c>
      <c r="M487" s="4" t="s">
        <v>26</v>
      </c>
      <c r="N487" s="3">
        <v>45876</v>
      </c>
      <c r="O487" s="4" t="s">
        <v>565</v>
      </c>
      <c r="P487" s="2">
        <v>1000</v>
      </c>
      <c r="Q487" s="2">
        <v>2278</v>
      </c>
      <c r="R487" s="4" t="s">
        <v>749</v>
      </c>
      <c r="S487" s="5">
        <v>150234500</v>
      </c>
    </row>
    <row r="488" spans="1:19" x14ac:dyDescent="0.25">
      <c r="A488" s="4" t="s">
        <v>61</v>
      </c>
      <c r="B488" s="4" t="s">
        <v>59</v>
      </c>
      <c r="C488" s="4" t="s">
        <v>62</v>
      </c>
      <c r="D488" s="4" t="s">
        <v>63</v>
      </c>
      <c r="E488" s="4" t="s">
        <v>359</v>
      </c>
      <c r="F488" s="4" t="s">
        <v>360</v>
      </c>
      <c r="G488" s="4" t="s">
        <v>50</v>
      </c>
      <c r="H488" s="4" t="s">
        <v>26</v>
      </c>
      <c r="I488" s="5">
        <v>65000000</v>
      </c>
      <c r="J488" s="5">
        <v>199000</v>
      </c>
      <c r="K488" s="5">
        <v>19900</v>
      </c>
      <c r="L488" s="4" t="s">
        <v>629</v>
      </c>
      <c r="M488" s="4" t="s">
        <v>630</v>
      </c>
      <c r="N488" s="3">
        <v>45888</v>
      </c>
      <c r="O488" s="4" t="s">
        <v>626</v>
      </c>
      <c r="P488" s="2">
        <v>1000</v>
      </c>
      <c r="Q488" s="2">
        <v>2291</v>
      </c>
      <c r="R488" s="4" t="s">
        <v>763</v>
      </c>
      <c r="S488" s="5">
        <v>60590420</v>
      </c>
    </row>
    <row r="489" spans="1:19" x14ac:dyDescent="0.25">
      <c r="A489" s="4" t="s">
        <v>61</v>
      </c>
      <c r="B489" s="4" t="s">
        <v>59</v>
      </c>
      <c r="C489" s="4" t="s">
        <v>62</v>
      </c>
      <c r="D489" s="4" t="s">
        <v>63</v>
      </c>
      <c r="E489" s="4" t="s">
        <v>265</v>
      </c>
      <c r="F489" s="4" t="s">
        <v>266</v>
      </c>
      <c r="G489" s="4" t="s">
        <v>71</v>
      </c>
      <c r="H489" s="4" t="s">
        <v>26</v>
      </c>
      <c r="I489" s="5">
        <v>155000000</v>
      </c>
      <c r="J489" s="5">
        <v>170830</v>
      </c>
      <c r="K489" s="5">
        <v>17083</v>
      </c>
      <c r="L489" s="4" t="s">
        <v>267</v>
      </c>
      <c r="M489" s="4" t="s">
        <v>268</v>
      </c>
      <c r="N489" s="3">
        <v>45878</v>
      </c>
      <c r="O489" s="4" t="s">
        <v>532</v>
      </c>
      <c r="P489" s="2">
        <v>1000</v>
      </c>
      <c r="Q489" s="2">
        <v>2293</v>
      </c>
      <c r="R489" s="4" t="s">
        <v>755</v>
      </c>
      <c r="S489" s="5">
        <v>151606650</v>
      </c>
    </row>
    <row r="490" spans="1:19" x14ac:dyDescent="0.25">
      <c r="A490" s="4" t="s">
        <v>61</v>
      </c>
      <c r="B490" s="4" t="s">
        <v>59</v>
      </c>
      <c r="C490" s="4" t="s">
        <v>62</v>
      </c>
      <c r="D490" s="4" t="s">
        <v>63</v>
      </c>
      <c r="E490" s="4" t="s">
        <v>265</v>
      </c>
      <c r="F490" s="4" t="s">
        <v>266</v>
      </c>
      <c r="G490" s="4" t="s">
        <v>71</v>
      </c>
      <c r="H490" s="4" t="s">
        <v>26</v>
      </c>
      <c r="I490" s="5">
        <v>155000000</v>
      </c>
      <c r="J490" s="5">
        <v>14720</v>
      </c>
      <c r="K490" s="5">
        <v>1472</v>
      </c>
      <c r="L490" s="4" t="s">
        <v>267</v>
      </c>
      <c r="M490" s="4" t="s">
        <v>268</v>
      </c>
      <c r="N490" s="3">
        <v>45878</v>
      </c>
      <c r="O490" s="4" t="s">
        <v>532</v>
      </c>
      <c r="P490" s="2">
        <v>2000</v>
      </c>
      <c r="Q490" s="2">
        <v>2293</v>
      </c>
      <c r="R490" s="4" t="s">
        <v>755</v>
      </c>
      <c r="S490" s="5">
        <v>151606650</v>
      </c>
    </row>
    <row r="491" spans="1:19" x14ac:dyDescent="0.25">
      <c r="A491" s="4" t="s">
        <v>61</v>
      </c>
      <c r="B491" s="4" t="s">
        <v>59</v>
      </c>
      <c r="C491" s="4" t="s">
        <v>62</v>
      </c>
      <c r="D491" s="4" t="s">
        <v>63</v>
      </c>
      <c r="E491" s="4" t="s">
        <v>265</v>
      </c>
      <c r="F491" s="4" t="s">
        <v>266</v>
      </c>
      <c r="G491" s="4" t="s">
        <v>71</v>
      </c>
      <c r="H491" s="4" t="s">
        <v>26</v>
      </c>
      <c r="I491" s="5">
        <v>155000000</v>
      </c>
      <c r="J491" s="5">
        <v>527230</v>
      </c>
      <c r="K491" s="5">
        <v>52723</v>
      </c>
      <c r="L491" s="4" t="s">
        <v>267</v>
      </c>
      <c r="M491" s="4" t="s">
        <v>268</v>
      </c>
      <c r="N491" s="3">
        <v>45878</v>
      </c>
      <c r="O491" s="4" t="s">
        <v>532</v>
      </c>
      <c r="P491" s="2">
        <v>3000</v>
      </c>
      <c r="Q491" s="2">
        <v>2293</v>
      </c>
      <c r="R491" s="4" t="s">
        <v>755</v>
      </c>
      <c r="S491" s="5">
        <v>151606650</v>
      </c>
    </row>
    <row r="492" spans="1:19" x14ac:dyDescent="0.25">
      <c r="A492" s="4" t="s">
        <v>61</v>
      </c>
      <c r="B492" s="4" t="s">
        <v>59</v>
      </c>
      <c r="C492" s="4" t="s">
        <v>62</v>
      </c>
      <c r="D492" s="4" t="s">
        <v>63</v>
      </c>
      <c r="E492" s="4" t="s">
        <v>265</v>
      </c>
      <c r="F492" s="4" t="s">
        <v>266</v>
      </c>
      <c r="G492" s="4" t="s">
        <v>71</v>
      </c>
      <c r="H492" s="4" t="s">
        <v>26</v>
      </c>
      <c r="I492" s="5">
        <v>155000000</v>
      </c>
      <c r="J492" s="5">
        <v>44180</v>
      </c>
      <c r="K492" s="5">
        <v>4418</v>
      </c>
      <c r="L492" s="4" t="s">
        <v>267</v>
      </c>
      <c r="M492" s="4" t="s">
        <v>268</v>
      </c>
      <c r="N492" s="3">
        <v>45878</v>
      </c>
      <c r="O492" s="4" t="s">
        <v>532</v>
      </c>
      <c r="P492" s="2">
        <v>4000</v>
      </c>
      <c r="Q492" s="2">
        <v>2293</v>
      </c>
      <c r="R492" s="4" t="s">
        <v>755</v>
      </c>
      <c r="S492" s="5">
        <v>151606650</v>
      </c>
    </row>
    <row r="493" spans="1:19" x14ac:dyDescent="0.25">
      <c r="A493" s="4" t="s">
        <v>61</v>
      </c>
      <c r="B493" s="4" t="s">
        <v>59</v>
      </c>
      <c r="C493" s="4" t="s">
        <v>62</v>
      </c>
      <c r="D493" s="4" t="s">
        <v>63</v>
      </c>
      <c r="E493" s="4" t="s">
        <v>265</v>
      </c>
      <c r="F493" s="4" t="s">
        <v>266</v>
      </c>
      <c r="G493" s="4" t="s">
        <v>71</v>
      </c>
      <c r="H493" s="4" t="s">
        <v>26</v>
      </c>
      <c r="I493" s="5">
        <v>155000000</v>
      </c>
      <c r="J493" s="5">
        <v>19630</v>
      </c>
      <c r="K493" s="5">
        <v>1963</v>
      </c>
      <c r="L493" s="4" t="s">
        <v>267</v>
      </c>
      <c r="M493" s="4" t="s">
        <v>268</v>
      </c>
      <c r="N493" s="3">
        <v>45878</v>
      </c>
      <c r="O493" s="4" t="s">
        <v>532</v>
      </c>
      <c r="P493" s="2">
        <v>5000</v>
      </c>
      <c r="Q493" s="2">
        <v>2293</v>
      </c>
      <c r="R493" s="4" t="s">
        <v>755</v>
      </c>
      <c r="S493" s="5">
        <v>151606650</v>
      </c>
    </row>
    <row r="494" spans="1:19" x14ac:dyDescent="0.25">
      <c r="A494" s="4" t="s">
        <v>61</v>
      </c>
      <c r="B494" s="4" t="s">
        <v>59</v>
      </c>
      <c r="C494" s="4" t="s">
        <v>62</v>
      </c>
      <c r="D494" s="4" t="s">
        <v>63</v>
      </c>
      <c r="E494" s="4" t="s">
        <v>265</v>
      </c>
      <c r="F494" s="4" t="s">
        <v>266</v>
      </c>
      <c r="G494" s="4" t="s">
        <v>71</v>
      </c>
      <c r="H494" s="4" t="s">
        <v>26</v>
      </c>
      <c r="I494" s="5">
        <v>155000000</v>
      </c>
      <c r="J494" s="5">
        <v>94250</v>
      </c>
      <c r="K494" s="5">
        <v>9425</v>
      </c>
      <c r="L494" s="4" t="s">
        <v>267</v>
      </c>
      <c r="M494" s="4" t="s">
        <v>268</v>
      </c>
      <c r="N494" s="3">
        <v>45878</v>
      </c>
      <c r="O494" s="4" t="s">
        <v>532</v>
      </c>
      <c r="P494" s="2">
        <v>6000</v>
      </c>
      <c r="Q494" s="2">
        <v>2293</v>
      </c>
      <c r="R494" s="4" t="s">
        <v>755</v>
      </c>
      <c r="S494" s="5">
        <v>151606650</v>
      </c>
    </row>
    <row r="495" spans="1:19" x14ac:dyDescent="0.25">
      <c r="A495" s="4" t="s">
        <v>61</v>
      </c>
      <c r="B495" s="4" t="s">
        <v>59</v>
      </c>
      <c r="C495" s="4" t="s">
        <v>62</v>
      </c>
      <c r="D495" s="4" t="s">
        <v>63</v>
      </c>
      <c r="E495" s="4" t="s">
        <v>301</v>
      </c>
      <c r="F495" s="4" t="s">
        <v>302</v>
      </c>
      <c r="G495" s="4" t="s">
        <v>157</v>
      </c>
      <c r="H495" s="4" t="s">
        <v>26</v>
      </c>
      <c r="I495" s="5">
        <v>90000000</v>
      </c>
      <c r="J495" s="5">
        <v>592500</v>
      </c>
      <c r="K495" s="5">
        <v>59250</v>
      </c>
      <c r="L495" s="4" t="s">
        <v>453</v>
      </c>
      <c r="M495" s="4" t="s">
        <v>454</v>
      </c>
      <c r="N495" s="3">
        <v>45879</v>
      </c>
      <c r="O495" s="4" t="s">
        <v>657</v>
      </c>
      <c r="P495" s="2">
        <v>1000</v>
      </c>
      <c r="Q495" s="2">
        <v>2294</v>
      </c>
      <c r="R495" s="4" t="s">
        <v>746</v>
      </c>
      <c r="S495" s="5">
        <v>86019450</v>
      </c>
    </row>
    <row r="496" spans="1:19" x14ac:dyDescent="0.25">
      <c r="A496" s="4" t="s">
        <v>61</v>
      </c>
      <c r="B496" s="4" t="s">
        <v>59</v>
      </c>
      <c r="C496" s="4" t="s">
        <v>62</v>
      </c>
      <c r="D496" s="4" t="s">
        <v>63</v>
      </c>
      <c r="E496" s="4" t="s">
        <v>318</v>
      </c>
      <c r="F496" s="4" t="s">
        <v>319</v>
      </c>
      <c r="G496" s="4" t="s">
        <v>50</v>
      </c>
      <c r="H496" s="4" t="s">
        <v>26</v>
      </c>
      <c r="I496" s="5">
        <v>65000000</v>
      </c>
      <c r="J496" s="5">
        <v>54670</v>
      </c>
      <c r="K496" s="5">
        <v>5467</v>
      </c>
      <c r="L496" s="4" t="s">
        <v>320</v>
      </c>
      <c r="M496" s="4" t="s">
        <v>321</v>
      </c>
      <c r="N496" s="3">
        <v>45879</v>
      </c>
      <c r="O496" s="4" t="s">
        <v>283</v>
      </c>
      <c r="P496" s="2">
        <v>1000</v>
      </c>
      <c r="Q496" s="2">
        <v>2316</v>
      </c>
      <c r="R496" s="4" t="s">
        <v>26</v>
      </c>
      <c r="S496" s="5">
        <v>64783180</v>
      </c>
    </row>
    <row r="497" spans="1:19" x14ac:dyDescent="0.25">
      <c r="A497" s="4" t="s">
        <v>61</v>
      </c>
      <c r="B497" s="4" t="s">
        <v>59</v>
      </c>
      <c r="C497" s="4" t="s">
        <v>62</v>
      </c>
      <c r="D497" s="4" t="s">
        <v>63</v>
      </c>
      <c r="E497" s="4" t="s">
        <v>318</v>
      </c>
      <c r="F497" s="4" t="s">
        <v>319</v>
      </c>
      <c r="G497" s="4" t="s">
        <v>50</v>
      </c>
      <c r="H497" s="4" t="s">
        <v>26</v>
      </c>
      <c r="I497" s="5">
        <v>65000000</v>
      </c>
      <c r="J497" s="5">
        <v>109340</v>
      </c>
      <c r="K497" s="5">
        <v>10934</v>
      </c>
      <c r="L497" s="4" t="s">
        <v>320</v>
      </c>
      <c r="M497" s="4" t="s">
        <v>321</v>
      </c>
      <c r="N497" s="3">
        <v>45879</v>
      </c>
      <c r="O497" s="4" t="s">
        <v>283</v>
      </c>
      <c r="P497" s="2">
        <v>2000</v>
      </c>
      <c r="Q497" s="2">
        <v>2316</v>
      </c>
      <c r="R497" s="4" t="s">
        <v>26</v>
      </c>
      <c r="S497" s="5">
        <v>64783180</v>
      </c>
    </row>
    <row r="498" spans="1:19" x14ac:dyDescent="0.25">
      <c r="A498" s="4" t="s">
        <v>61</v>
      </c>
      <c r="B498" s="4" t="s">
        <v>59</v>
      </c>
      <c r="C498" s="4" t="s">
        <v>62</v>
      </c>
      <c r="D498" s="4" t="s">
        <v>63</v>
      </c>
      <c r="E498" s="4" t="s">
        <v>318</v>
      </c>
      <c r="F498" s="4" t="s">
        <v>319</v>
      </c>
      <c r="G498" s="4" t="s">
        <v>50</v>
      </c>
      <c r="H498" s="4" t="s">
        <v>26</v>
      </c>
      <c r="I498" s="5">
        <v>65000000</v>
      </c>
      <c r="J498" s="5">
        <v>7810</v>
      </c>
      <c r="K498" s="5">
        <v>781</v>
      </c>
      <c r="L498" s="4" t="s">
        <v>320</v>
      </c>
      <c r="M498" s="4" t="s">
        <v>321</v>
      </c>
      <c r="N498" s="3">
        <v>45879</v>
      </c>
      <c r="O498" s="4" t="s">
        <v>283</v>
      </c>
      <c r="P498" s="2">
        <v>3000</v>
      </c>
      <c r="Q498" s="2">
        <v>2316</v>
      </c>
      <c r="R498" s="4" t="s">
        <v>26</v>
      </c>
      <c r="S498" s="5">
        <v>64783180</v>
      </c>
    </row>
    <row r="499" spans="1:19" x14ac:dyDescent="0.25">
      <c r="A499" s="4" t="s">
        <v>61</v>
      </c>
      <c r="B499" s="4" t="s">
        <v>59</v>
      </c>
      <c r="C499" s="4" t="s">
        <v>62</v>
      </c>
      <c r="D499" s="4" t="s">
        <v>63</v>
      </c>
      <c r="E499" s="4" t="s">
        <v>318</v>
      </c>
      <c r="F499" s="4" t="s">
        <v>319</v>
      </c>
      <c r="G499" s="4" t="s">
        <v>50</v>
      </c>
      <c r="H499" s="4" t="s">
        <v>26</v>
      </c>
      <c r="I499" s="5">
        <v>65000000</v>
      </c>
      <c r="J499" s="5">
        <v>45000</v>
      </c>
      <c r="K499" s="5">
        <v>4500</v>
      </c>
      <c r="L499" s="4" t="s">
        <v>320</v>
      </c>
      <c r="M499" s="4" t="s">
        <v>321</v>
      </c>
      <c r="N499" s="3">
        <v>45879</v>
      </c>
      <c r="O499" s="4" t="s">
        <v>283</v>
      </c>
      <c r="P499" s="2">
        <v>4000</v>
      </c>
      <c r="Q499" s="2">
        <v>2316</v>
      </c>
      <c r="R499" s="4" t="s">
        <v>26</v>
      </c>
      <c r="S499" s="5">
        <v>64783180</v>
      </c>
    </row>
    <row r="500" spans="1:19" x14ac:dyDescent="0.25">
      <c r="A500" s="4" t="s">
        <v>61</v>
      </c>
      <c r="B500" s="4" t="s">
        <v>59</v>
      </c>
      <c r="C500" s="4" t="s">
        <v>62</v>
      </c>
      <c r="D500" s="4" t="s">
        <v>63</v>
      </c>
      <c r="E500" s="4" t="s">
        <v>297</v>
      </c>
      <c r="F500" s="4" t="s">
        <v>298</v>
      </c>
      <c r="G500" s="4" t="s">
        <v>115</v>
      </c>
      <c r="H500" s="4" t="s">
        <v>26</v>
      </c>
      <c r="I500" s="5">
        <v>65000000</v>
      </c>
      <c r="J500" s="5">
        <v>120700</v>
      </c>
      <c r="K500" s="5">
        <v>12070</v>
      </c>
      <c r="L500" s="4" t="s">
        <v>322</v>
      </c>
      <c r="M500" s="4" t="s">
        <v>323</v>
      </c>
      <c r="N500" s="3">
        <v>45879</v>
      </c>
      <c r="O500" s="4" t="s">
        <v>283</v>
      </c>
      <c r="P500" s="2">
        <v>1000</v>
      </c>
      <c r="Q500" s="2">
        <v>2317</v>
      </c>
      <c r="R500" s="4" t="s">
        <v>755</v>
      </c>
      <c r="S500" s="5">
        <v>64344390</v>
      </c>
    </row>
    <row r="501" spans="1:19" x14ac:dyDescent="0.25">
      <c r="A501" s="4" t="s">
        <v>61</v>
      </c>
      <c r="B501" s="4" t="s">
        <v>59</v>
      </c>
      <c r="C501" s="4" t="s">
        <v>62</v>
      </c>
      <c r="D501" s="4" t="s">
        <v>63</v>
      </c>
      <c r="E501" s="4" t="s">
        <v>297</v>
      </c>
      <c r="F501" s="4" t="s">
        <v>298</v>
      </c>
      <c r="G501" s="4" t="s">
        <v>115</v>
      </c>
      <c r="H501" s="4" t="s">
        <v>26</v>
      </c>
      <c r="I501" s="5">
        <v>65000000</v>
      </c>
      <c r="J501" s="5">
        <v>39050</v>
      </c>
      <c r="K501" s="5">
        <v>3905</v>
      </c>
      <c r="L501" s="4" t="s">
        <v>322</v>
      </c>
      <c r="M501" s="4" t="s">
        <v>323</v>
      </c>
      <c r="N501" s="3">
        <v>45879</v>
      </c>
      <c r="O501" s="4" t="s">
        <v>283</v>
      </c>
      <c r="P501" s="2">
        <v>2000</v>
      </c>
      <c r="Q501" s="2">
        <v>2317</v>
      </c>
      <c r="R501" s="4" t="s">
        <v>755</v>
      </c>
      <c r="S501" s="5">
        <v>64344390</v>
      </c>
    </row>
    <row r="502" spans="1:19" x14ac:dyDescent="0.25">
      <c r="A502" s="4" t="s">
        <v>61</v>
      </c>
      <c r="B502" s="4" t="s">
        <v>59</v>
      </c>
      <c r="C502" s="4" t="s">
        <v>62</v>
      </c>
      <c r="D502" s="4" t="s">
        <v>63</v>
      </c>
      <c r="E502" s="4" t="s">
        <v>297</v>
      </c>
      <c r="F502" s="4" t="s">
        <v>298</v>
      </c>
      <c r="G502" s="4" t="s">
        <v>115</v>
      </c>
      <c r="H502" s="4" t="s">
        <v>26</v>
      </c>
      <c r="I502" s="5">
        <v>65000000</v>
      </c>
      <c r="J502" s="5">
        <v>46860</v>
      </c>
      <c r="K502" s="5">
        <v>4686</v>
      </c>
      <c r="L502" s="4" t="s">
        <v>322</v>
      </c>
      <c r="M502" s="4" t="s">
        <v>323</v>
      </c>
      <c r="N502" s="3">
        <v>45879</v>
      </c>
      <c r="O502" s="4" t="s">
        <v>283</v>
      </c>
      <c r="P502" s="2">
        <v>3000</v>
      </c>
      <c r="Q502" s="2">
        <v>2317</v>
      </c>
      <c r="R502" s="4" t="s">
        <v>755</v>
      </c>
      <c r="S502" s="5">
        <v>64344390</v>
      </c>
    </row>
    <row r="503" spans="1:19" x14ac:dyDescent="0.25">
      <c r="A503" s="4" t="s">
        <v>61</v>
      </c>
      <c r="B503" s="4" t="s">
        <v>59</v>
      </c>
      <c r="C503" s="4" t="s">
        <v>62</v>
      </c>
      <c r="D503" s="4" t="s">
        <v>63</v>
      </c>
      <c r="E503" s="4" t="s">
        <v>443</v>
      </c>
      <c r="F503" s="4" t="s">
        <v>444</v>
      </c>
      <c r="G503" s="4" t="s">
        <v>157</v>
      </c>
      <c r="H503" s="4" t="s">
        <v>26</v>
      </c>
      <c r="I503" s="5">
        <v>90000000</v>
      </c>
      <c r="J503" s="5">
        <v>177000</v>
      </c>
      <c r="K503" s="5">
        <v>17700</v>
      </c>
      <c r="L503" s="4" t="s">
        <v>572</v>
      </c>
      <c r="M503" s="4" t="s">
        <v>573</v>
      </c>
      <c r="N503" s="3">
        <v>45892</v>
      </c>
      <c r="O503" s="4" t="s">
        <v>733</v>
      </c>
      <c r="P503" s="2">
        <v>1000</v>
      </c>
      <c r="Q503" s="2">
        <v>2319</v>
      </c>
      <c r="R503" s="4" t="s">
        <v>751</v>
      </c>
      <c r="S503" s="5">
        <v>86215260</v>
      </c>
    </row>
    <row r="504" spans="1:19" x14ac:dyDescent="0.25">
      <c r="A504" s="4" t="s">
        <v>61</v>
      </c>
      <c r="B504" s="4" t="s">
        <v>59</v>
      </c>
      <c r="C504" s="4" t="s">
        <v>62</v>
      </c>
      <c r="D504" s="4" t="s">
        <v>63</v>
      </c>
      <c r="E504" s="4" t="s">
        <v>79</v>
      </c>
      <c r="F504" s="4" t="s">
        <v>80</v>
      </c>
      <c r="G504" s="4" t="s">
        <v>81</v>
      </c>
      <c r="H504" s="4" t="s">
        <v>26</v>
      </c>
      <c r="I504" s="5">
        <v>65000000</v>
      </c>
      <c r="J504" s="5">
        <v>41300</v>
      </c>
      <c r="K504" s="5">
        <v>4130</v>
      </c>
      <c r="L504" s="4" t="s">
        <v>72</v>
      </c>
      <c r="M504" s="4" t="s">
        <v>73</v>
      </c>
      <c r="N504" s="3">
        <v>45875</v>
      </c>
      <c r="O504" s="4" t="s">
        <v>51</v>
      </c>
      <c r="P504" s="2">
        <v>1000</v>
      </c>
      <c r="Q504" s="2">
        <v>2331</v>
      </c>
      <c r="R504" s="4" t="s">
        <v>749</v>
      </c>
      <c r="S504" s="5">
        <v>61690700</v>
      </c>
    </row>
    <row r="505" spans="1:19" x14ac:dyDescent="0.25">
      <c r="A505" s="4" t="s">
        <v>61</v>
      </c>
      <c r="B505" s="4" t="s">
        <v>59</v>
      </c>
      <c r="C505" s="4" t="s">
        <v>62</v>
      </c>
      <c r="D505" s="4" t="s">
        <v>63</v>
      </c>
      <c r="E505" s="4" t="s">
        <v>635</v>
      </c>
      <c r="F505" s="4" t="s">
        <v>636</v>
      </c>
      <c r="G505" s="4" t="s">
        <v>222</v>
      </c>
      <c r="H505" s="4" t="s">
        <v>26</v>
      </c>
      <c r="I505" s="5">
        <v>110000000</v>
      </c>
      <c r="J505" s="5">
        <v>591000</v>
      </c>
      <c r="K505" s="5">
        <v>59100</v>
      </c>
      <c r="L505" s="4" t="s">
        <v>637</v>
      </c>
      <c r="M505" s="4" t="s">
        <v>638</v>
      </c>
      <c r="N505" s="3">
        <v>45887</v>
      </c>
      <c r="O505" s="4" t="s">
        <v>732</v>
      </c>
      <c r="P505" s="2">
        <v>1000</v>
      </c>
      <c r="Q505" s="2">
        <v>2357</v>
      </c>
      <c r="R505" s="4" t="s">
        <v>604</v>
      </c>
      <c r="S505" s="5">
        <v>102037000</v>
      </c>
    </row>
    <row r="506" spans="1:19" x14ac:dyDescent="0.25">
      <c r="A506" s="4" t="s">
        <v>61</v>
      </c>
      <c r="B506" s="4" t="s">
        <v>59</v>
      </c>
      <c r="C506" s="4" t="s">
        <v>62</v>
      </c>
      <c r="D506" s="4" t="s">
        <v>63</v>
      </c>
      <c r="E506" s="4" t="s">
        <v>635</v>
      </c>
      <c r="F506" s="4" t="s">
        <v>636</v>
      </c>
      <c r="G506" s="4" t="s">
        <v>222</v>
      </c>
      <c r="H506" s="4" t="s">
        <v>26</v>
      </c>
      <c r="I506" s="5">
        <v>110000000</v>
      </c>
      <c r="J506" s="5">
        <v>651000</v>
      </c>
      <c r="K506" s="5">
        <v>65100</v>
      </c>
      <c r="L506" s="4" t="s">
        <v>637</v>
      </c>
      <c r="M506" s="4" t="s">
        <v>638</v>
      </c>
      <c r="N506" s="3">
        <v>45887</v>
      </c>
      <c r="O506" s="4" t="s">
        <v>732</v>
      </c>
      <c r="P506" s="2">
        <v>2000</v>
      </c>
      <c r="Q506" s="2">
        <v>2357</v>
      </c>
      <c r="R506" s="4" t="s">
        <v>604</v>
      </c>
      <c r="S506" s="5">
        <v>102037000</v>
      </c>
    </row>
    <row r="507" spans="1:19" x14ac:dyDescent="0.25">
      <c r="A507" s="4" t="s">
        <v>61</v>
      </c>
      <c r="B507" s="4" t="s">
        <v>59</v>
      </c>
      <c r="C507" s="4" t="s">
        <v>62</v>
      </c>
      <c r="D507" s="4" t="s">
        <v>63</v>
      </c>
      <c r="E507" s="4" t="s">
        <v>635</v>
      </c>
      <c r="F507" s="4" t="s">
        <v>636</v>
      </c>
      <c r="G507" s="4" t="s">
        <v>222</v>
      </c>
      <c r="H507" s="4" t="s">
        <v>26</v>
      </c>
      <c r="I507" s="5">
        <v>110000000</v>
      </c>
      <c r="J507" s="5">
        <v>696000</v>
      </c>
      <c r="K507" s="5">
        <v>69600</v>
      </c>
      <c r="L507" s="4" t="s">
        <v>637</v>
      </c>
      <c r="M507" s="4" t="s">
        <v>638</v>
      </c>
      <c r="N507" s="3">
        <v>45887</v>
      </c>
      <c r="O507" s="4" t="s">
        <v>732</v>
      </c>
      <c r="P507" s="2">
        <v>3000</v>
      </c>
      <c r="Q507" s="2">
        <v>2357</v>
      </c>
      <c r="R507" s="4" t="s">
        <v>604</v>
      </c>
      <c r="S507" s="5">
        <v>102037000</v>
      </c>
    </row>
    <row r="508" spans="1:19" x14ac:dyDescent="0.25">
      <c r="A508" s="4" t="s">
        <v>61</v>
      </c>
      <c r="B508" s="4" t="s">
        <v>59</v>
      </c>
      <c r="C508" s="4" t="s">
        <v>62</v>
      </c>
      <c r="D508" s="4" t="s">
        <v>63</v>
      </c>
      <c r="E508" s="4" t="s">
        <v>635</v>
      </c>
      <c r="F508" s="4" t="s">
        <v>636</v>
      </c>
      <c r="G508" s="4" t="s">
        <v>222</v>
      </c>
      <c r="H508" s="4" t="s">
        <v>26</v>
      </c>
      <c r="I508" s="5">
        <v>110000000</v>
      </c>
      <c r="J508" s="5">
        <v>346000</v>
      </c>
      <c r="K508" s="5">
        <v>34600</v>
      </c>
      <c r="L508" s="4" t="s">
        <v>637</v>
      </c>
      <c r="M508" s="4" t="s">
        <v>638</v>
      </c>
      <c r="N508" s="3">
        <v>45887</v>
      </c>
      <c r="O508" s="4" t="s">
        <v>732</v>
      </c>
      <c r="P508" s="2">
        <v>4000</v>
      </c>
      <c r="Q508" s="2">
        <v>2357</v>
      </c>
      <c r="R508" s="4" t="s">
        <v>604</v>
      </c>
      <c r="S508" s="5">
        <v>102037000</v>
      </c>
    </row>
    <row r="509" spans="1:19" x14ac:dyDescent="0.25">
      <c r="A509" s="4" t="s">
        <v>61</v>
      </c>
      <c r="B509" s="4" t="s">
        <v>59</v>
      </c>
      <c r="C509" s="4" t="s">
        <v>62</v>
      </c>
      <c r="D509" s="4" t="s">
        <v>63</v>
      </c>
      <c r="E509" s="4" t="s">
        <v>635</v>
      </c>
      <c r="F509" s="4" t="s">
        <v>636</v>
      </c>
      <c r="G509" s="4" t="s">
        <v>222</v>
      </c>
      <c r="H509" s="4" t="s">
        <v>26</v>
      </c>
      <c r="I509" s="5">
        <v>110000000</v>
      </c>
      <c r="J509" s="5">
        <v>346000</v>
      </c>
      <c r="K509" s="5">
        <v>34600</v>
      </c>
      <c r="L509" s="4" t="s">
        <v>637</v>
      </c>
      <c r="M509" s="4" t="s">
        <v>638</v>
      </c>
      <c r="N509" s="3">
        <v>45887</v>
      </c>
      <c r="O509" s="4" t="s">
        <v>732</v>
      </c>
      <c r="P509" s="2">
        <v>5000</v>
      </c>
      <c r="Q509" s="2">
        <v>2357</v>
      </c>
      <c r="R509" s="4" t="s">
        <v>604</v>
      </c>
      <c r="S509" s="5">
        <v>102037000</v>
      </c>
    </row>
    <row r="510" spans="1:19" x14ac:dyDescent="0.25">
      <c r="A510" s="4" t="s">
        <v>61</v>
      </c>
      <c r="B510" s="4" t="s">
        <v>59</v>
      </c>
      <c r="C510" s="4" t="s">
        <v>62</v>
      </c>
      <c r="D510" s="4" t="s">
        <v>63</v>
      </c>
      <c r="E510" s="4" t="s">
        <v>635</v>
      </c>
      <c r="F510" s="4" t="s">
        <v>636</v>
      </c>
      <c r="G510" s="4" t="s">
        <v>222</v>
      </c>
      <c r="H510" s="4" t="s">
        <v>26</v>
      </c>
      <c r="I510" s="5">
        <v>110000000</v>
      </c>
      <c r="J510" s="5">
        <v>346000</v>
      </c>
      <c r="K510" s="5">
        <v>34600</v>
      </c>
      <c r="L510" s="4" t="s">
        <v>637</v>
      </c>
      <c r="M510" s="4" t="s">
        <v>638</v>
      </c>
      <c r="N510" s="3">
        <v>45887</v>
      </c>
      <c r="O510" s="4" t="s">
        <v>732</v>
      </c>
      <c r="P510" s="2">
        <v>6000</v>
      </c>
      <c r="Q510" s="2">
        <v>2357</v>
      </c>
      <c r="R510" s="4" t="s">
        <v>604</v>
      </c>
      <c r="S510" s="5">
        <v>102037000</v>
      </c>
    </row>
    <row r="511" spans="1:19" x14ac:dyDescent="0.25">
      <c r="A511" s="4" t="s">
        <v>61</v>
      </c>
      <c r="B511" s="4" t="s">
        <v>59</v>
      </c>
      <c r="C511" s="4" t="s">
        <v>62</v>
      </c>
      <c r="D511" s="4" t="s">
        <v>63</v>
      </c>
      <c r="E511" s="4" t="s">
        <v>412</v>
      </c>
      <c r="F511" s="4" t="s">
        <v>413</v>
      </c>
      <c r="G511" s="4" t="s">
        <v>157</v>
      </c>
      <c r="H511" s="4" t="s">
        <v>26</v>
      </c>
      <c r="I511" s="5">
        <v>90000000</v>
      </c>
      <c r="J511" s="5">
        <v>49500</v>
      </c>
      <c r="K511" s="5">
        <v>4950</v>
      </c>
      <c r="L511" s="4" t="s">
        <v>414</v>
      </c>
      <c r="M511" s="4" t="s">
        <v>415</v>
      </c>
      <c r="N511" s="3">
        <v>45876</v>
      </c>
      <c r="O511" s="4" t="s">
        <v>459</v>
      </c>
      <c r="P511" s="2">
        <v>1000</v>
      </c>
      <c r="Q511" s="2">
        <v>2372</v>
      </c>
      <c r="R511" s="4" t="s">
        <v>747</v>
      </c>
      <c r="S511" s="5">
        <v>87613200</v>
      </c>
    </row>
    <row r="512" spans="1:19" x14ac:dyDescent="0.25">
      <c r="A512" s="4" t="s">
        <v>61</v>
      </c>
      <c r="B512" s="4" t="s">
        <v>59</v>
      </c>
      <c r="C512" s="4" t="s">
        <v>62</v>
      </c>
      <c r="D512" s="4" t="s">
        <v>63</v>
      </c>
      <c r="E512" s="4" t="s">
        <v>127</v>
      </c>
      <c r="F512" s="4" t="s">
        <v>128</v>
      </c>
      <c r="G512" s="4" t="s">
        <v>50</v>
      </c>
      <c r="H512" s="4" t="s">
        <v>26</v>
      </c>
      <c r="I512" s="5">
        <v>65000000</v>
      </c>
      <c r="J512" s="5">
        <v>88000</v>
      </c>
      <c r="K512" s="5">
        <v>8800</v>
      </c>
      <c r="L512" s="4" t="s">
        <v>324</v>
      </c>
      <c r="M512" s="4" t="s">
        <v>325</v>
      </c>
      <c r="N512" s="3">
        <v>45879</v>
      </c>
      <c r="O512" s="4" t="s">
        <v>283</v>
      </c>
      <c r="P512" s="2">
        <v>1000</v>
      </c>
      <c r="Q512" s="2">
        <v>2375</v>
      </c>
      <c r="R512" s="4" t="s">
        <v>755</v>
      </c>
      <c r="S512" s="5">
        <v>60417600</v>
      </c>
    </row>
    <row r="513" spans="1:19" x14ac:dyDescent="0.25">
      <c r="A513" s="4" t="s">
        <v>61</v>
      </c>
      <c r="B513" s="4" t="s">
        <v>59</v>
      </c>
      <c r="C513" s="4" t="s">
        <v>62</v>
      </c>
      <c r="D513" s="4" t="s">
        <v>63</v>
      </c>
      <c r="E513" s="4" t="s">
        <v>127</v>
      </c>
      <c r="F513" s="4" t="s">
        <v>128</v>
      </c>
      <c r="G513" s="4" t="s">
        <v>50</v>
      </c>
      <c r="H513" s="4" t="s">
        <v>26</v>
      </c>
      <c r="I513" s="5">
        <v>65000000</v>
      </c>
      <c r="J513" s="5">
        <v>46200</v>
      </c>
      <c r="K513" s="5">
        <v>4620</v>
      </c>
      <c r="L513" s="4" t="s">
        <v>26</v>
      </c>
      <c r="M513" s="4" t="s">
        <v>26</v>
      </c>
      <c r="N513" s="3">
        <v>45879</v>
      </c>
      <c r="O513" s="4" t="s">
        <v>283</v>
      </c>
      <c r="P513" s="2">
        <v>1000</v>
      </c>
      <c r="Q513" s="2">
        <v>2376</v>
      </c>
      <c r="R513" s="4" t="s">
        <v>755</v>
      </c>
      <c r="S513" s="5">
        <v>60417600</v>
      </c>
    </row>
    <row r="514" spans="1:19" x14ac:dyDescent="0.25">
      <c r="A514" s="4" t="s">
        <v>61</v>
      </c>
      <c r="B514" s="4" t="s">
        <v>59</v>
      </c>
      <c r="C514" s="4" t="s">
        <v>62</v>
      </c>
      <c r="D514" s="4" t="s">
        <v>63</v>
      </c>
      <c r="E514" s="4" t="s">
        <v>193</v>
      </c>
      <c r="F514" s="4" t="s">
        <v>194</v>
      </c>
      <c r="G514" s="4" t="s">
        <v>105</v>
      </c>
      <c r="H514" s="4" t="s">
        <v>26</v>
      </c>
      <c r="I514" s="5">
        <v>155000000</v>
      </c>
      <c r="J514" s="5">
        <v>40500</v>
      </c>
      <c r="K514" s="5">
        <v>4050</v>
      </c>
      <c r="L514" s="4" t="s">
        <v>195</v>
      </c>
      <c r="M514" s="4" t="s">
        <v>196</v>
      </c>
      <c r="N514" s="3">
        <v>45876</v>
      </c>
      <c r="O514" s="4" t="s">
        <v>459</v>
      </c>
      <c r="P514" s="2">
        <v>1000</v>
      </c>
      <c r="Q514" s="2">
        <v>2376</v>
      </c>
      <c r="R514" s="4" t="s">
        <v>747</v>
      </c>
      <c r="S514" s="5">
        <v>149540330</v>
      </c>
    </row>
    <row r="515" spans="1:19" x14ac:dyDescent="0.25">
      <c r="A515" s="4" t="s">
        <v>61</v>
      </c>
      <c r="B515" s="4" t="s">
        <v>59</v>
      </c>
      <c r="C515" s="4" t="s">
        <v>62</v>
      </c>
      <c r="D515" s="4" t="s">
        <v>63</v>
      </c>
      <c r="E515" s="4" t="s">
        <v>193</v>
      </c>
      <c r="F515" s="4" t="s">
        <v>194</v>
      </c>
      <c r="G515" s="4" t="s">
        <v>105</v>
      </c>
      <c r="H515" s="4" t="s">
        <v>26</v>
      </c>
      <c r="I515" s="5">
        <v>155000000</v>
      </c>
      <c r="J515" s="5">
        <v>54000</v>
      </c>
      <c r="K515" s="5">
        <v>5400</v>
      </c>
      <c r="L515" s="4" t="s">
        <v>195</v>
      </c>
      <c r="M515" s="4" t="s">
        <v>196</v>
      </c>
      <c r="N515" s="3">
        <v>45876</v>
      </c>
      <c r="O515" s="4" t="s">
        <v>459</v>
      </c>
      <c r="P515" s="2">
        <v>2000</v>
      </c>
      <c r="Q515" s="2">
        <v>2376</v>
      </c>
      <c r="R515" s="4" t="s">
        <v>26</v>
      </c>
      <c r="S515" s="5">
        <v>149540330</v>
      </c>
    </row>
    <row r="516" spans="1:19" x14ac:dyDescent="0.25">
      <c r="A516" s="4" t="s">
        <v>61</v>
      </c>
      <c r="B516" s="4" t="s">
        <v>59</v>
      </c>
      <c r="C516" s="4" t="s">
        <v>62</v>
      </c>
      <c r="D516" s="4" t="s">
        <v>63</v>
      </c>
      <c r="E516" s="4" t="s">
        <v>275</v>
      </c>
      <c r="F516" s="4" t="s">
        <v>276</v>
      </c>
      <c r="G516" s="4" t="s">
        <v>115</v>
      </c>
      <c r="H516" s="4" t="s">
        <v>26</v>
      </c>
      <c r="I516" s="5">
        <v>65000000</v>
      </c>
      <c r="J516" s="5">
        <v>39000</v>
      </c>
      <c r="K516" s="5">
        <v>3900</v>
      </c>
      <c r="L516" s="4" t="s">
        <v>535</v>
      </c>
      <c r="M516" s="4" t="s">
        <v>536</v>
      </c>
      <c r="N516" s="3">
        <v>45878</v>
      </c>
      <c r="O516" s="4" t="s">
        <v>532</v>
      </c>
      <c r="P516" s="2">
        <v>1000</v>
      </c>
      <c r="Q516" s="2">
        <v>2377</v>
      </c>
      <c r="R516" s="4" t="s">
        <v>749</v>
      </c>
      <c r="S516" s="5">
        <v>63302500</v>
      </c>
    </row>
    <row r="517" spans="1:19" x14ac:dyDescent="0.25">
      <c r="A517" s="4" t="s">
        <v>61</v>
      </c>
      <c r="B517" s="4" t="s">
        <v>59</v>
      </c>
      <c r="C517" s="4" t="s">
        <v>62</v>
      </c>
      <c r="D517" s="4" t="s">
        <v>63</v>
      </c>
      <c r="E517" s="4" t="s">
        <v>275</v>
      </c>
      <c r="F517" s="4" t="s">
        <v>276</v>
      </c>
      <c r="G517" s="4" t="s">
        <v>115</v>
      </c>
      <c r="H517" s="4" t="s">
        <v>26</v>
      </c>
      <c r="I517" s="5">
        <v>65000000</v>
      </c>
      <c r="J517" s="5">
        <v>29750</v>
      </c>
      <c r="K517" s="5">
        <v>2975</v>
      </c>
      <c r="L517" s="4" t="s">
        <v>535</v>
      </c>
      <c r="M517" s="4" t="s">
        <v>536</v>
      </c>
      <c r="N517" s="3">
        <v>45878</v>
      </c>
      <c r="O517" s="4" t="s">
        <v>532</v>
      </c>
      <c r="P517" s="2">
        <v>2000</v>
      </c>
      <c r="Q517" s="2">
        <v>2377</v>
      </c>
      <c r="R517" s="4" t="s">
        <v>26</v>
      </c>
      <c r="S517" s="5">
        <v>63302500</v>
      </c>
    </row>
    <row r="518" spans="1:19" x14ac:dyDescent="0.25">
      <c r="A518" s="4" t="s">
        <v>61</v>
      </c>
      <c r="B518" s="4" t="s">
        <v>59</v>
      </c>
      <c r="C518" s="4" t="s">
        <v>62</v>
      </c>
      <c r="D518" s="4" t="s">
        <v>63</v>
      </c>
      <c r="E518" s="4" t="s">
        <v>95</v>
      </c>
      <c r="F518" s="4" t="s">
        <v>96</v>
      </c>
      <c r="G518" s="4" t="s">
        <v>97</v>
      </c>
      <c r="H518" s="4" t="s">
        <v>26</v>
      </c>
      <c r="I518" s="5">
        <v>155000000</v>
      </c>
      <c r="J518" s="5">
        <v>49500</v>
      </c>
      <c r="K518" s="5">
        <v>4950</v>
      </c>
      <c r="L518" s="4" t="s">
        <v>26</v>
      </c>
      <c r="M518" s="4" t="s">
        <v>26</v>
      </c>
      <c r="N518" s="3">
        <v>45876</v>
      </c>
      <c r="O518" s="4" t="s">
        <v>459</v>
      </c>
      <c r="P518" s="2">
        <v>1000</v>
      </c>
      <c r="Q518" s="2">
        <v>2378</v>
      </c>
      <c r="R518" s="4" t="s">
        <v>747</v>
      </c>
      <c r="S518" s="5">
        <v>154473500</v>
      </c>
    </row>
    <row r="519" spans="1:19" x14ac:dyDescent="0.25">
      <c r="A519" s="4" t="s">
        <v>61</v>
      </c>
      <c r="B519" s="4" t="s">
        <v>59</v>
      </c>
      <c r="C519" s="4" t="s">
        <v>62</v>
      </c>
      <c r="D519" s="4" t="s">
        <v>63</v>
      </c>
      <c r="E519" s="4" t="s">
        <v>95</v>
      </c>
      <c r="F519" s="4" t="s">
        <v>96</v>
      </c>
      <c r="G519" s="4" t="s">
        <v>97</v>
      </c>
      <c r="H519" s="4" t="s">
        <v>26</v>
      </c>
      <c r="I519" s="5">
        <v>155000000</v>
      </c>
      <c r="J519" s="5">
        <v>40500</v>
      </c>
      <c r="K519" s="5">
        <v>4050</v>
      </c>
      <c r="L519" s="4" t="s">
        <v>26</v>
      </c>
      <c r="M519" s="4" t="s">
        <v>26</v>
      </c>
      <c r="N519" s="3">
        <v>45876</v>
      </c>
      <c r="O519" s="4" t="s">
        <v>459</v>
      </c>
      <c r="P519" s="2">
        <v>2000</v>
      </c>
      <c r="Q519" s="2">
        <v>2378</v>
      </c>
      <c r="R519" s="4" t="s">
        <v>747</v>
      </c>
      <c r="S519" s="5">
        <v>154473500</v>
      </c>
    </row>
    <row r="520" spans="1:19" x14ac:dyDescent="0.25">
      <c r="A520" s="4" t="s">
        <v>61</v>
      </c>
      <c r="B520" s="4" t="s">
        <v>59</v>
      </c>
      <c r="C520" s="4" t="s">
        <v>62</v>
      </c>
      <c r="D520" s="4" t="s">
        <v>63</v>
      </c>
      <c r="E520" s="4" t="s">
        <v>95</v>
      </c>
      <c r="F520" s="4" t="s">
        <v>96</v>
      </c>
      <c r="G520" s="4" t="s">
        <v>97</v>
      </c>
      <c r="H520" s="4" t="s">
        <v>26</v>
      </c>
      <c r="I520" s="5">
        <v>155000000</v>
      </c>
      <c r="J520" s="5">
        <v>58500</v>
      </c>
      <c r="K520" s="5">
        <v>5850</v>
      </c>
      <c r="L520" s="4" t="s">
        <v>26</v>
      </c>
      <c r="M520" s="4" t="s">
        <v>26</v>
      </c>
      <c r="N520" s="3">
        <v>45876</v>
      </c>
      <c r="O520" s="4" t="s">
        <v>459</v>
      </c>
      <c r="P520" s="2">
        <v>3000</v>
      </c>
      <c r="Q520" s="2">
        <v>2378</v>
      </c>
      <c r="R520" s="4" t="s">
        <v>747</v>
      </c>
      <c r="S520" s="5">
        <v>154473500</v>
      </c>
    </row>
    <row r="521" spans="1:19" x14ac:dyDescent="0.25">
      <c r="A521" s="4" t="s">
        <v>61</v>
      </c>
      <c r="B521" s="4" t="s">
        <v>59</v>
      </c>
      <c r="C521" s="4" t="s">
        <v>62</v>
      </c>
      <c r="D521" s="4" t="s">
        <v>63</v>
      </c>
      <c r="E521" s="4" t="s">
        <v>537</v>
      </c>
      <c r="F521" s="4" t="s">
        <v>538</v>
      </c>
      <c r="G521" s="4" t="s">
        <v>100</v>
      </c>
      <c r="H521" s="4" t="s">
        <v>26</v>
      </c>
      <c r="I521" s="5">
        <v>65000000</v>
      </c>
      <c r="J521" s="5">
        <v>538000</v>
      </c>
      <c r="K521" s="5">
        <v>53800</v>
      </c>
      <c r="L521" s="4" t="s">
        <v>539</v>
      </c>
      <c r="M521" s="4" t="s">
        <v>540</v>
      </c>
      <c r="N521" s="3">
        <v>45878</v>
      </c>
      <c r="O521" s="4" t="s">
        <v>532</v>
      </c>
      <c r="P521" s="2">
        <v>1000</v>
      </c>
      <c r="Q521" s="2">
        <v>2379</v>
      </c>
      <c r="R521" s="4" t="s">
        <v>768</v>
      </c>
      <c r="S521" s="5">
        <v>64183000</v>
      </c>
    </row>
    <row r="522" spans="1:19" x14ac:dyDescent="0.25">
      <c r="A522" s="4" t="s">
        <v>61</v>
      </c>
      <c r="B522" s="4" t="s">
        <v>59</v>
      </c>
      <c r="C522" s="4" t="s">
        <v>62</v>
      </c>
      <c r="D522" s="4" t="s">
        <v>63</v>
      </c>
      <c r="E522" s="4" t="s">
        <v>148</v>
      </c>
      <c r="F522" s="4" t="s">
        <v>149</v>
      </c>
      <c r="G522" s="4" t="s">
        <v>50</v>
      </c>
      <c r="H522" s="4" t="s">
        <v>26</v>
      </c>
      <c r="I522" s="5">
        <v>65000000</v>
      </c>
      <c r="J522" s="5">
        <v>90000</v>
      </c>
      <c r="K522" s="5">
        <v>9000</v>
      </c>
      <c r="L522" s="4" t="s">
        <v>26</v>
      </c>
      <c r="M522" s="4" t="s">
        <v>26</v>
      </c>
      <c r="N522" s="3">
        <v>45874</v>
      </c>
      <c r="O522" s="4" t="s">
        <v>154</v>
      </c>
      <c r="P522" s="2">
        <v>1000</v>
      </c>
      <c r="Q522" s="2">
        <v>2380</v>
      </c>
      <c r="R522" s="4" t="s">
        <v>84</v>
      </c>
      <c r="S522" s="5">
        <v>58699710</v>
      </c>
    </row>
    <row r="523" spans="1:19" x14ac:dyDescent="0.25">
      <c r="A523" s="4" t="s">
        <v>61</v>
      </c>
      <c r="B523" s="4" t="s">
        <v>59</v>
      </c>
      <c r="C523" s="4" t="s">
        <v>62</v>
      </c>
      <c r="D523" s="4" t="s">
        <v>63</v>
      </c>
      <c r="E523" s="4" t="s">
        <v>148</v>
      </c>
      <c r="F523" s="4" t="s">
        <v>149</v>
      </c>
      <c r="G523" s="4" t="s">
        <v>50</v>
      </c>
      <c r="H523" s="4" t="s">
        <v>26</v>
      </c>
      <c r="I523" s="5">
        <v>65000000</v>
      </c>
      <c r="J523" s="5">
        <v>12750</v>
      </c>
      <c r="K523" s="5">
        <v>1275</v>
      </c>
      <c r="L523" s="4" t="s">
        <v>26</v>
      </c>
      <c r="M523" s="4" t="s">
        <v>26</v>
      </c>
      <c r="N523" s="3">
        <v>45874</v>
      </c>
      <c r="O523" s="4" t="s">
        <v>154</v>
      </c>
      <c r="P523" s="2">
        <v>2000</v>
      </c>
      <c r="Q523" s="2">
        <v>2380</v>
      </c>
      <c r="R523" s="4" t="s">
        <v>84</v>
      </c>
      <c r="S523" s="5">
        <v>58699710</v>
      </c>
    </row>
    <row r="524" spans="1:19" x14ac:dyDescent="0.25">
      <c r="A524" s="4" t="s">
        <v>61</v>
      </c>
      <c r="B524" s="4" t="s">
        <v>59</v>
      </c>
      <c r="C524" s="4" t="s">
        <v>62</v>
      </c>
      <c r="D524" s="4" t="s">
        <v>63</v>
      </c>
      <c r="E524" s="4" t="s">
        <v>148</v>
      </c>
      <c r="F524" s="4" t="s">
        <v>149</v>
      </c>
      <c r="G524" s="4" t="s">
        <v>50</v>
      </c>
      <c r="H524" s="4" t="s">
        <v>26</v>
      </c>
      <c r="I524" s="5">
        <v>65000000</v>
      </c>
      <c r="J524" s="5">
        <v>38500</v>
      </c>
      <c r="K524" s="5">
        <v>3850</v>
      </c>
      <c r="L524" s="4" t="s">
        <v>26</v>
      </c>
      <c r="M524" s="4" t="s">
        <v>26</v>
      </c>
      <c r="N524" s="3">
        <v>45874</v>
      </c>
      <c r="O524" s="4" t="s">
        <v>154</v>
      </c>
      <c r="P524" s="2">
        <v>3000</v>
      </c>
      <c r="Q524" s="2">
        <v>2380</v>
      </c>
      <c r="R524" s="4" t="s">
        <v>755</v>
      </c>
      <c r="S524" s="5">
        <v>58699710</v>
      </c>
    </row>
    <row r="525" spans="1:19" x14ac:dyDescent="0.25">
      <c r="A525" s="4" t="s">
        <v>61</v>
      </c>
      <c r="B525" s="4" t="s">
        <v>59</v>
      </c>
      <c r="C525" s="4" t="s">
        <v>62</v>
      </c>
      <c r="D525" s="4" t="s">
        <v>63</v>
      </c>
      <c r="E525" s="4" t="s">
        <v>89</v>
      </c>
      <c r="F525" s="4" t="s">
        <v>90</v>
      </c>
      <c r="G525" s="4" t="s">
        <v>91</v>
      </c>
      <c r="H525" s="4" t="s">
        <v>26</v>
      </c>
      <c r="I525" s="5">
        <v>65000000</v>
      </c>
      <c r="J525" s="5">
        <v>135000</v>
      </c>
      <c r="K525" s="5">
        <v>13500</v>
      </c>
      <c r="L525" s="4" t="s">
        <v>26</v>
      </c>
      <c r="M525" s="4" t="s">
        <v>26</v>
      </c>
      <c r="N525" s="3">
        <v>45879</v>
      </c>
      <c r="O525" s="4" t="s">
        <v>283</v>
      </c>
      <c r="P525" s="2">
        <v>1000</v>
      </c>
      <c r="Q525" s="2">
        <v>2383</v>
      </c>
      <c r="R525" s="4" t="s">
        <v>749</v>
      </c>
      <c r="S525" s="5">
        <v>60891200</v>
      </c>
    </row>
    <row r="526" spans="1:19" x14ac:dyDescent="0.25">
      <c r="A526" s="4" t="s">
        <v>61</v>
      </c>
      <c r="B526" s="4" t="s">
        <v>59</v>
      </c>
      <c r="C526" s="4" t="s">
        <v>62</v>
      </c>
      <c r="D526" s="4" t="s">
        <v>63</v>
      </c>
      <c r="E526" s="4" t="s">
        <v>89</v>
      </c>
      <c r="F526" s="4" t="s">
        <v>90</v>
      </c>
      <c r="G526" s="4" t="s">
        <v>91</v>
      </c>
      <c r="H526" s="4" t="s">
        <v>26</v>
      </c>
      <c r="I526" s="5">
        <v>65000000</v>
      </c>
      <c r="J526" s="5">
        <v>72250</v>
      </c>
      <c r="K526" s="5">
        <v>7225</v>
      </c>
      <c r="L526" s="4" t="s">
        <v>26</v>
      </c>
      <c r="M526" s="4" t="s">
        <v>26</v>
      </c>
      <c r="N526" s="3">
        <v>45879</v>
      </c>
      <c r="O526" s="4" t="s">
        <v>283</v>
      </c>
      <c r="P526" s="2">
        <v>1000</v>
      </c>
      <c r="Q526" s="2">
        <v>2384</v>
      </c>
      <c r="R526" s="4" t="s">
        <v>747</v>
      </c>
      <c r="S526" s="5">
        <v>60891200</v>
      </c>
    </row>
    <row r="527" spans="1:19" x14ac:dyDescent="0.25">
      <c r="A527" s="4" t="s">
        <v>61</v>
      </c>
      <c r="B527" s="4" t="s">
        <v>59</v>
      </c>
      <c r="C527" s="4" t="s">
        <v>62</v>
      </c>
      <c r="D527" s="4" t="s">
        <v>63</v>
      </c>
      <c r="E527" s="4" t="s">
        <v>103</v>
      </c>
      <c r="F527" s="4" t="s">
        <v>104</v>
      </c>
      <c r="G527" s="4" t="s">
        <v>105</v>
      </c>
      <c r="H527" s="4" t="s">
        <v>26</v>
      </c>
      <c r="I527" s="5">
        <v>155000000</v>
      </c>
      <c r="J527" s="5">
        <v>78400</v>
      </c>
      <c r="K527" s="5">
        <v>7840</v>
      </c>
      <c r="L527" s="4" t="s">
        <v>26</v>
      </c>
      <c r="M527" s="4" t="s">
        <v>26</v>
      </c>
      <c r="N527" s="3">
        <v>45876</v>
      </c>
      <c r="O527" s="4" t="s">
        <v>51</v>
      </c>
      <c r="P527" s="2">
        <v>1000</v>
      </c>
      <c r="Q527" s="2">
        <v>2385</v>
      </c>
      <c r="R527" s="4" t="s">
        <v>749</v>
      </c>
      <c r="S527" s="5">
        <v>150234500</v>
      </c>
    </row>
    <row r="528" spans="1:19" x14ac:dyDescent="0.25">
      <c r="A528" s="4" t="s">
        <v>61</v>
      </c>
      <c r="B528" s="4" t="s">
        <v>59</v>
      </c>
      <c r="C528" s="4" t="s">
        <v>62</v>
      </c>
      <c r="D528" s="4" t="s">
        <v>63</v>
      </c>
      <c r="E528" s="4" t="s">
        <v>326</v>
      </c>
      <c r="F528" s="4" t="s">
        <v>327</v>
      </c>
      <c r="G528" s="4" t="s">
        <v>81</v>
      </c>
      <c r="H528" s="4" t="s">
        <v>26</v>
      </c>
      <c r="I528" s="5">
        <v>65000000</v>
      </c>
      <c r="J528" s="5">
        <v>53900</v>
      </c>
      <c r="K528" s="5">
        <v>5390</v>
      </c>
      <c r="L528" s="4" t="s">
        <v>328</v>
      </c>
      <c r="M528" s="4" t="s">
        <v>329</v>
      </c>
      <c r="N528" s="3">
        <v>45879</v>
      </c>
      <c r="O528" s="4" t="s">
        <v>283</v>
      </c>
      <c r="P528" s="2">
        <v>1000</v>
      </c>
      <c r="Q528" s="2">
        <v>2388</v>
      </c>
      <c r="R528" s="4" t="s">
        <v>26</v>
      </c>
      <c r="S528" s="5">
        <v>64818700</v>
      </c>
    </row>
    <row r="529" spans="1:19" x14ac:dyDescent="0.25">
      <c r="A529" s="4" t="s">
        <v>61</v>
      </c>
      <c r="B529" s="4" t="s">
        <v>59</v>
      </c>
      <c r="C529" s="4" t="s">
        <v>62</v>
      </c>
      <c r="D529" s="4" t="s">
        <v>63</v>
      </c>
      <c r="E529" s="4" t="s">
        <v>326</v>
      </c>
      <c r="F529" s="4" t="s">
        <v>327</v>
      </c>
      <c r="G529" s="4" t="s">
        <v>81</v>
      </c>
      <c r="H529" s="4" t="s">
        <v>26</v>
      </c>
      <c r="I529" s="5">
        <v>65000000</v>
      </c>
      <c r="J529" s="5">
        <v>15400</v>
      </c>
      <c r="K529" s="5">
        <v>1540</v>
      </c>
      <c r="L529" s="4" t="s">
        <v>328</v>
      </c>
      <c r="M529" s="4" t="s">
        <v>329</v>
      </c>
      <c r="N529" s="3">
        <v>45879</v>
      </c>
      <c r="O529" s="4" t="s">
        <v>283</v>
      </c>
      <c r="P529" s="2">
        <v>2000</v>
      </c>
      <c r="Q529" s="2">
        <v>2388</v>
      </c>
      <c r="R529" s="4" t="s">
        <v>26</v>
      </c>
      <c r="S529" s="5">
        <v>64818700</v>
      </c>
    </row>
    <row r="530" spans="1:19" x14ac:dyDescent="0.25">
      <c r="A530" s="4" t="s">
        <v>61</v>
      </c>
      <c r="B530" s="4" t="s">
        <v>59</v>
      </c>
      <c r="C530" s="4" t="s">
        <v>62</v>
      </c>
      <c r="D530" s="4" t="s">
        <v>63</v>
      </c>
      <c r="E530" s="4" t="s">
        <v>330</v>
      </c>
      <c r="F530" s="4" t="s">
        <v>331</v>
      </c>
      <c r="G530" s="4" t="s">
        <v>124</v>
      </c>
      <c r="H530" s="4" t="s">
        <v>26</v>
      </c>
      <c r="I530" s="5">
        <v>65000000</v>
      </c>
      <c r="J530" s="5">
        <v>1137780</v>
      </c>
      <c r="K530" s="5">
        <v>113778</v>
      </c>
      <c r="L530" s="4" t="s">
        <v>26</v>
      </c>
      <c r="M530" s="4" t="s">
        <v>26</v>
      </c>
      <c r="N530" s="3">
        <v>45890</v>
      </c>
      <c r="O530" s="4" t="s">
        <v>738</v>
      </c>
      <c r="P530" s="2">
        <v>1000</v>
      </c>
      <c r="Q530" s="2">
        <v>2391</v>
      </c>
      <c r="R530" s="4" t="s">
        <v>762</v>
      </c>
      <c r="S530" s="5">
        <v>62496720</v>
      </c>
    </row>
    <row r="531" spans="1:19" x14ac:dyDescent="0.25">
      <c r="A531" s="4" t="s">
        <v>61</v>
      </c>
      <c r="B531" s="4" t="s">
        <v>59</v>
      </c>
      <c r="C531" s="4" t="s">
        <v>62</v>
      </c>
      <c r="D531" s="4" t="s">
        <v>63</v>
      </c>
      <c r="E531" s="4" t="s">
        <v>111</v>
      </c>
      <c r="F531" s="4" t="s">
        <v>112</v>
      </c>
      <c r="G531" s="4" t="s">
        <v>81</v>
      </c>
      <c r="H531" s="4" t="s">
        <v>26</v>
      </c>
      <c r="I531" s="5">
        <v>65000000</v>
      </c>
      <c r="J531" s="5">
        <v>279000</v>
      </c>
      <c r="K531" s="5">
        <v>27900</v>
      </c>
      <c r="L531" s="4" t="s">
        <v>242</v>
      </c>
      <c r="M531" s="4" t="s">
        <v>243</v>
      </c>
      <c r="N531" s="3">
        <v>45900</v>
      </c>
      <c r="O531" s="4" t="s">
        <v>690</v>
      </c>
      <c r="P531" s="2">
        <v>1000</v>
      </c>
      <c r="Q531" s="2">
        <v>2392</v>
      </c>
      <c r="R531" s="4" t="s">
        <v>26</v>
      </c>
      <c r="S531" s="5">
        <v>61345000</v>
      </c>
    </row>
    <row r="532" spans="1:19" x14ac:dyDescent="0.25">
      <c r="A532" s="4" t="s">
        <v>61</v>
      </c>
      <c r="B532" s="4" t="s">
        <v>59</v>
      </c>
      <c r="C532" s="4" t="s">
        <v>62</v>
      </c>
      <c r="D532" s="4" t="s">
        <v>63</v>
      </c>
      <c r="E532" s="4" t="s">
        <v>111</v>
      </c>
      <c r="F532" s="4" t="s">
        <v>112</v>
      </c>
      <c r="G532" s="4" t="s">
        <v>81</v>
      </c>
      <c r="H532" s="4" t="s">
        <v>26</v>
      </c>
      <c r="I532" s="5">
        <v>65000000</v>
      </c>
      <c r="J532" s="5">
        <v>279000</v>
      </c>
      <c r="K532" s="5">
        <v>27900</v>
      </c>
      <c r="L532" s="4" t="s">
        <v>242</v>
      </c>
      <c r="M532" s="4" t="s">
        <v>243</v>
      </c>
      <c r="N532" s="3">
        <v>45900</v>
      </c>
      <c r="O532" s="4" t="s">
        <v>690</v>
      </c>
      <c r="P532" s="2">
        <v>2000</v>
      </c>
      <c r="Q532" s="2">
        <v>2392</v>
      </c>
      <c r="R532" s="4" t="s">
        <v>26</v>
      </c>
      <c r="S532" s="5">
        <v>61345000</v>
      </c>
    </row>
    <row r="533" spans="1:19" x14ac:dyDescent="0.25">
      <c r="A533" s="4" t="s">
        <v>61</v>
      </c>
      <c r="B533" s="4" t="s">
        <v>59</v>
      </c>
      <c r="C533" s="4" t="s">
        <v>62</v>
      </c>
      <c r="D533" s="4" t="s">
        <v>63</v>
      </c>
      <c r="E533" s="4" t="s">
        <v>330</v>
      </c>
      <c r="F533" s="4" t="s">
        <v>331</v>
      </c>
      <c r="G533" s="4" t="s">
        <v>124</v>
      </c>
      <c r="H533" s="4" t="s">
        <v>26</v>
      </c>
      <c r="I533" s="5">
        <v>65000000</v>
      </c>
      <c r="J533" s="5">
        <v>46200</v>
      </c>
      <c r="K533" s="5">
        <v>4620</v>
      </c>
      <c r="L533" s="4" t="s">
        <v>332</v>
      </c>
      <c r="M533" s="4" t="s">
        <v>333</v>
      </c>
      <c r="N533" s="3">
        <v>45879</v>
      </c>
      <c r="O533" s="4" t="s">
        <v>283</v>
      </c>
      <c r="P533" s="2">
        <v>1000</v>
      </c>
      <c r="Q533" s="2">
        <v>2395</v>
      </c>
      <c r="R533" s="4" t="s">
        <v>755</v>
      </c>
      <c r="S533" s="5">
        <v>62496720</v>
      </c>
    </row>
    <row r="534" spans="1:19" x14ac:dyDescent="0.25">
      <c r="A534" s="4" t="s">
        <v>61</v>
      </c>
      <c r="B534" s="4" t="s">
        <v>59</v>
      </c>
      <c r="C534" s="4" t="s">
        <v>62</v>
      </c>
      <c r="D534" s="4" t="s">
        <v>63</v>
      </c>
      <c r="E534" s="4" t="s">
        <v>330</v>
      </c>
      <c r="F534" s="4" t="s">
        <v>331</v>
      </c>
      <c r="G534" s="4" t="s">
        <v>124</v>
      </c>
      <c r="H534" s="4" t="s">
        <v>26</v>
      </c>
      <c r="I534" s="5">
        <v>65000000</v>
      </c>
      <c r="J534" s="5">
        <v>138600</v>
      </c>
      <c r="K534" s="5">
        <v>13860</v>
      </c>
      <c r="L534" s="4" t="s">
        <v>332</v>
      </c>
      <c r="M534" s="4" t="s">
        <v>333</v>
      </c>
      <c r="N534" s="3">
        <v>45879</v>
      </c>
      <c r="O534" s="4" t="s">
        <v>283</v>
      </c>
      <c r="P534" s="2">
        <v>2000</v>
      </c>
      <c r="Q534" s="2">
        <v>2395</v>
      </c>
      <c r="R534" s="4" t="s">
        <v>755</v>
      </c>
      <c r="S534" s="5">
        <v>62496720</v>
      </c>
    </row>
    <row r="535" spans="1:19" x14ac:dyDescent="0.25">
      <c r="A535" s="4" t="s">
        <v>61</v>
      </c>
      <c r="B535" s="4" t="s">
        <v>59</v>
      </c>
      <c r="C535" s="4" t="s">
        <v>62</v>
      </c>
      <c r="D535" s="4" t="s">
        <v>63</v>
      </c>
      <c r="E535" s="4" t="s">
        <v>330</v>
      </c>
      <c r="F535" s="4" t="s">
        <v>331</v>
      </c>
      <c r="G535" s="4" t="s">
        <v>124</v>
      </c>
      <c r="H535" s="4" t="s">
        <v>26</v>
      </c>
      <c r="I535" s="5">
        <v>65000000</v>
      </c>
      <c r="J535" s="5">
        <v>38500</v>
      </c>
      <c r="K535" s="5">
        <v>3850</v>
      </c>
      <c r="L535" s="4" t="s">
        <v>332</v>
      </c>
      <c r="M535" s="4" t="s">
        <v>333</v>
      </c>
      <c r="N535" s="3">
        <v>45879</v>
      </c>
      <c r="O535" s="4" t="s">
        <v>283</v>
      </c>
      <c r="P535" s="2">
        <v>3000</v>
      </c>
      <c r="Q535" s="2">
        <v>2395</v>
      </c>
      <c r="R535" s="4" t="s">
        <v>755</v>
      </c>
      <c r="S535" s="5">
        <v>62496720</v>
      </c>
    </row>
    <row r="536" spans="1:19" x14ac:dyDescent="0.25">
      <c r="A536" s="4" t="s">
        <v>61</v>
      </c>
      <c r="B536" s="4" t="s">
        <v>59</v>
      </c>
      <c r="C536" s="4" t="s">
        <v>62</v>
      </c>
      <c r="D536" s="4" t="s">
        <v>63</v>
      </c>
      <c r="E536" s="4" t="s">
        <v>330</v>
      </c>
      <c r="F536" s="4" t="s">
        <v>331</v>
      </c>
      <c r="G536" s="4" t="s">
        <v>124</v>
      </c>
      <c r="H536" s="4" t="s">
        <v>26</v>
      </c>
      <c r="I536" s="5">
        <v>65000000</v>
      </c>
      <c r="J536" s="5">
        <v>7700</v>
      </c>
      <c r="K536" s="5">
        <v>770</v>
      </c>
      <c r="L536" s="4" t="s">
        <v>332</v>
      </c>
      <c r="M536" s="4" t="s">
        <v>333</v>
      </c>
      <c r="N536" s="3">
        <v>45879</v>
      </c>
      <c r="O536" s="4" t="s">
        <v>283</v>
      </c>
      <c r="P536" s="2">
        <v>4000</v>
      </c>
      <c r="Q536" s="2">
        <v>2395</v>
      </c>
      <c r="R536" s="4" t="s">
        <v>755</v>
      </c>
      <c r="S536" s="5">
        <v>62496720</v>
      </c>
    </row>
    <row r="537" spans="1:19" x14ac:dyDescent="0.25">
      <c r="A537" s="4" t="s">
        <v>61</v>
      </c>
      <c r="B537" s="4" t="s">
        <v>59</v>
      </c>
      <c r="C537" s="4" t="s">
        <v>62</v>
      </c>
      <c r="D537" s="4" t="s">
        <v>63</v>
      </c>
      <c r="E537" s="4" t="s">
        <v>127</v>
      </c>
      <c r="F537" s="4" t="s">
        <v>128</v>
      </c>
      <c r="G537" s="4" t="s">
        <v>50</v>
      </c>
      <c r="H537" s="4" t="s">
        <v>26</v>
      </c>
      <c r="I537" s="5">
        <v>65000000</v>
      </c>
      <c r="J537" s="5">
        <v>102000</v>
      </c>
      <c r="K537" s="5">
        <v>10200</v>
      </c>
      <c r="L537" s="4" t="s">
        <v>26</v>
      </c>
      <c r="M537" s="4" t="s">
        <v>26</v>
      </c>
      <c r="N537" s="3">
        <v>45879</v>
      </c>
      <c r="O537" s="4" t="s">
        <v>283</v>
      </c>
      <c r="P537" s="2">
        <v>1000</v>
      </c>
      <c r="Q537" s="2">
        <v>2398</v>
      </c>
      <c r="R537" s="4" t="s">
        <v>84</v>
      </c>
      <c r="S537" s="5">
        <v>60417600</v>
      </c>
    </row>
    <row r="538" spans="1:19" x14ac:dyDescent="0.25">
      <c r="A538" s="4" t="s">
        <v>61</v>
      </c>
      <c r="B538" s="4" t="s">
        <v>59</v>
      </c>
      <c r="C538" s="4" t="s">
        <v>62</v>
      </c>
      <c r="D538" s="4" t="s">
        <v>63</v>
      </c>
      <c r="E538" s="4" t="s">
        <v>127</v>
      </c>
      <c r="F538" s="4" t="s">
        <v>128</v>
      </c>
      <c r="G538" s="4" t="s">
        <v>50</v>
      </c>
      <c r="H538" s="4" t="s">
        <v>26</v>
      </c>
      <c r="I538" s="5">
        <v>65000000</v>
      </c>
      <c r="J538" s="5">
        <v>25500</v>
      </c>
      <c r="K538" s="5">
        <v>2550</v>
      </c>
      <c r="L538" s="4" t="s">
        <v>26</v>
      </c>
      <c r="M538" s="4" t="s">
        <v>26</v>
      </c>
      <c r="N538" s="3">
        <v>45879</v>
      </c>
      <c r="O538" s="4" t="s">
        <v>283</v>
      </c>
      <c r="P538" s="2">
        <v>2000</v>
      </c>
      <c r="Q538" s="2">
        <v>2398</v>
      </c>
      <c r="R538" s="4" t="s">
        <v>84</v>
      </c>
      <c r="S538" s="5">
        <v>60417600</v>
      </c>
    </row>
    <row r="539" spans="1:19" x14ac:dyDescent="0.25">
      <c r="A539" s="4" t="s">
        <v>61</v>
      </c>
      <c r="B539" s="4" t="s">
        <v>59</v>
      </c>
      <c r="C539" s="4" t="s">
        <v>62</v>
      </c>
      <c r="D539" s="4" t="s">
        <v>63</v>
      </c>
      <c r="E539" s="4" t="s">
        <v>310</v>
      </c>
      <c r="F539" s="4" t="s">
        <v>311</v>
      </c>
      <c r="G539" s="4" t="s">
        <v>190</v>
      </c>
      <c r="H539" s="4" t="s">
        <v>26</v>
      </c>
      <c r="I539" s="5">
        <v>90000000</v>
      </c>
      <c r="J539" s="5">
        <v>60000</v>
      </c>
      <c r="K539" s="5">
        <v>6000</v>
      </c>
      <c r="L539" s="4" t="s">
        <v>312</v>
      </c>
      <c r="M539" s="4" t="s">
        <v>313</v>
      </c>
      <c r="N539" s="3">
        <v>45879</v>
      </c>
      <c r="O539" s="4" t="s">
        <v>283</v>
      </c>
      <c r="P539" s="2">
        <v>1000</v>
      </c>
      <c r="Q539" s="2">
        <v>2400</v>
      </c>
      <c r="R539" s="4" t="s">
        <v>84</v>
      </c>
      <c r="S539" s="5">
        <v>86184030</v>
      </c>
    </row>
    <row r="540" spans="1:19" x14ac:dyDescent="0.25">
      <c r="A540" s="4" t="s">
        <v>61</v>
      </c>
      <c r="B540" s="4" t="s">
        <v>59</v>
      </c>
      <c r="C540" s="4" t="s">
        <v>62</v>
      </c>
      <c r="D540" s="4" t="s">
        <v>63</v>
      </c>
      <c r="E540" s="4" t="s">
        <v>310</v>
      </c>
      <c r="F540" s="4" t="s">
        <v>311</v>
      </c>
      <c r="G540" s="4" t="s">
        <v>190</v>
      </c>
      <c r="H540" s="4" t="s">
        <v>26</v>
      </c>
      <c r="I540" s="5">
        <v>90000000</v>
      </c>
      <c r="J540" s="5">
        <v>100000</v>
      </c>
      <c r="K540" s="5">
        <v>10000</v>
      </c>
      <c r="L540" s="4" t="s">
        <v>312</v>
      </c>
      <c r="M540" s="4" t="s">
        <v>313</v>
      </c>
      <c r="N540" s="3">
        <v>45879</v>
      </c>
      <c r="O540" s="4" t="s">
        <v>283</v>
      </c>
      <c r="P540" s="2">
        <v>2000</v>
      </c>
      <c r="Q540" s="2">
        <v>2400</v>
      </c>
      <c r="R540" s="4" t="s">
        <v>84</v>
      </c>
      <c r="S540" s="5">
        <v>86184030</v>
      </c>
    </row>
    <row r="541" spans="1:19" x14ac:dyDescent="0.25">
      <c r="A541" s="4" t="s">
        <v>61</v>
      </c>
      <c r="B541" s="4" t="s">
        <v>59</v>
      </c>
      <c r="C541" s="4" t="s">
        <v>62</v>
      </c>
      <c r="D541" s="4" t="s">
        <v>63</v>
      </c>
      <c r="E541" s="4" t="s">
        <v>310</v>
      </c>
      <c r="F541" s="4" t="s">
        <v>311</v>
      </c>
      <c r="G541" s="4" t="s">
        <v>190</v>
      </c>
      <c r="H541" s="4" t="s">
        <v>26</v>
      </c>
      <c r="I541" s="5">
        <v>90000000</v>
      </c>
      <c r="J541" s="5">
        <v>119000</v>
      </c>
      <c r="K541" s="5">
        <v>11900</v>
      </c>
      <c r="L541" s="4" t="s">
        <v>312</v>
      </c>
      <c r="M541" s="4" t="s">
        <v>313</v>
      </c>
      <c r="N541" s="3">
        <v>45879</v>
      </c>
      <c r="O541" s="4" t="s">
        <v>283</v>
      </c>
      <c r="P541" s="2">
        <v>3000</v>
      </c>
      <c r="Q541" s="2">
        <v>2400</v>
      </c>
      <c r="R541" s="4" t="s">
        <v>768</v>
      </c>
      <c r="S541" s="5">
        <v>86184030</v>
      </c>
    </row>
    <row r="542" spans="1:19" x14ac:dyDescent="0.25">
      <c r="A542" s="4" t="s">
        <v>61</v>
      </c>
      <c r="B542" s="4" t="s">
        <v>59</v>
      </c>
      <c r="C542" s="4" t="s">
        <v>62</v>
      </c>
      <c r="D542" s="4" t="s">
        <v>63</v>
      </c>
      <c r="E542" s="4" t="s">
        <v>386</v>
      </c>
      <c r="F542" s="4" t="s">
        <v>387</v>
      </c>
      <c r="G542" s="4" t="s">
        <v>50</v>
      </c>
      <c r="H542" s="4" t="s">
        <v>26</v>
      </c>
      <c r="I542" s="5">
        <v>65000000</v>
      </c>
      <c r="J542" s="5">
        <v>45000</v>
      </c>
      <c r="K542" s="5">
        <v>4500</v>
      </c>
      <c r="L542" s="4" t="s">
        <v>26</v>
      </c>
      <c r="M542" s="4" t="s">
        <v>26</v>
      </c>
      <c r="N542" s="3">
        <v>45878</v>
      </c>
      <c r="O542" s="4" t="s">
        <v>532</v>
      </c>
      <c r="P542" s="2">
        <v>1000</v>
      </c>
      <c r="Q542" s="2">
        <v>2403</v>
      </c>
      <c r="R542" s="4" t="s">
        <v>84</v>
      </c>
      <c r="S542" s="5">
        <v>63916900</v>
      </c>
    </row>
    <row r="543" spans="1:19" x14ac:dyDescent="0.25">
      <c r="A543" s="4" t="s">
        <v>61</v>
      </c>
      <c r="B543" s="4" t="s">
        <v>59</v>
      </c>
      <c r="C543" s="4" t="s">
        <v>62</v>
      </c>
      <c r="D543" s="4" t="s">
        <v>63</v>
      </c>
      <c r="E543" s="4" t="s">
        <v>359</v>
      </c>
      <c r="F543" s="4" t="s">
        <v>360</v>
      </c>
      <c r="G543" s="4" t="s">
        <v>50</v>
      </c>
      <c r="H543" s="4" t="s">
        <v>26</v>
      </c>
      <c r="I543" s="5">
        <v>65000000</v>
      </c>
      <c r="J543" s="5">
        <v>420000</v>
      </c>
      <c r="K543" s="5">
        <v>42000</v>
      </c>
      <c r="L543" s="4" t="s">
        <v>594</v>
      </c>
      <c r="M543" s="4" t="s">
        <v>595</v>
      </c>
      <c r="N543" s="3">
        <v>45885</v>
      </c>
      <c r="O543" s="4" t="s">
        <v>587</v>
      </c>
      <c r="P543" s="2">
        <v>1000</v>
      </c>
      <c r="Q543" s="2">
        <v>2403</v>
      </c>
      <c r="R543" s="4" t="s">
        <v>26</v>
      </c>
      <c r="S543" s="5">
        <v>60590420</v>
      </c>
    </row>
    <row r="544" spans="1:19" x14ac:dyDescent="0.25">
      <c r="A544" s="4" t="s">
        <v>61</v>
      </c>
      <c r="B544" s="4" t="s">
        <v>59</v>
      </c>
      <c r="C544" s="4" t="s">
        <v>62</v>
      </c>
      <c r="D544" s="4" t="s">
        <v>63</v>
      </c>
      <c r="E544" s="4" t="s">
        <v>386</v>
      </c>
      <c r="F544" s="4" t="s">
        <v>387</v>
      </c>
      <c r="G544" s="4" t="s">
        <v>50</v>
      </c>
      <c r="H544" s="4" t="s">
        <v>26</v>
      </c>
      <c r="I544" s="5">
        <v>65000000</v>
      </c>
      <c r="J544" s="5">
        <v>50000</v>
      </c>
      <c r="K544" s="5">
        <v>5000</v>
      </c>
      <c r="L544" s="4" t="s">
        <v>26</v>
      </c>
      <c r="M544" s="4" t="s">
        <v>26</v>
      </c>
      <c r="N544" s="3">
        <v>45878</v>
      </c>
      <c r="O544" s="4" t="s">
        <v>532</v>
      </c>
      <c r="P544" s="2">
        <v>2000</v>
      </c>
      <c r="Q544" s="2">
        <v>2403</v>
      </c>
      <c r="R544" s="4" t="s">
        <v>84</v>
      </c>
      <c r="S544" s="5">
        <v>63916900</v>
      </c>
    </row>
    <row r="545" spans="1:19" x14ac:dyDescent="0.25">
      <c r="A545" s="4" t="s">
        <v>61</v>
      </c>
      <c r="B545" s="4" t="s">
        <v>59</v>
      </c>
      <c r="C545" s="4" t="s">
        <v>62</v>
      </c>
      <c r="D545" s="4" t="s">
        <v>63</v>
      </c>
      <c r="E545" s="4" t="s">
        <v>359</v>
      </c>
      <c r="F545" s="4" t="s">
        <v>360</v>
      </c>
      <c r="G545" s="4" t="s">
        <v>50</v>
      </c>
      <c r="H545" s="4" t="s">
        <v>26</v>
      </c>
      <c r="I545" s="5">
        <v>65000000</v>
      </c>
      <c r="J545" s="5">
        <v>340000</v>
      </c>
      <c r="K545" s="5">
        <v>34000</v>
      </c>
      <c r="L545" s="4" t="s">
        <v>594</v>
      </c>
      <c r="M545" s="4" t="s">
        <v>595</v>
      </c>
      <c r="N545" s="3">
        <v>45885</v>
      </c>
      <c r="O545" s="4" t="s">
        <v>587</v>
      </c>
      <c r="P545" s="2">
        <v>2000</v>
      </c>
      <c r="Q545" s="2">
        <v>2403</v>
      </c>
      <c r="R545" s="4" t="s">
        <v>26</v>
      </c>
      <c r="S545" s="5">
        <v>60590420</v>
      </c>
    </row>
    <row r="546" spans="1:19" x14ac:dyDescent="0.25">
      <c r="A546" s="4" t="s">
        <v>61</v>
      </c>
      <c r="B546" s="4" t="s">
        <v>59</v>
      </c>
      <c r="C546" s="4" t="s">
        <v>62</v>
      </c>
      <c r="D546" s="4" t="s">
        <v>63</v>
      </c>
      <c r="E546" s="4" t="s">
        <v>386</v>
      </c>
      <c r="F546" s="4" t="s">
        <v>387</v>
      </c>
      <c r="G546" s="4" t="s">
        <v>50</v>
      </c>
      <c r="H546" s="4" t="s">
        <v>26</v>
      </c>
      <c r="I546" s="5">
        <v>65000000</v>
      </c>
      <c r="J546" s="5">
        <v>15000</v>
      </c>
      <c r="K546" s="5">
        <v>1500</v>
      </c>
      <c r="L546" s="4" t="s">
        <v>26</v>
      </c>
      <c r="M546" s="4" t="s">
        <v>26</v>
      </c>
      <c r="N546" s="3">
        <v>45878</v>
      </c>
      <c r="O546" s="4" t="s">
        <v>532</v>
      </c>
      <c r="P546" s="2">
        <v>3000</v>
      </c>
      <c r="Q546" s="2">
        <v>2403</v>
      </c>
      <c r="R546" s="4" t="s">
        <v>749</v>
      </c>
      <c r="S546" s="5">
        <v>63916900</v>
      </c>
    </row>
    <row r="547" spans="1:19" x14ac:dyDescent="0.25">
      <c r="A547" s="4" t="s">
        <v>61</v>
      </c>
      <c r="B547" s="4" t="s">
        <v>59</v>
      </c>
      <c r="C547" s="4" t="s">
        <v>62</v>
      </c>
      <c r="D547" s="4" t="s">
        <v>63</v>
      </c>
      <c r="E547" s="4" t="s">
        <v>494</v>
      </c>
      <c r="F547" s="4" t="s">
        <v>495</v>
      </c>
      <c r="G547" s="4" t="s">
        <v>199</v>
      </c>
      <c r="H547" s="4" t="s">
        <v>26</v>
      </c>
      <c r="I547" s="5">
        <v>65000000</v>
      </c>
      <c r="J547" s="5">
        <v>81000</v>
      </c>
      <c r="K547" s="5">
        <v>8100</v>
      </c>
      <c r="L547" s="4" t="s">
        <v>26</v>
      </c>
      <c r="M547" s="4" t="s">
        <v>26</v>
      </c>
      <c r="N547" s="3">
        <v>45877</v>
      </c>
      <c r="O547" s="4" t="s">
        <v>565</v>
      </c>
      <c r="P547" s="2">
        <v>1000</v>
      </c>
      <c r="Q547" s="2">
        <v>2409</v>
      </c>
      <c r="R547" s="4" t="s">
        <v>749</v>
      </c>
      <c r="S547" s="5">
        <v>55802760</v>
      </c>
    </row>
    <row r="548" spans="1:19" x14ac:dyDescent="0.25">
      <c r="A548" s="4" t="s">
        <v>61</v>
      </c>
      <c r="B548" s="4" t="s">
        <v>59</v>
      </c>
      <c r="C548" s="4" t="s">
        <v>62</v>
      </c>
      <c r="D548" s="4" t="s">
        <v>63</v>
      </c>
      <c r="E548" s="4" t="s">
        <v>284</v>
      </c>
      <c r="F548" s="4" t="s">
        <v>285</v>
      </c>
      <c r="G548" s="4" t="s">
        <v>286</v>
      </c>
      <c r="H548" s="4" t="s">
        <v>26</v>
      </c>
      <c r="I548" s="5">
        <v>110000000</v>
      </c>
      <c r="J548" s="5">
        <v>265000</v>
      </c>
      <c r="K548" s="5">
        <v>26500</v>
      </c>
      <c r="L548" s="4" t="s">
        <v>596</v>
      </c>
      <c r="M548" s="4" t="s">
        <v>597</v>
      </c>
      <c r="N548" s="3">
        <v>45889</v>
      </c>
      <c r="O548" s="4" t="s">
        <v>626</v>
      </c>
      <c r="P548" s="2">
        <v>1000</v>
      </c>
      <c r="Q548" s="2">
        <v>2427</v>
      </c>
      <c r="R548" s="4" t="s">
        <v>763</v>
      </c>
      <c r="S548" s="5">
        <v>108405000</v>
      </c>
    </row>
    <row r="549" spans="1:19" x14ac:dyDescent="0.25">
      <c r="A549" s="4" t="s">
        <v>61</v>
      </c>
      <c r="B549" s="4" t="s">
        <v>59</v>
      </c>
      <c r="C549" s="4" t="s">
        <v>62</v>
      </c>
      <c r="D549" s="4" t="s">
        <v>63</v>
      </c>
      <c r="E549" s="4" t="s">
        <v>284</v>
      </c>
      <c r="F549" s="4" t="s">
        <v>285</v>
      </c>
      <c r="G549" s="4" t="s">
        <v>286</v>
      </c>
      <c r="H549" s="4" t="s">
        <v>26</v>
      </c>
      <c r="I549" s="5">
        <v>110000000</v>
      </c>
      <c r="J549" s="5">
        <v>480000</v>
      </c>
      <c r="K549" s="5">
        <v>48000</v>
      </c>
      <c r="L549" s="4" t="s">
        <v>596</v>
      </c>
      <c r="M549" s="4" t="s">
        <v>597</v>
      </c>
      <c r="N549" s="3">
        <v>45889</v>
      </c>
      <c r="O549" s="4" t="s">
        <v>626</v>
      </c>
      <c r="P549" s="2">
        <v>2000</v>
      </c>
      <c r="Q549" s="2">
        <v>2427</v>
      </c>
      <c r="R549" s="4" t="s">
        <v>763</v>
      </c>
      <c r="S549" s="5">
        <v>108405000</v>
      </c>
    </row>
    <row r="550" spans="1:19" x14ac:dyDescent="0.25">
      <c r="A550" s="4" t="s">
        <v>61</v>
      </c>
      <c r="B550" s="4" t="s">
        <v>59</v>
      </c>
      <c r="C550" s="4" t="s">
        <v>62</v>
      </c>
      <c r="D550" s="4" t="s">
        <v>63</v>
      </c>
      <c r="E550" s="4" t="s">
        <v>608</v>
      </c>
      <c r="F550" s="4" t="s">
        <v>609</v>
      </c>
      <c r="G550" s="4" t="s">
        <v>419</v>
      </c>
      <c r="H550" s="4" t="s">
        <v>26</v>
      </c>
      <c r="I550" s="5">
        <v>155000000</v>
      </c>
      <c r="J550" s="5">
        <v>853300</v>
      </c>
      <c r="K550" s="5">
        <v>85330</v>
      </c>
      <c r="L550" s="4" t="s">
        <v>610</v>
      </c>
      <c r="M550" s="4" t="s">
        <v>611</v>
      </c>
      <c r="N550" s="3">
        <v>45877</v>
      </c>
      <c r="O550" s="4" t="s">
        <v>716</v>
      </c>
      <c r="P550" s="2">
        <v>1000</v>
      </c>
      <c r="Q550" s="2">
        <v>2444</v>
      </c>
      <c r="R550" s="4" t="s">
        <v>26</v>
      </c>
      <c r="S550" s="5">
        <v>148509830</v>
      </c>
    </row>
    <row r="551" spans="1:19" x14ac:dyDescent="0.25">
      <c r="A551" s="4" t="s">
        <v>61</v>
      </c>
      <c r="B551" s="4" t="s">
        <v>59</v>
      </c>
      <c r="C551" s="4" t="s">
        <v>62</v>
      </c>
      <c r="D551" s="4" t="s">
        <v>63</v>
      </c>
      <c r="E551" s="4" t="s">
        <v>608</v>
      </c>
      <c r="F551" s="4" t="s">
        <v>609</v>
      </c>
      <c r="G551" s="4" t="s">
        <v>419</v>
      </c>
      <c r="H551" s="4" t="s">
        <v>26</v>
      </c>
      <c r="I551" s="5">
        <v>155000000</v>
      </c>
      <c r="J551" s="5">
        <v>237300</v>
      </c>
      <c r="K551" s="5">
        <v>23730</v>
      </c>
      <c r="L551" s="4" t="s">
        <v>610</v>
      </c>
      <c r="M551" s="4" t="s">
        <v>611</v>
      </c>
      <c r="N551" s="3">
        <v>45877</v>
      </c>
      <c r="O551" s="4" t="s">
        <v>716</v>
      </c>
      <c r="P551" s="2">
        <v>2000</v>
      </c>
      <c r="Q551" s="2">
        <v>2444</v>
      </c>
      <c r="R551" s="4" t="s">
        <v>26</v>
      </c>
      <c r="S551" s="5">
        <v>148509830</v>
      </c>
    </row>
    <row r="552" spans="1:19" x14ac:dyDescent="0.25">
      <c r="A552" s="4" t="s">
        <v>61</v>
      </c>
      <c r="B552" s="4" t="s">
        <v>59</v>
      </c>
      <c r="C552" s="4" t="s">
        <v>62</v>
      </c>
      <c r="D552" s="4" t="s">
        <v>63</v>
      </c>
      <c r="E552" s="4" t="s">
        <v>714</v>
      </c>
      <c r="F552" s="4" t="s">
        <v>715</v>
      </c>
      <c r="G552" s="4" t="s">
        <v>190</v>
      </c>
      <c r="H552" s="4" t="s">
        <v>26</v>
      </c>
      <c r="I552" s="5">
        <v>90000000</v>
      </c>
      <c r="J552" s="5">
        <v>216000</v>
      </c>
      <c r="K552" s="5">
        <v>21600</v>
      </c>
      <c r="L552" s="4" t="s">
        <v>26</v>
      </c>
      <c r="M552" s="4" t="s">
        <v>26</v>
      </c>
      <c r="N552" s="3">
        <v>45900</v>
      </c>
      <c r="O552" s="4" t="s">
        <v>709</v>
      </c>
      <c r="P552" s="2">
        <v>1000</v>
      </c>
      <c r="Q552" s="2">
        <v>2462</v>
      </c>
      <c r="R552" s="4" t="s">
        <v>769</v>
      </c>
      <c r="S552" s="5">
        <v>89784000</v>
      </c>
    </row>
    <row r="553" spans="1:19" x14ac:dyDescent="0.25">
      <c r="A553" s="4" t="s">
        <v>61</v>
      </c>
      <c r="B553" s="4" t="s">
        <v>59</v>
      </c>
      <c r="C553" s="4" t="s">
        <v>62</v>
      </c>
      <c r="D553" s="4" t="s">
        <v>63</v>
      </c>
      <c r="E553" s="4" t="s">
        <v>334</v>
      </c>
      <c r="F553" s="4" t="s">
        <v>335</v>
      </c>
      <c r="G553" s="4" t="s">
        <v>222</v>
      </c>
      <c r="H553" s="4" t="s">
        <v>26</v>
      </c>
      <c r="I553" s="5">
        <v>110000000</v>
      </c>
      <c r="J553" s="5">
        <v>810000</v>
      </c>
      <c r="K553" s="5">
        <v>81000</v>
      </c>
      <c r="L553" s="4" t="s">
        <v>336</v>
      </c>
      <c r="M553" s="4" t="s">
        <v>337</v>
      </c>
      <c r="N553" s="3">
        <v>45900</v>
      </c>
      <c r="O553" s="4" t="s">
        <v>709</v>
      </c>
      <c r="P553" s="2">
        <v>1000</v>
      </c>
      <c r="Q553" s="2">
        <v>2467</v>
      </c>
      <c r="R553" s="4" t="s">
        <v>758</v>
      </c>
      <c r="S553" s="5">
        <v>101184670</v>
      </c>
    </row>
    <row r="554" spans="1:19" x14ac:dyDescent="0.25">
      <c r="A554" s="4" t="s">
        <v>61</v>
      </c>
      <c r="B554" s="4" t="s">
        <v>59</v>
      </c>
      <c r="C554" s="4" t="s">
        <v>62</v>
      </c>
      <c r="D554" s="4" t="s">
        <v>63</v>
      </c>
      <c r="E554" s="4" t="s">
        <v>478</v>
      </c>
      <c r="F554" s="4" t="s">
        <v>479</v>
      </c>
      <c r="G554" s="4" t="s">
        <v>100</v>
      </c>
      <c r="H554" s="4" t="s">
        <v>26</v>
      </c>
      <c r="I554" s="5">
        <v>65000000</v>
      </c>
      <c r="J554" s="5">
        <v>408680</v>
      </c>
      <c r="K554" s="5">
        <v>40868</v>
      </c>
      <c r="L554" s="4" t="s">
        <v>439</v>
      </c>
      <c r="M554" s="4" t="s">
        <v>440</v>
      </c>
      <c r="N554" s="3">
        <v>45889</v>
      </c>
      <c r="O554" s="4" t="s">
        <v>698</v>
      </c>
      <c r="P554" s="2">
        <v>1000</v>
      </c>
      <c r="Q554" s="2">
        <v>2484</v>
      </c>
      <c r="R554" s="4" t="s">
        <v>758</v>
      </c>
      <c r="S554" s="5">
        <v>64142640</v>
      </c>
    </row>
    <row r="555" spans="1:19" x14ac:dyDescent="0.25">
      <c r="A555" s="4" t="s">
        <v>61</v>
      </c>
      <c r="B555" s="4" t="s">
        <v>59</v>
      </c>
      <c r="C555" s="4" t="s">
        <v>62</v>
      </c>
      <c r="D555" s="4" t="s">
        <v>63</v>
      </c>
      <c r="E555" s="4" t="s">
        <v>478</v>
      </c>
      <c r="F555" s="4" t="s">
        <v>479</v>
      </c>
      <c r="G555" s="4" t="s">
        <v>100</v>
      </c>
      <c r="H555" s="4" t="s">
        <v>26</v>
      </c>
      <c r="I555" s="5">
        <v>65000000</v>
      </c>
      <c r="J555" s="5">
        <v>408680</v>
      </c>
      <c r="K555" s="5">
        <v>40868</v>
      </c>
      <c r="L555" s="4" t="s">
        <v>439</v>
      </c>
      <c r="M555" s="4" t="s">
        <v>440</v>
      </c>
      <c r="N555" s="3">
        <v>45889</v>
      </c>
      <c r="O555" s="4" t="s">
        <v>698</v>
      </c>
      <c r="P555" s="2">
        <v>2000</v>
      </c>
      <c r="Q555" s="2">
        <v>2484</v>
      </c>
      <c r="R555" s="4" t="s">
        <v>758</v>
      </c>
      <c r="S555" s="5">
        <v>64142640</v>
      </c>
    </row>
    <row r="556" spans="1:19" x14ac:dyDescent="0.25">
      <c r="A556" s="4" t="s">
        <v>61</v>
      </c>
      <c r="B556" s="4" t="s">
        <v>59</v>
      </c>
      <c r="C556" s="4" t="s">
        <v>62</v>
      </c>
      <c r="D556" s="4" t="s">
        <v>63</v>
      </c>
      <c r="E556" s="4" t="s">
        <v>255</v>
      </c>
      <c r="F556" s="4" t="s">
        <v>256</v>
      </c>
      <c r="G556" s="4" t="s">
        <v>144</v>
      </c>
      <c r="H556" s="4" t="s">
        <v>26</v>
      </c>
      <c r="I556" s="5">
        <v>90000000</v>
      </c>
      <c r="J556" s="5">
        <v>1200000</v>
      </c>
      <c r="K556" s="5">
        <v>120000</v>
      </c>
      <c r="L556" s="4" t="s">
        <v>612</v>
      </c>
      <c r="M556" s="4" t="s">
        <v>613</v>
      </c>
      <c r="N556" s="3">
        <v>45892</v>
      </c>
      <c r="O556" s="4" t="s">
        <v>605</v>
      </c>
      <c r="P556" s="2">
        <v>1000</v>
      </c>
      <c r="Q556" s="2">
        <v>2487</v>
      </c>
      <c r="R556" s="4" t="s">
        <v>759</v>
      </c>
      <c r="S556" s="5">
        <v>81505500</v>
      </c>
    </row>
    <row r="557" spans="1:19" x14ac:dyDescent="0.25">
      <c r="A557" s="4" t="s">
        <v>61</v>
      </c>
      <c r="B557" s="4" t="s">
        <v>59</v>
      </c>
      <c r="C557" s="4" t="s">
        <v>62</v>
      </c>
      <c r="D557" s="4" t="s">
        <v>63</v>
      </c>
      <c r="E557" s="4" t="s">
        <v>255</v>
      </c>
      <c r="F557" s="4" t="s">
        <v>256</v>
      </c>
      <c r="G557" s="4" t="s">
        <v>144</v>
      </c>
      <c r="H557" s="4" t="s">
        <v>26</v>
      </c>
      <c r="I557" s="5">
        <v>90000000</v>
      </c>
      <c r="J557" s="5">
        <v>580000</v>
      </c>
      <c r="K557" s="5">
        <v>58000</v>
      </c>
      <c r="L557" s="4" t="s">
        <v>612</v>
      </c>
      <c r="M557" s="4" t="s">
        <v>613</v>
      </c>
      <c r="N557" s="3">
        <v>45892</v>
      </c>
      <c r="O557" s="4" t="s">
        <v>605</v>
      </c>
      <c r="P557" s="2">
        <v>2000</v>
      </c>
      <c r="Q557" s="2">
        <v>2487</v>
      </c>
      <c r="R557" s="4" t="s">
        <v>759</v>
      </c>
      <c r="S557" s="5">
        <v>81505500</v>
      </c>
    </row>
    <row r="558" spans="1:19" x14ac:dyDescent="0.25">
      <c r="A558" s="4" t="s">
        <v>61</v>
      </c>
      <c r="B558" s="4" t="s">
        <v>59</v>
      </c>
      <c r="C558" s="4" t="s">
        <v>62</v>
      </c>
      <c r="D558" s="4" t="s">
        <v>63</v>
      </c>
      <c r="E558" s="4" t="s">
        <v>255</v>
      </c>
      <c r="F558" s="4" t="s">
        <v>256</v>
      </c>
      <c r="G558" s="4" t="s">
        <v>144</v>
      </c>
      <c r="H558" s="4" t="s">
        <v>26</v>
      </c>
      <c r="I558" s="5">
        <v>90000000</v>
      </c>
      <c r="J558" s="5">
        <v>890000</v>
      </c>
      <c r="K558" s="5">
        <v>89000</v>
      </c>
      <c r="L558" s="4" t="s">
        <v>612</v>
      </c>
      <c r="M558" s="4" t="s">
        <v>613</v>
      </c>
      <c r="N558" s="3">
        <v>45892</v>
      </c>
      <c r="O558" s="4" t="s">
        <v>605</v>
      </c>
      <c r="P558" s="2">
        <v>3000</v>
      </c>
      <c r="Q558" s="2">
        <v>2487</v>
      </c>
      <c r="R558" s="4" t="s">
        <v>759</v>
      </c>
      <c r="S558" s="5">
        <v>81505500</v>
      </c>
    </row>
    <row r="559" spans="1:19" x14ac:dyDescent="0.25">
      <c r="A559" s="4" t="s">
        <v>61</v>
      </c>
      <c r="B559" s="4" t="s">
        <v>59</v>
      </c>
      <c r="C559" s="4" t="s">
        <v>62</v>
      </c>
      <c r="D559" s="4" t="s">
        <v>63</v>
      </c>
      <c r="E559" s="4" t="s">
        <v>464</v>
      </c>
      <c r="F559" s="4" t="s">
        <v>465</v>
      </c>
      <c r="G559" s="4" t="s">
        <v>190</v>
      </c>
      <c r="H559" s="4" t="s">
        <v>26</v>
      </c>
      <c r="I559" s="5">
        <v>90000000</v>
      </c>
      <c r="J559" s="5">
        <v>99000</v>
      </c>
      <c r="K559" s="5">
        <v>9900</v>
      </c>
      <c r="L559" s="4" t="s">
        <v>466</v>
      </c>
      <c r="M559" s="4" t="s">
        <v>467</v>
      </c>
      <c r="N559" s="3">
        <v>45897</v>
      </c>
      <c r="O559" s="4" t="s">
        <v>681</v>
      </c>
      <c r="P559" s="2">
        <v>1000</v>
      </c>
      <c r="Q559" s="2">
        <v>2491</v>
      </c>
      <c r="R559" s="4" t="s">
        <v>772</v>
      </c>
      <c r="S559" s="5">
        <v>81637020</v>
      </c>
    </row>
    <row r="560" spans="1:19" x14ac:dyDescent="0.25">
      <c r="A560" s="4" t="s">
        <v>61</v>
      </c>
      <c r="B560" s="4" t="s">
        <v>59</v>
      </c>
      <c r="C560" s="4" t="s">
        <v>62</v>
      </c>
      <c r="D560" s="4" t="s">
        <v>63</v>
      </c>
      <c r="E560" s="4" t="s">
        <v>528</v>
      </c>
      <c r="F560" s="4" t="s">
        <v>529</v>
      </c>
      <c r="G560" s="4" t="s">
        <v>144</v>
      </c>
      <c r="H560" s="4" t="s">
        <v>26</v>
      </c>
      <c r="I560" s="5">
        <v>90000000</v>
      </c>
      <c r="J560" s="5">
        <v>451000</v>
      </c>
      <c r="K560" s="5">
        <v>45100</v>
      </c>
      <c r="L560" s="4" t="s">
        <v>541</v>
      </c>
      <c r="M560" s="4" t="s">
        <v>542</v>
      </c>
      <c r="N560" s="3">
        <v>45888</v>
      </c>
      <c r="O560" s="4" t="s">
        <v>732</v>
      </c>
      <c r="P560" s="2">
        <v>1000</v>
      </c>
      <c r="Q560" s="2">
        <v>2497</v>
      </c>
      <c r="R560" s="4" t="s">
        <v>604</v>
      </c>
      <c r="S560" s="5">
        <v>88125000</v>
      </c>
    </row>
    <row r="561" spans="1:19" x14ac:dyDescent="0.25">
      <c r="A561" s="4" t="s">
        <v>61</v>
      </c>
      <c r="B561" s="4" t="s">
        <v>59</v>
      </c>
      <c r="C561" s="4" t="s">
        <v>62</v>
      </c>
      <c r="D561" s="4" t="s">
        <v>63</v>
      </c>
      <c r="E561" s="4" t="s">
        <v>528</v>
      </c>
      <c r="F561" s="4" t="s">
        <v>529</v>
      </c>
      <c r="G561" s="4" t="s">
        <v>144</v>
      </c>
      <c r="H561" s="4" t="s">
        <v>26</v>
      </c>
      <c r="I561" s="5">
        <v>90000000</v>
      </c>
      <c r="J561" s="5">
        <v>346000</v>
      </c>
      <c r="K561" s="5">
        <v>34600</v>
      </c>
      <c r="L561" s="4" t="s">
        <v>541</v>
      </c>
      <c r="M561" s="4" t="s">
        <v>542</v>
      </c>
      <c r="N561" s="3">
        <v>45888</v>
      </c>
      <c r="O561" s="4" t="s">
        <v>732</v>
      </c>
      <c r="P561" s="2">
        <v>2000</v>
      </c>
      <c r="Q561" s="2">
        <v>2497</v>
      </c>
      <c r="R561" s="4" t="s">
        <v>604</v>
      </c>
      <c r="S561" s="5">
        <v>88125000</v>
      </c>
    </row>
    <row r="562" spans="1:19" x14ac:dyDescent="0.25">
      <c r="A562" s="4" t="s">
        <v>61</v>
      </c>
      <c r="B562" s="4" t="s">
        <v>59</v>
      </c>
      <c r="C562" s="4" t="s">
        <v>62</v>
      </c>
      <c r="D562" s="4" t="s">
        <v>63</v>
      </c>
      <c r="E562" s="4" t="s">
        <v>528</v>
      </c>
      <c r="F562" s="4" t="s">
        <v>529</v>
      </c>
      <c r="G562" s="4" t="s">
        <v>144</v>
      </c>
      <c r="H562" s="4" t="s">
        <v>26</v>
      </c>
      <c r="I562" s="5">
        <v>90000000</v>
      </c>
      <c r="J562" s="5">
        <v>486000</v>
      </c>
      <c r="K562" s="5">
        <v>48600</v>
      </c>
      <c r="L562" s="4" t="s">
        <v>541</v>
      </c>
      <c r="M562" s="4" t="s">
        <v>542</v>
      </c>
      <c r="N562" s="3">
        <v>45888</v>
      </c>
      <c r="O562" s="4" t="s">
        <v>732</v>
      </c>
      <c r="P562" s="2">
        <v>3000</v>
      </c>
      <c r="Q562" s="2">
        <v>2497</v>
      </c>
      <c r="R562" s="4" t="s">
        <v>604</v>
      </c>
      <c r="S562" s="5">
        <v>88125000</v>
      </c>
    </row>
    <row r="563" spans="1:19" x14ac:dyDescent="0.25">
      <c r="A563" s="4" t="s">
        <v>61</v>
      </c>
      <c r="B563" s="4" t="s">
        <v>59</v>
      </c>
      <c r="C563" s="4" t="s">
        <v>62</v>
      </c>
      <c r="D563" s="4" t="s">
        <v>63</v>
      </c>
      <c r="E563" s="4" t="s">
        <v>131</v>
      </c>
      <c r="F563" s="4" t="s">
        <v>132</v>
      </c>
      <c r="G563" s="4" t="s">
        <v>100</v>
      </c>
      <c r="H563" s="4" t="s">
        <v>26</v>
      </c>
      <c r="I563" s="5">
        <v>65000000</v>
      </c>
      <c r="J563" s="5">
        <v>34000</v>
      </c>
      <c r="K563" s="5">
        <v>3400</v>
      </c>
      <c r="L563" s="4" t="s">
        <v>133</v>
      </c>
      <c r="M563" s="4" t="s">
        <v>134</v>
      </c>
      <c r="N563" s="3">
        <v>45879</v>
      </c>
      <c r="O563" s="4" t="s">
        <v>432</v>
      </c>
      <c r="P563" s="2">
        <v>1000</v>
      </c>
      <c r="Q563" s="2">
        <v>2505</v>
      </c>
      <c r="R563" s="4" t="s">
        <v>26</v>
      </c>
      <c r="S563" s="5">
        <v>63739700</v>
      </c>
    </row>
    <row r="564" spans="1:19" x14ac:dyDescent="0.25">
      <c r="A564" s="4" t="s">
        <v>61</v>
      </c>
      <c r="B564" s="4" t="s">
        <v>59</v>
      </c>
      <c r="C564" s="4" t="s">
        <v>62</v>
      </c>
      <c r="D564" s="4" t="s">
        <v>63</v>
      </c>
      <c r="E564" s="4" t="s">
        <v>204</v>
      </c>
      <c r="F564" s="4" t="s">
        <v>205</v>
      </c>
      <c r="G564" s="4" t="s">
        <v>144</v>
      </c>
      <c r="H564" s="4" t="s">
        <v>26</v>
      </c>
      <c r="I564" s="5">
        <v>90000000</v>
      </c>
      <c r="J564" s="5">
        <v>154000</v>
      </c>
      <c r="K564" s="5">
        <v>15400</v>
      </c>
      <c r="L564" s="4" t="s">
        <v>26</v>
      </c>
      <c r="M564" s="4" t="s">
        <v>26</v>
      </c>
      <c r="N564" s="3">
        <v>45883</v>
      </c>
      <c r="O564" s="4" t="s">
        <v>663</v>
      </c>
      <c r="P564" s="2">
        <v>1000</v>
      </c>
      <c r="Q564" s="2">
        <v>2517</v>
      </c>
      <c r="R564" s="4" t="s">
        <v>752</v>
      </c>
      <c r="S564" s="5">
        <v>80677900</v>
      </c>
    </row>
    <row r="565" spans="1:19" x14ac:dyDescent="0.25">
      <c r="A565" s="4" t="s">
        <v>61</v>
      </c>
      <c r="B565" s="4" t="s">
        <v>59</v>
      </c>
      <c r="C565" s="4" t="s">
        <v>62</v>
      </c>
      <c r="D565" s="4" t="s">
        <v>63</v>
      </c>
      <c r="E565" s="4" t="s">
        <v>204</v>
      </c>
      <c r="F565" s="4" t="s">
        <v>205</v>
      </c>
      <c r="G565" s="4" t="s">
        <v>144</v>
      </c>
      <c r="H565" s="4" t="s">
        <v>26</v>
      </c>
      <c r="I565" s="5">
        <v>90000000</v>
      </c>
      <c r="J565" s="5">
        <v>154000</v>
      </c>
      <c r="K565" s="5">
        <v>15400</v>
      </c>
      <c r="L565" s="4" t="s">
        <v>26</v>
      </c>
      <c r="M565" s="4" t="s">
        <v>26</v>
      </c>
      <c r="N565" s="3">
        <v>45883</v>
      </c>
      <c r="O565" s="4" t="s">
        <v>663</v>
      </c>
      <c r="P565" s="2">
        <v>2000</v>
      </c>
      <c r="Q565" s="2">
        <v>2517</v>
      </c>
      <c r="R565" s="4" t="s">
        <v>752</v>
      </c>
      <c r="S565" s="5">
        <v>80677900</v>
      </c>
    </row>
    <row r="566" spans="1:19" x14ac:dyDescent="0.25">
      <c r="A566" s="4" t="s">
        <v>61</v>
      </c>
      <c r="B566" s="4" t="s">
        <v>59</v>
      </c>
      <c r="C566" s="4" t="s">
        <v>62</v>
      </c>
      <c r="D566" s="4" t="s">
        <v>63</v>
      </c>
      <c r="E566" s="4" t="s">
        <v>131</v>
      </c>
      <c r="F566" s="4" t="s">
        <v>132</v>
      </c>
      <c r="G566" s="4" t="s">
        <v>100</v>
      </c>
      <c r="H566" s="4" t="s">
        <v>26</v>
      </c>
      <c r="I566" s="5">
        <v>65000000</v>
      </c>
      <c r="J566" s="5">
        <v>34000</v>
      </c>
      <c r="K566" s="5">
        <v>3400</v>
      </c>
      <c r="L566" s="4" t="s">
        <v>133</v>
      </c>
      <c r="M566" s="4" t="s">
        <v>134</v>
      </c>
      <c r="N566" s="3">
        <v>45876</v>
      </c>
      <c r="O566" s="4" t="s">
        <v>459</v>
      </c>
      <c r="P566" s="2">
        <v>1000</v>
      </c>
      <c r="Q566" s="2">
        <v>2547</v>
      </c>
      <c r="R566" s="4" t="s">
        <v>84</v>
      </c>
      <c r="S566" s="5">
        <v>63739700</v>
      </c>
    </row>
    <row r="567" spans="1:19" x14ac:dyDescent="0.25">
      <c r="A567" s="4" t="s">
        <v>61</v>
      </c>
      <c r="B567" s="4" t="s">
        <v>59</v>
      </c>
      <c r="C567" s="4" t="s">
        <v>62</v>
      </c>
      <c r="D567" s="4" t="s">
        <v>63</v>
      </c>
      <c r="E567" s="4" t="s">
        <v>127</v>
      </c>
      <c r="F567" s="4" t="s">
        <v>128</v>
      </c>
      <c r="G567" s="4" t="s">
        <v>50</v>
      </c>
      <c r="H567" s="4" t="s">
        <v>26</v>
      </c>
      <c r="I567" s="5">
        <v>65000000</v>
      </c>
      <c r="J567" s="5">
        <v>55250</v>
      </c>
      <c r="K567" s="5">
        <v>5525</v>
      </c>
      <c r="L567" s="4" t="s">
        <v>26</v>
      </c>
      <c r="M567" s="4" t="s">
        <v>26</v>
      </c>
      <c r="N567" s="3">
        <v>45879</v>
      </c>
      <c r="O567" s="4" t="s">
        <v>432</v>
      </c>
      <c r="P567" s="2">
        <v>1000</v>
      </c>
      <c r="Q567" s="2">
        <v>2559</v>
      </c>
      <c r="R567" s="4" t="s">
        <v>747</v>
      </c>
      <c r="S567" s="5">
        <v>60417600</v>
      </c>
    </row>
    <row r="568" spans="1:19" x14ac:dyDescent="0.25">
      <c r="A568" s="4" t="s">
        <v>61</v>
      </c>
      <c r="B568" s="4" t="s">
        <v>59</v>
      </c>
      <c r="C568" s="4" t="s">
        <v>62</v>
      </c>
      <c r="D568" s="4" t="s">
        <v>63</v>
      </c>
      <c r="E568" s="4" t="s">
        <v>255</v>
      </c>
      <c r="F568" s="4" t="s">
        <v>256</v>
      </c>
      <c r="G568" s="4" t="s">
        <v>144</v>
      </c>
      <c r="H568" s="4" t="s">
        <v>26</v>
      </c>
      <c r="I568" s="5">
        <v>90000000</v>
      </c>
      <c r="J568" s="5">
        <v>233250</v>
      </c>
      <c r="K568" s="5">
        <v>23325</v>
      </c>
      <c r="L568" s="4" t="s">
        <v>281</v>
      </c>
      <c r="M568" s="4" t="s">
        <v>282</v>
      </c>
      <c r="N568" s="3">
        <v>45888</v>
      </c>
      <c r="O568" s="4" t="s">
        <v>732</v>
      </c>
      <c r="P568" s="2">
        <v>1000</v>
      </c>
      <c r="Q568" s="2">
        <v>2563</v>
      </c>
      <c r="R568" s="4" t="s">
        <v>604</v>
      </c>
      <c r="S568" s="5">
        <v>81505500</v>
      </c>
    </row>
    <row r="569" spans="1:19" x14ac:dyDescent="0.25">
      <c r="A569" s="4" t="s">
        <v>61</v>
      </c>
      <c r="B569" s="4" t="s">
        <v>59</v>
      </c>
      <c r="C569" s="4" t="s">
        <v>62</v>
      </c>
      <c r="D569" s="4" t="s">
        <v>63</v>
      </c>
      <c r="E569" s="4" t="s">
        <v>255</v>
      </c>
      <c r="F569" s="4" t="s">
        <v>256</v>
      </c>
      <c r="G569" s="4" t="s">
        <v>144</v>
      </c>
      <c r="H569" s="4" t="s">
        <v>26</v>
      </c>
      <c r="I569" s="5">
        <v>90000000</v>
      </c>
      <c r="J569" s="5">
        <v>233250</v>
      </c>
      <c r="K569" s="5">
        <v>23325</v>
      </c>
      <c r="L569" s="4" t="s">
        <v>281</v>
      </c>
      <c r="M569" s="4" t="s">
        <v>282</v>
      </c>
      <c r="N569" s="3">
        <v>45888</v>
      </c>
      <c r="O569" s="4" t="s">
        <v>732</v>
      </c>
      <c r="P569" s="2">
        <v>2000</v>
      </c>
      <c r="Q569" s="2">
        <v>2563</v>
      </c>
      <c r="R569" s="4" t="s">
        <v>604</v>
      </c>
      <c r="S569" s="5">
        <v>81505500</v>
      </c>
    </row>
    <row r="570" spans="1:19" x14ac:dyDescent="0.25">
      <c r="A570" s="4" t="s">
        <v>61</v>
      </c>
      <c r="B570" s="4" t="s">
        <v>59</v>
      </c>
      <c r="C570" s="4" t="s">
        <v>62</v>
      </c>
      <c r="D570" s="4" t="s">
        <v>63</v>
      </c>
      <c r="E570" s="4" t="s">
        <v>89</v>
      </c>
      <c r="F570" s="4" t="s">
        <v>90</v>
      </c>
      <c r="G570" s="4" t="s">
        <v>91</v>
      </c>
      <c r="H570" s="4" t="s">
        <v>26</v>
      </c>
      <c r="I570" s="5">
        <v>65000000</v>
      </c>
      <c r="J570" s="5">
        <v>60000</v>
      </c>
      <c r="K570" s="5">
        <v>6000</v>
      </c>
      <c r="L570" s="4" t="s">
        <v>26</v>
      </c>
      <c r="M570" s="4" t="s">
        <v>26</v>
      </c>
      <c r="N570" s="3">
        <v>45879</v>
      </c>
      <c r="O570" s="4" t="s">
        <v>432</v>
      </c>
      <c r="P570" s="2">
        <v>1000</v>
      </c>
      <c r="Q570" s="2">
        <v>2573</v>
      </c>
      <c r="R570" s="4" t="s">
        <v>84</v>
      </c>
      <c r="S570" s="5">
        <v>60891200</v>
      </c>
    </row>
    <row r="571" spans="1:19" x14ac:dyDescent="0.25">
      <c r="A571" s="4" t="s">
        <v>61</v>
      </c>
      <c r="B571" s="4" t="s">
        <v>59</v>
      </c>
      <c r="C571" s="4" t="s">
        <v>62</v>
      </c>
      <c r="D571" s="4" t="s">
        <v>63</v>
      </c>
      <c r="E571" s="4" t="s">
        <v>89</v>
      </c>
      <c r="F571" s="4" t="s">
        <v>90</v>
      </c>
      <c r="G571" s="4" t="s">
        <v>91</v>
      </c>
      <c r="H571" s="4" t="s">
        <v>26</v>
      </c>
      <c r="I571" s="5">
        <v>65000000</v>
      </c>
      <c r="J571" s="5">
        <v>8000</v>
      </c>
      <c r="K571" s="5">
        <v>800</v>
      </c>
      <c r="L571" s="4" t="s">
        <v>26</v>
      </c>
      <c r="M571" s="4" t="s">
        <v>26</v>
      </c>
      <c r="N571" s="3">
        <v>45879</v>
      </c>
      <c r="O571" s="4" t="s">
        <v>432</v>
      </c>
      <c r="P571" s="2">
        <v>2000</v>
      </c>
      <c r="Q571" s="2">
        <v>2573</v>
      </c>
      <c r="R571" s="4" t="s">
        <v>84</v>
      </c>
      <c r="S571" s="5">
        <v>60891200</v>
      </c>
    </row>
    <row r="572" spans="1:19" x14ac:dyDescent="0.25">
      <c r="A572" s="4" t="s">
        <v>61</v>
      </c>
      <c r="B572" s="4" t="s">
        <v>59</v>
      </c>
      <c r="C572" s="4" t="s">
        <v>62</v>
      </c>
      <c r="D572" s="4" t="s">
        <v>63</v>
      </c>
      <c r="E572" s="4" t="s">
        <v>180</v>
      </c>
      <c r="F572" s="4" t="s">
        <v>181</v>
      </c>
      <c r="G572" s="4" t="s">
        <v>91</v>
      </c>
      <c r="H572" s="4" t="s">
        <v>26</v>
      </c>
      <c r="I572" s="5">
        <v>65000000</v>
      </c>
      <c r="J572" s="5">
        <v>350000</v>
      </c>
      <c r="K572" s="5">
        <v>35000</v>
      </c>
      <c r="L572" s="4" t="s">
        <v>182</v>
      </c>
      <c r="M572" s="4" t="s">
        <v>183</v>
      </c>
      <c r="N572" s="3">
        <v>45874</v>
      </c>
      <c r="O572" s="4" t="s">
        <v>154</v>
      </c>
      <c r="P572" s="2">
        <v>1000</v>
      </c>
      <c r="Q572" s="2">
        <v>2574</v>
      </c>
      <c r="R572" s="4" t="s">
        <v>26</v>
      </c>
      <c r="S572" s="5">
        <v>60970400</v>
      </c>
    </row>
    <row r="573" spans="1:19" x14ac:dyDescent="0.25">
      <c r="A573" s="4" t="s">
        <v>61</v>
      </c>
      <c r="B573" s="4" t="s">
        <v>59</v>
      </c>
      <c r="C573" s="4" t="s">
        <v>62</v>
      </c>
      <c r="D573" s="4" t="s">
        <v>63</v>
      </c>
      <c r="E573" s="4" t="s">
        <v>127</v>
      </c>
      <c r="F573" s="4" t="s">
        <v>128</v>
      </c>
      <c r="G573" s="4" t="s">
        <v>50</v>
      </c>
      <c r="H573" s="4" t="s">
        <v>26</v>
      </c>
      <c r="I573" s="5">
        <v>65000000</v>
      </c>
      <c r="J573" s="5">
        <v>83300</v>
      </c>
      <c r="K573" s="5">
        <v>8330</v>
      </c>
      <c r="L573" s="4" t="s">
        <v>129</v>
      </c>
      <c r="M573" s="4" t="s">
        <v>130</v>
      </c>
      <c r="N573" s="3">
        <v>45879</v>
      </c>
      <c r="O573" s="4" t="s">
        <v>432</v>
      </c>
      <c r="P573" s="2">
        <v>1000</v>
      </c>
      <c r="Q573" s="2">
        <v>2579</v>
      </c>
      <c r="R573" s="4" t="s">
        <v>26</v>
      </c>
      <c r="S573" s="5">
        <v>60417600</v>
      </c>
    </row>
    <row r="574" spans="1:19" x14ac:dyDescent="0.25">
      <c r="A574" s="4" t="s">
        <v>61</v>
      </c>
      <c r="B574" s="4" t="s">
        <v>59</v>
      </c>
      <c r="C574" s="4" t="s">
        <v>62</v>
      </c>
      <c r="D574" s="4" t="s">
        <v>63</v>
      </c>
      <c r="E574" s="4" t="s">
        <v>127</v>
      </c>
      <c r="F574" s="4" t="s">
        <v>128</v>
      </c>
      <c r="G574" s="4" t="s">
        <v>50</v>
      </c>
      <c r="H574" s="4" t="s">
        <v>26</v>
      </c>
      <c r="I574" s="5">
        <v>65000000</v>
      </c>
      <c r="J574" s="5">
        <v>70550</v>
      </c>
      <c r="K574" s="5">
        <v>7055</v>
      </c>
      <c r="L574" s="4" t="s">
        <v>129</v>
      </c>
      <c r="M574" s="4" t="s">
        <v>130</v>
      </c>
      <c r="N574" s="3">
        <v>45879</v>
      </c>
      <c r="O574" s="4" t="s">
        <v>432</v>
      </c>
      <c r="P574" s="2">
        <v>2000</v>
      </c>
      <c r="Q574" s="2">
        <v>2579</v>
      </c>
      <c r="R574" s="4" t="s">
        <v>26</v>
      </c>
      <c r="S574" s="5">
        <v>60417600</v>
      </c>
    </row>
    <row r="575" spans="1:19" x14ac:dyDescent="0.25">
      <c r="A575" s="4" t="s">
        <v>61</v>
      </c>
      <c r="B575" s="4" t="s">
        <v>59</v>
      </c>
      <c r="C575" s="4" t="s">
        <v>62</v>
      </c>
      <c r="D575" s="4" t="s">
        <v>63</v>
      </c>
      <c r="E575" s="4" t="s">
        <v>127</v>
      </c>
      <c r="F575" s="4" t="s">
        <v>128</v>
      </c>
      <c r="G575" s="4" t="s">
        <v>50</v>
      </c>
      <c r="H575" s="4" t="s">
        <v>26</v>
      </c>
      <c r="I575" s="5">
        <v>65000000</v>
      </c>
      <c r="J575" s="5">
        <v>28900</v>
      </c>
      <c r="K575" s="5">
        <v>2890</v>
      </c>
      <c r="L575" s="4" t="s">
        <v>129</v>
      </c>
      <c r="M575" s="4" t="s">
        <v>130</v>
      </c>
      <c r="N575" s="3">
        <v>45879</v>
      </c>
      <c r="O575" s="4" t="s">
        <v>432</v>
      </c>
      <c r="P575" s="2">
        <v>3000</v>
      </c>
      <c r="Q575" s="2">
        <v>2579</v>
      </c>
      <c r="R575" s="4" t="s">
        <v>26</v>
      </c>
      <c r="S575" s="5">
        <v>60417600</v>
      </c>
    </row>
    <row r="576" spans="1:19" x14ac:dyDescent="0.25">
      <c r="A576" s="4" t="s">
        <v>61</v>
      </c>
      <c r="B576" s="4" t="s">
        <v>59</v>
      </c>
      <c r="C576" s="4" t="s">
        <v>62</v>
      </c>
      <c r="D576" s="4" t="s">
        <v>63</v>
      </c>
      <c r="E576" s="4" t="s">
        <v>127</v>
      </c>
      <c r="F576" s="4" t="s">
        <v>128</v>
      </c>
      <c r="G576" s="4" t="s">
        <v>50</v>
      </c>
      <c r="H576" s="4" t="s">
        <v>26</v>
      </c>
      <c r="I576" s="5">
        <v>65000000</v>
      </c>
      <c r="J576" s="5">
        <v>23800</v>
      </c>
      <c r="K576" s="5">
        <v>2380</v>
      </c>
      <c r="L576" s="4" t="s">
        <v>433</v>
      </c>
      <c r="M576" s="4" t="s">
        <v>434</v>
      </c>
      <c r="N576" s="3">
        <v>45879</v>
      </c>
      <c r="O576" s="4" t="s">
        <v>432</v>
      </c>
      <c r="P576" s="2">
        <v>1000</v>
      </c>
      <c r="Q576" s="2">
        <v>2580</v>
      </c>
      <c r="R576" s="4" t="s">
        <v>755</v>
      </c>
      <c r="S576" s="5">
        <v>60417600</v>
      </c>
    </row>
    <row r="577" spans="1:19" x14ac:dyDescent="0.25">
      <c r="A577" s="4" t="s">
        <v>61</v>
      </c>
      <c r="B577" s="4" t="s">
        <v>59</v>
      </c>
      <c r="C577" s="4" t="s">
        <v>62</v>
      </c>
      <c r="D577" s="4" t="s">
        <v>63</v>
      </c>
      <c r="E577" s="4" t="s">
        <v>301</v>
      </c>
      <c r="F577" s="4" t="s">
        <v>302</v>
      </c>
      <c r="G577" s="4" t="s">
        <v>157</v>
      </c>
      <c r="H577" s="4" t="s">
        <v>26</v>
      </c>
      <c r="I577" s="5">
        <v>90000000</v>
      </c>
      <c r="J577" s="5">
        <v>70550</v>
      </c>
      <c r="K577" s="5">
        <v>7055</v>
      </c>
      <c r="L577" s="4" t="s">
        <v>303</v>
      </c>
      <c r="M577" s="4" t="s">
        <v>304</v>
      </c>
      <c r="N577" s="3">
        <v>45879</v>
      </c>
      <c r="O577" s="4" t="s">
        <v>432</v>
      </c>
      <c r="P577" s="2">
        <v>1000</v>
      </c>
      <c r="Q577" s="2">
        <v>2601</v>
      </c>
      <c r="R577" s="4" t="s">
        <v>755</v>
      </c>
      <c r="S577" s="5">
        <v>86019450</v>
      </c>
    </row>
    <row r="578" spans="1:19" x14ac:dyDescent="0.25">
      <c r="A578" s="4" t="s">
        <v>61</v>
      </c>
      <c r="B578" s="4" t="s">
        <v>59</v>
      </c>
      <c r="C578" s="4" t="s">
        <v>62</v>
      </c>
      <c r="D578" s="4" t="s">
        <v>63</v>
      </c>
      <c r="E578" s="4" t="s">
        <v>301</v>
      </c>
      <c r="F578" s="4" t="s">
        <v>302</v>
      </c>
      <c r="G578" s="4" t="s">
        <v>157</v>
      </c>
      <c r="H578" s="4" t="s">
        <v>26</v>
      </c>
      <c r="I578" s="5">
        <v>90000000</v>
      </c>
      <c r="J578" s="5">
        <v>79900</v>
      </c>
      <c r="K578" s="5">
        <v>7990</v>
      </c>
      <c r="L578" s="4" t="s">
        <v>303</v>
      </c>
      <c r="M578" s="4" t="s">
        <v>304</v>
      </c>
      <c r="N578" s="3">
        <v>45879</v>
      </c>
      <c r="O578" s="4" t="s">
        <v>432</v>
      </c>
      <c r="P578" s="2">
        <v>2000</v>
      </c>
      <c r="Q578" s="2">
        <v>2601</v>
      </c>
      <c r="R578" s="4" t="s">
        <v>755</v>
      </c>
      <c r="S578" s="5">
        <v>86019450</v>
      </c>
    </row>
    <row r="579" spans="1:19" x14ac:dyDescent="0.25">
      <c r="A579" s="4" t="s">
        <v>61</v>
      </c>
      <c r="B579" s="4" t="s">
        <v>59</v>
      </c>
      <c r="C579" s="4" t="s">
        <v>62</v>
      </c>
      <c r="D579" s="4" t="s">
        <v>63</v>
      </c>
      <c r="E579" s="4" t="s">
        <v>301</v>
      </c>
      <c r="F579" s="4" t="s">
        <v>302</v>
      </c>
      <c r="G579" s="4" t="s">
        <v>157</v>
      </c>
      <c r="H579" s="4" t="s">
        <v>26</v>
      </c>
      <c r="I579" s="5">
        <v>90000000</v>
      </c>
      <c r="J579" s="5">
        <v>4250</v>
      </c>
      <c r="K579" s="5">
        <v>425</v>
      </c>
      <c r="L579" s="4" t="s">
        <v>303</v>
      </c>
      <c r="M579" s="4" t="s">
        <v>304</v>
      </c>
      <c r="N579" s="3">
        <v>45879</v>
      </c>
      <c r="O579" s="4" t="s">
        <v>432</v>
      </c>
      <c r="P579" s="2">
        <v>3000</v>
      </c>
      <c r="Q579" s="2">
        <v>2601</v>
      </c>
      <c r="R579" s="4" t="s">
        <v>755</v>
      </c>
      <c r="S579" s="5">
        <v>86019450</v>
      </c>
    </row>
    <row r="580" spans="1:19" x14ac:dyDescent="0.25">
      <c r="A580" s="4" t="s">
        <v>61</v>
      </c>
      <c r="B580" s="4" t="s">
        <v>59</v>
      </c>
      <c r="C580" s="4" t="s">
        <v>62</v>
      </c>
      <c r="D580" s="4" t="s">
        <v>63</v>
      </c>
      <c r="E580" s="4" t="s">
        <v>301</v>
      </c>
      <c r="F580" s="4" t="s">
        <v>302</v>
      </c>
      <c r="G580" s="4" t="s">
        <v>157</v>
      </c>
      <c r="H580" s="4" t="s">
        <v>26</v>
      </c>
      <c r="I580" s="5">
        <v>90000000</v>
      </c>
      <c r="J580" s="5">
        <v>9350</v>
      </c>
      <c r="K580" s="5">
        <v>935</v>
      </c>
      <c r="L580" s="4" t="s">
        <v>303</v>
      </c>
      <c r="M580" s="4" t="s">
        <v>304</v>
      </c>
      <c r="N580" s="3">
        <v>45879</v>
      </c>
      <c r="O580" s="4" t="s">
        <v>432</v>
      </c>
      <c r="P580" s="2">
        <v>4000</v>
      </c>
      <c r="Q580" s="2">
        <v>2601</v>
      </c>
      <c r="R580" s="4" t="s">
        <v>755</v>
      </c>
      <c r="S580" s="5">
        <v>86019450</v>
      </c>
    </row>
    <row r="581" spans="1:19" x14ac:dyDescent="0.25">
      <c r="A581" s="4" t="s">
        <v>61</v>
      </c>
      <c r="B581" s="4" t="s">
        <v>59</v>
      </c>
      <c r="C581" s="4" t="s">
        <v>62</v>
      </c>
      <c r="D581" s="4" t="s">
        <v>63</v>
      </c>
      <c r="E581" s="4" t="s">
        <v>359</v>
      </c>
      <c r="F581" s="4" t="s">
        <v>360</v>
      </c>
      <c r="G581" s="4" t="s">
        <v>50</v>
      </c>
      <c r="H581" s="4" t="s">
        <v>26</v>
      </c>
      <c r="I581" s="5">
        <v>65000000</v>
      </c>
      <c r="J581" s="5">
        <v>72000</v>
      </c>
      <c r="K581" s="5">
        <v>7200</v>
      </c>
      <c r="L581" s="4" t="s">
        <v>26</v>
      </c>
      <c r="M581" s="4" t="s">
        <v>26</v>
      </c>
      <c r="N581" s="3">
        <v>45892</v>
      </c>
      <c r="O581" s="4" t="s">
        <v>605</v>
      </c>
      <c r="P581" s="2">
        <v>1000</v>
      </c>
      <c r="Q581" s="2">
        <v>2613</v>
      </c>
      <c r="R581" s="4" t="s">
        <v>756</v>
      </c>
      <c r="S581" s="5">
        <v>60590420</v>
      </c>
    </row>
    <row r="582" spans="1:19" x14ac:dyDescent="0.25">
      <c r="A582" s="4" t="s">
        <v>61</v>
      </c>
      <c r="B582" s="4" t="s">
        <v>59</v>
      </c>
      <c r="C582" s="4" t="s">
        <v>62</v>
      </c>
      <c r="D582" s="4" t="s">
        <v>63</v>
      </c>
      <c r="E582" s="4" t="s">
        <v>359</v>
      </c>
      <c r="F582" s="4" t="s">
        <v>360</v>
      </c>
      <c r="G582" s="4" t="s">
        <v>50</v>
      </c>
      <c r="H582" s="4" t="s">
        <v>26</v>
      </c>
      <c r="I582" s="5">
        <v>65000000</v>
      </c>
      <c r="J582" s="5">
        <v>72000</v>
      </c>
      <c r="K582" s="5">
        <v>7200</v>
      </c>
      <c r="L582" s="4" t="s">
        <v>26</v>
      </c>
      <c r="M582" s="4" t="s">
        <v>26</v>
      </c>
      <c r="N582" s="3">
        <v>45892</v>
      </c>
      <c r="O582" s="4" t="s">
        <v>605</v>
      </c>
      <c r="P582" s="2">
        <v>2000</v>
      </c>
      <c r="Q582" s="2">
        <v>2613</v>
      </c>
      <c r="R582" s="4" t="s">
        <v>756</v>
      </c>
      <c r="S582" s="5">
        <v>60590420</v>
      </c>
    </row>
    <row r="583" spans="1:19" x14ac:dyDescent="0.25">
      <c r="A583" s="4" t="s">
        <v>61</v>
      </c>
      <c r="B583" s="4" t="s">
        <v>59</v>
      </c>
      <c r="C583" s="4" t="s">
        <v>62</v>
      </c>
      <c r="D583" s="4" t="s">
        <v>63</v>
      </c>
      <c r="E583" s="4" t="s">
        <v>69</v>
      </c>
      <c r="F583" s="4" t="s">
        <v>70</v>
      </c>
      <c r="G583" s="4" t="s">
        <v>71</v>
      </c>
      <c r="H583" s="4" t="s">
        <v>26</v>
      </c>
      <c r="I583" s="5">
        <v>155000000</v>
      </c>
      <c r="J583" s="5">
        <v>16500</v>
      </c>
      <c r="K583" s="5">
        <v>1650</v>
      </c>
      <c r="L583" s="4" t="s">
        <v>72</v>
      </c>
      <c r="M583" s="4" t="s">
        <v>73</v>
      </c>
      <c r="N583" s="3">
        <v>45875</v>
      </c>
      <c r="O583" s="4" t="s">
        <v>154</v>
      </c>
      <c r="P583" s="2">
        <v>1000</v>
      </c>
      <c r="Q583" s="2">
        <v>2620</v>
      </c>
      <c r="R583" s="4" t="s">
        <v>749</v>
      </c>
      <c r="S583" s="5">
        <v>143018000</v>
      </c>
    </row>
    <row r="584" spans="1:19" x14ac:dyDescent="0.25">
      <c r="A584" s="4" t="s">
        <v>61</v>
      </c>
      <c r="B584" s="4" t="s">
        <v>59</v>
      </c>
      <c r="C584" s="4" t="s">
        <v>62</v>
      </c>
      <c r="D584" s="4" t="s">
        <v>63</v>
      </c>
      <c r="E584" s="4" t="s">
        <v>69</v>
      </c>
      <c r="F584" s="4" t="s">
        <v>70</v>
      </c>
      <c r="G584" s="4" t="s">
        <v>71</v>
      </c>
      <c r="H584" s="4" t="s">
        <v>26</v>
      </c>
      <c r="I584" s="5">
        <v>155000000</v>
      </c>
      <c r="J584" s="5">
        <v>36500</v>
      </c>
      <c r="K584" s="5">
        <v>3650</v>
      </c>
      <c r="L584" s="4" t="s">
        <v>72</v>
      </c>
      <c r="M584" s="4" t="s">
        <v>73</v>
      </c>
      <c r="N584" s="3">
        <v>45875</v>
      </c>
      <c r="O584" s="4" t="s">
        <v>154</v>
      </c>
      <c r="P584" s="2">
        <v>2000</v>
      </c>
      <c r="Q584" s="2">
        <v>2620</v>
      </c>
      <c r="R584" s="4" t="s">
        <v>749</v>
      </c>
      <c r="S584" s="5">
        <v>143018000</v>
      </c>
    </row>
    <row r="585" spans="1:19" x14ac:dyDescent="0.25">
      <c r="A585" s="4" t="s">
        <v>61</v>
      </c>
      <c r="B585" s="4" t="s">
        <v>59</v>
      </c>
      <c r="C585" s="4" t="s">
        <v>62</v>
      </c>
      <c r="D585" s="4" t="s">
        <v>63</v>
      </c>
      <c r="E585" s="4" t="s">
        <v>69</v>
      </c>
      <c r="F585" s="4" t="s">
        <v>70</v>
      </c>
      <c r="G585" s="4" t="s">
        <v>71</v>
      </c>
      <c r="H585" s="4" t="s">
        <v>26</v>
      </c>
      <c r="I585" s="5">
        <v>155000000</v>
      </c>
      <c r="J585" s="5">
        <v>36500</v>
      </c>
      <c r="K585" s="5">
        <v>3650</v>
      </c>
      <c r="L585" s="4" t="s">
        <v>72</v>
      </c>
      <c r="M585" s="4" t="s">
        <v>73</v>
      </c>
      <c r="N585" s="3">
        <v>45875</v>
      </c>
      <c r="O585" s="4" t="s">
        <v>154</v>
      </c>
      <c r="P585" s="2">
        <v>3000</v>
      </c>
      <c r="Q585" s="2">
        <v>2620</v>
      </c>
      <c r="R585" s="4" t="s">
        <v>749</v>
      </c>
      <c r="S585" s="5">
        <v>143018000</v>
      </c>
    </row>
    <row r="586" spans="1:19" x14ac:dyDescent="0.25">
      <c r="A586" s="4" t="s">
        <v>61</v>
      </c>
      <c r="B586" s="4" t="s">
        <v>59</v>
      </c>
      <c r="C586" s="4" t="s">
        <v>62</v>
      </c>
      <c r="D586" s="4" t="s">
        <v>63</v>
      </c>
      <c r="E586" s="4" t="s">
        <v>69</v>
      </c>
      <c r="F586" s="4" t="s">
        <v>70</v>
      </c>
      <c r="G586" s="4" t="s">
        <v>71</v>
      </c>
      <c r="H586" s="4" t="s">
        <v>26</v>
      </c>
      <c r="I586" s="5">
        <v>155000000</v>
      </c>
      <c r="J586" s="5">
        <v>-16500</v>
      </c>
      <c r="K586" s="5">
        <v>-1650</v>
      </c>
      <c r="L586" s="4" t="s">
        <v>72</v>
      </c>
      <c r="M586" s="4" t="s">
        <v>73</v>
      </c>
      <c r="N586" s="3">
        <v>45875</v>
      </c>
      <c r="O586" s="4" t="s">
        <v>154</v>
      </c>
      <c r="P586" s="2">
        <v>1000</v>
      </c>
      <c r="Q586" s="2">
        <v>2623</v>
      </c>
      <c r="R586" s="4" t="s">
        <v>749</v>
      </c>
      <c r="S586" s="5">
        <v>143018000</v>
      </c>
    </row>
    <row r="587" spans="1:19" x14ac:dyDescent="0.25">
      <c r="A587" s="4" t="s">
        <v>61</v>
      </c>
      <c r="B587" s="4" t="s">
        <v>59</v>
      </c>
      <c r="C587" s="4" t="s">
        <v>62</v>
      </c>
      <c r="D587" s="4" t="s">
        <v>63</v>
      </c>
      <c r="E587" s="4" t="s">
        <v>69</v>
      </c>
      <c r="F587" s="4" t="s">
        <v>70</v>
      </c>
      <c r="G587" s="4" t="s">
        <v>71</v>
      </c>
      <c r="H587" s="4" t="s">
        <v>26</v>
      </c>
      <c r="I587" s="5">
        <v>155000000</v>
      </c>
      <c r="J587" s="5">
        <v>-36500</v>
      </c>
      <c r="K587" s="5">
        <v>-3650</v>
      </c>
      <c r="L587" s="4" t="s">
        <v>72</v>
      </c>
      <c r="M587" s="4" t="s">
        <v>73</v>
      </c>
      <c r="N587" s="3">
        <v>45875</v>
      </c>
      <c r="O587" s="4" t="s">
        <v>154</v>
      </c>
      <c r="P587" s="2">
        <v>2000</v>
      </c>
      <c r="Q587" s="2">
        <v>2623</v>
      </c>
      <c r="R587" s="4" t="s">
        <v>749</v>
      </c>
      <c r="S587" s="5">
        <v>143018000</v>
      </c>
    </row>
    <row r="588" spans="1:19" x14ac:dyDescent="0.25">
      <c r="A588" s="4" t="s">
        <v>61</v>
      </c>
      <c r="B588" s="4" t="s">
        <v>59</v>
      </c>
      <c r="C588" s="4" t="s">
        <v>62</v>
      </c>
      <c r="D588" s="4" t="s">
        <v>63</v>
      </c>
      <c r="E588" s="4" t="s">
        <v>69</v>
      </c>
      <c r="F588" s="4" t="s">
        <v>70</v>
      </c>
      <c r="G588" s="4" t="s">
        <v>71</v>
      </c>
      <c r="H588" s="4" t="s">
        <v>26</v>
      </c>
      <c r="I588" s="5">
        <v>155000000</v>
      </c>
      <c r="J588" s="5">
        <v>-36500</v>
      </c>
      <c r="K588" s="5">
        <v>-3650</v>
      </c>
      <c r="L588" s="4" t="s">
        <v>72</v>
      </c>
      <c r="M588" s="4" t="s">
        <v>73</v>
      </c>
      <c r="N588" s="3">
        <v>45875</v>
      </c>
      <c r="O588" s="4" t="s">
        <v>154</v>
      </c>
      <c r="P588" s="2">
        <v>3000</v>
      </c>
      <c r="Q588" s="2">
        <v>2623</v>
      </c>
      <c r="R588" s="4" t="s">
        <v>749</v>
      </c>
      <c r="S588" s="5">
        <v>143018000</v>
      </c>
    </row>
    <row r="589" spans="1:19" x14ac:dyDescent="0.25">
      <c r="A589" s="4" t="s">
        <v>61</v>
      </c>
      <c r="B589" s="4" t="s">
        <v>59</v>
      </c>
      <c r="C589" s="4" t="s">
        <v>62</v>
      </c>
      <c r="D589" s="4" t="s">
        <v>63</v>
      </c>
      <c r="E589" s="4" t="s">
        <v>69</v>
      </c>
      <c r="F589" s="4" t="s">
        <v>70</v>
      </c>
      <c r="G589" s="4" t="s">
        <v>71</v>
      </c>
      <c r="H589" s="4" t="s">
        <v>26</v>
      </c>
      <c r="I589" s="5">
        <v>155000000</v>
      </c>
      <c r="J589" s="5">
        <v>16500</v>
      </c>
      <c r="K589" s="5">
        <v>1650</v>
      </c>
      <c r="L589" s="4" t="s">
        <v>72</v>
      </c>
      <c r="M589" s="4" t="s">
        <v>73</v>
      </c>
      <c r="N589" s="3">
        <v>45875</v>
      </c>
      <c r="O589" s="4" t="s">
        <v>154</v>
      </c>
      <c r="P589" s="2">
        <v>1000</v>
      </c>
      <c r="Q589" s="2">
        <v>2626</v>
      </c>
      <c r="R589" s="4" t="s">
        <v>749</v>
      </c>
      <c r="S589" s="5">
        <v>143018000</v>
      </c>
    </row>
    <row r="590" spans="1:19" x14ac:dyDescent="0.25">
      <c r="A590" s="4" t="s">
        <v>61</v>
      </c>
      <c r="B590" s="4" t="s">
        <v>59</v>
      </c>
      <c r="C590" s="4" t="s">
        <v>62</v>
      </c>
      <c r="D590" s="4" t="s">
        <v>63</v>
      </c>
      <c r="E590" s="4" t="s">
        <v>69</v>
      </c>
      <c r="F590" s="4" t="s">
        <v>70</v>
      </c>
      <c r="G590" s="4" t="s">
        <v>71</v>
      </c>
      <c r="H590" s="4" t="s">
        <v>26</v>
      </c>
      <c r="I590" s="5">
        <v>155000000</v>
      </c>
      <c r="J590" s="5">
        <v>36500</v>
      </c>
      <c r="K590" s="5">
        <v>3650</v>
      </c>
      <c r="L590" s="4" t="s">
        <v>72</v>
      </c>
      <c r="M590" s="4" t="s">
        <v>73</v>
      </c>
      <c r="N590" s="3">
        <v>45875</v>
      </c>
      <c r="O590" s="4" t="s">
        <v>154</v>
      </c>
      <c r="P590" s="2">
        <v>2000</v>
      </c>
      <c r="Q590" s="2">
        <v>2626</v>
      </c>
      <c r="R590" s="4" t="s">
        <v>749</v>
      </c>
      <c r="S590" s="5">
        <v>143018000</v>
      </c>
    </row>
    <row r="591" spans="1:19" x14ac:dyDescent="0.25">
      <c r="A591" s="4" t="s">
        <v>61</v>
      </c>
      <c r="B591" s="4" t="s">
        <v>59</v>
      </c>
      <c r="C591" s="4" t="s">
        <v>62</v>
      </c>
      <c r="D591" s="4" t="s">
        <v>63</v>
      </c>
      <c r="E591" s="4" t="s">
        <v>69</v>
      </c>
      <c r="F591" s="4" t="s">
        <v>70</v>
      </c>
      <c r="G591" s="4" t="s">
        <v>71</v>
      </c>
      <c r="H591" s="4" t="s">
        <v>26</v>
      </c>
      <c r="I591" s="5">
        <v>155000000</v>
      </c>
      <c r="J591" s="5">
        <v>36500</v>
      </c>
      <c r="K591" s="5">
        <v>3650</v>
      </c>
      <c r="L591" s="4" t="s">
        <v>72</v>
      </c>
      <c r="M591" s="4" t="s">
        <v>73</v>
      </c>
      <c r="N591" s="3">
        <v>45875</v>
      </c>
      <c r="O591" s="4" t="s">
        <v>154</v>
      </c>
      <c r="P591" s="2">
        <v>3000</v>
      </c>
      <c r="Q591" s="2">
        <v>2626</v>
      </c>
      <c r="R591" s="4" t="s">
        <v>749</v>
      </c>
      <c r="S591" s="5">
        <v>143018000</v>
      </c>
    </row>
    <row r="592" spans="1:19" x14ac:dyDescent="0.25">
      <c r="A592" s="4" t="s">
        <v>61</v>
      </c>
      <c r="B592" s="4" t="s">
        <v>59</v>
      </c>
      <c r="C592" s="4" t="s">
        <v>62</v>
      </c>
      <c r="D592" s="4" t="s">
        <v>63</v>
      </c>
      <c r="E592" s="4" t="s">
        <v>334</v>
      </c>
      <c r="F592" s="4" t="s">
        <v>335</v>
      </c>
      <c r="G592" s="4" t="s">
        <v>222</v>
      </c>
      <c r="H592" s="4" t="s">
        <v>26</v>
      </c>
      <c r="I592" s="5">
        <v>110000000</v>
      </c>
      <c r="J592" s="5">
        <v>46200</v>
      </c>
      <c r="K592" s="5">
        <v>4620</v>
      </c>
      <c r="L592" s="4" t="s">
        <v>336</v>
      </c>
      <c r="M592" s="4" t="s">
        <v>337</v>
      </c>
      <c r="N592" s="3">
        <v>45880</v>
      </c>
      <c r="O592" s="4" t="s">
        <v>283</v>
      </c>
      <c r="P592" s="2">
        <v>1000</v>
      </c>
      <c r="Q592" s="2">
        <v>2633</v>
      </c>
      <c r="R592" s="4" t="s">
        <v>26</v>
      </c>
      <c r="S592" s="5">
        <v>101184670</v>
      </c>
    </row>
    <row r="593" spans="1:19" x14ac:dyDescent="0.25">
      <c r="A593" s="4" t="s">
        <v>61</v>
      </c>
      <c r="B593" s="4" t="s">
        <v>59</v>
      </c>
      <c r="C593" s="4" t="s">
        <v>62</v>
      </c>
      <c r="D593" s="4" t="s">
        <v>63</v>
      </c>
      <c r="E593" s="4" t="s">
        <v>334</v>
      </c>
      <c r="F593" s="4" t="s">
        <v>335</v>
      </c>
      <c r="G593" s="4" t="s">
        <v>222</v>
      </c>
      <c r="H593" s="4" t="s">
        <v>26</v>
      </c>
      <c r="I593" s="5">
        <v>110000000</v>
      </c>
      <c r="J593" s="5">
        <v>42000</v>
      </c>
      <c r="K593" s="5">
        <v>4200</v>
      </c>
      <c r="L593" s="4" t="s">
        <v>336</v>
      </c>
      <c r="M593" s="4" t="s">
        <v>337</v>
      </c>
      <c r="N593" s="3">
        <v>45880</v>
      </c>
      <c r="O593" s="4" t="s">
        <v>283</v>
      </c>
      <c r="P593" s="2">
        <v>2000</v>
      </c>
      <c r="Q593" s="2">
        <v>2633</v>
      </c>
      <c r="R593" s="4" t="s">
        <v>26</v>
      </c>
      <c r="S593" s="5">
        <v>101184670</v>
      </c>
    </row>
    <row r="594" spans="1:19" x14ac:dyDescent="0.25">
      <c r="A594" s="4" t="s">
        <v>61</v>
      </c>
      <c r="B594" s="4" t="s">
        <v>59</v>
      </c>
      <c r="C594" s="4" t="s">
        <v>62</v>
      </c>
      <c r="D594" s="4" t="s">
        <v>63</v>
      </c>
      <c r="E594" s="4" t="s">
        <v>170</v>
      </c>
      <c r="F594" s="4" t="s">
        <v>171</v>
      </c>
      <c r="G594" s="4" t="s">
        <v>50</v>
      </c>
      <c r="H594" s="4" t="s">
        <v>26</v>
      </c>
      <c r="I594" s="5">
        <v>65000000</v>
      </c>
      <c r="J594" s="5">
        <v>126000</v>
      </c>
      <c r="K594" s="5">
        <v>12600</v>
      </c>
      <c r="L594" s="4" t="s">
        <v>26</v>
      </c>
      <c r="M594" s="4" t="s">
        <v>26</v>
      </c>
      <c r="N594" s="3">
        <v>45878</v>
      </c>
      <c r="O594" s="4" t="s">
        <v>565</v>
      </c>
      <c r="P594" s="2">
        <v>1000</v>
      </c>
      <c r="Q594" s="2">
        <v>2661</v>
      </c>
      <c r="R594" s="4" t="s">
        <v>749</v>
      </c>
      <c r="S594" s="5">
        <v>59051100</v>
      </c>
    </row>
    <row r="595" spans="1:19" x14ac:dyDescent="0.25">
      <c r="A595" s="4" t="s">
        <v>61</v>
      </c>
      <c r="B595" s="4" t="s">
        <v>59</v>
      </c>
      <c r="C595" s="4" t="s">
        <v>62</v>
      </c>
      <c r="D595" s="4" t="s">
        <v>63</v>
      </c>
      <c r="E595" s="4" t="s">
        <v>338</v>
      </c>
      <c r="F595" s="4" t="s">
        <v>339</v>
      </c>
      <c r="G595" s="4" t="s">
        <v>100</v>
      </c>
      <c r="H595" s="4" t="s">
        <v>26</v>
      </c>
      <c r="I595" s="5">
        <v>65000000</v>
      </c>
      <c r="J595" s="5">
        <v>88000</v>
      </c>
      <c r="K595" s="5">
        <v>8800</v>
      </c>
      <c r="L595" s="4" t="s">
        <v>340</v>
      </c>
      <c r="M595" s="4" t="s">
        <v>341</v>
      </c>
      <c r="N595" s="3">
        <v>45880</v>
      </c>
      <c r="O595" s="4" t="s">
        <v>283</v>
      </c>
      <c r="P595" s="2">
        <v>1000</v>
      </c>
      <c r="Q595" s="2">
        <v>2665</v>
      </c>
      <c r="R595" s="4" t="s">
        <v>755</v>
      </c>
      <c r="S595" s="5">
        <v>61189450</v>
      </c>
    </row>
    <row r="596" spans="1:19" x14ac:dyDescent="0.25">
      <c r="A596" s="4" t="s">
        <v>61</v>
      </c>
      <c r="B596" s="4" t="s">
        <v>59</v>
      </c>
      <c r="C596" s="4" t="s">
        <v>62</v>
      </c>
      <c r="D596" s="4" t="s">
        <v>63</v>
      </c>
      <c r="E596" s="4" t="s">
        <v>494</v>
      </c>
      <c r="F596" s="4" t="s">
        <v>495</v>
      </c>
      <c r="G596" s="4" t="s">
        <v>199</v>
      </c>
      <c r="H596" s="4" t="s">
        <v>26</v>
      </c>
      <c r="I596" s="5">
        <v>65000000</v>
      </c>
      <c r="J596" s="5">
        <v>174300</v>
      </c>
      <c r="K596" s="5">
        <v>17430</v>
      </c>
      <c r="L596" s="4" t="s">
        <v>699</v>
      </c>
      <c r="M596" s="4" t="s">
        <v>700</v>
      </c>
      <c r="N596" s="3">
        <v>45890</v>
      </c>
      <c r="O596" s="4" t="s">
        <v>732</v>
      </c>
      <c r="P596" s="2">
        <v>1000</v>
      </c>
      <c r="Q596" s="2">
        <v>2668</v>
      </c>
      <c r="R596" s="4" t="s">
        <v>754</v>
      </c>
      <c r="S596" s="5">
        <v>55802760</v>
      </c>
    </row>
    <row r="597" spans="1:19" x14ac:dyDescent="0.25">
      <c r="A597" s="4" t="s">
        <v>61</v>
      </c>
      <c r="B597" s="4" t="s">
        <v>59</v>
      </c>
      <c r="C597" s="4" t="s">
        <v>62</v>
      </c>
      <c r="D597" s="4" t="s">
        <v>63</v>
      </c>
      <c r="E597" s="4" t="s">
        <v>494</v>
      </c>
      <c r="F597" s="4" t="s">
        <v>495</v>
      </c>
      <c r="G597" s="4" t="s">
        <v>199</v>
      </c>
      <c r="H597" s="4" t="s">
        <v>26</v>
      </c>
      <c r="I597" s="5">
        <v>65000000</v>
      </c>
      <c r="J597" s="5">
        <v>119500</v>
      </c>
      <c r="K597" s="5">
        <v>11950</v>
      </c>
      <c r="L597" s="4" t="s">
        <v>699</v>
      </c>
      <c r="M597" s="4" t="s">
        <v>700</v>
      </c>
      <c r="N597" s="3">
        <v>45890</v>
      </c>
      <c r="O597" s="4" t="s">
        <v>732</v>
      </c>
      <c r="P597" s="2">
        <v>2000</v>
      </c>
      <c r="Q597" s="2">
        <v>2668</v>
      </c>
      <c r="R597" s="4" t="s">
        <v>754</v>
      </c>
      <c r="S597" s="5">
        <v>55802760</v>
      </c>
    </row>
    <row r="598" spans="1:19" x14ac:dyDescent="0.25">
      <c r="A598" s="4" t="s">
        <v>61</v>
      </c>
      <c r="B598" s="4" t="s">
        <v>59</v>
      </c>
      <c r="C598" s="4" t="s">
        <v>62</v>
      </c>
      <c r="D598" s="4" t="s">
        <v>63</v>
      </c>
      <c r="E598" s="4" t="s">
        <v>494</v>
      </c>
      <c r="F598" s="4" t="s">
        <v>495</v>
      </c>
      <c r="G598" s="4" t="s">
        <v>199</v>
      </c>
      <c r="H598" s="4" t="s">
        <v>26</v>
      </c>
      <c r="I598" s="5">
        <v>65000000</v>
      </c>
      <c r="J598" s="5">
        <v>132500</v>
      </c>
      <c r="K598" s="5">
        <v>13250</v>
      </c>
      <c r="L598" s="4" t="s">
        <v>699</v>
      </c>
      <c r="M598" s="4" t="s">
        <v>700</v>
      </c>
      <c r="N598" s="3">
        <v>45890</v>
      </c>
      <c r="O598" s="4" t="s">
        <v>732</v>
      </c>
      <c r="P598" s="2">
        <v>3000</v>
      </c>
      <c r="Q598" s="2">
        <v>2668</v>
      </c>
      <c r="R598" s="4" t="s">
        <v>754</v>
      </c>
      <c r="S598" s="5">
        <v>55802760</v>
      </c>
    </row>
    <row r="599" spans="1:19" x14ac:dyDescent="0.25">
      <c r="A599" s="4" t="s">
        <v>61</v>
      </c>
      <c r="B599" s="4" t="s">
        <v>59</v>
      </c>
      <c r="C599" s="4" t="s">
        <v>62</v>
      </c>
      <c r="D599" s="4" t="s">
        <v>63</v>
      </c>
      <c r="E599" s="4" t="s">
        <v>184</v>
      </c>
      <c r="F599" s="4" t="s">
        <v>185</v>
      </c>
      <c r="G599" s="4" t="s">
        <v>100</v>
      </c>
      <c r="H599" s="4" t="s">
        <v>26</v>
      </c>
      <c r="I599" s="5">
        <v>65000000</v>
      </c>
      <c r="J599" s="5">
        <v>165750</v>
      </c>
      <c r="K599" s="5">
        <v>16575</v>
      </c>
      <c r="L599" s="4" t="s">
        <v>186</v>
      </c>
      <c r="M599" s="4" t="s">
        <v>187</v>
      </c>
      <c r="N599" s="3">
        <v>45875</v>
      </c>
      <c r="O599" s="4" t="s">
        <v>154</v>
      </c>
      <c r="P599" s="2">
        <v>1000</v>
      </c>
      <c r="Q599" s="2">
        <v>2679</v>
      </c>
      <c r="R599" s="4" t="s">
        <v>755</v>
      </c>
      <c r="S599" s="5">
        <v>64079500</v>
      </c>
    </row>
    <row r="600" spans="1:19" x14ac:dyDescent="0.25">
      <c r="A600" s="4" t="s">
        <v>61</v>
      </c>
      <c r="B600" s="4" t="s">
        <v>59</v>
      </c>
      <c r="C600" s="4" t="s">
        <v>62</v>
      </c>
      <c r="D600" s="4" t="s">
        <v>63</v>
      </c>
      <c r="E600" s="4" t="s">
        <v>184</v>
      </c>
      <c r="F600" s="4" t="s">
        <v>185</v>
      </c>
      <c r="G600" s="4" t="s">
        <v>100</v>
      </c>
      <c r="H600" s="4" t="s">
        <v>26</v>
      </c>
      <c r="I600" s="5">
        <v>65000000</v>
      </c>
      <c r="J600" s="5">
        <v>153000</v>
      </c>
      <c r="K600" s="5">
        <v>15300</v>
      </c>
      <c r="L600" s="4" t="s">
        <v>186</v>
      </c>
      <c r="M600" s="4" t="s">
        <v>187</v>
      </c>
      <c r="N600" s="3">
        <v>45875</v>
      </c>
      <c r="O600" s="4" t="s">
        <v>154</v>
      </c>
      <c r="P600" s="2">
        <v>2000</v>
      </c>
      <c r="Q600" s="2">
        <v>2679</v>
      </c>
      <c r="R600" s="4" t="s">
        <v>755</v>
      </c>
      <c r="S600" s="5">
        <v>64079500</v>
      </c>
    </row>
    <row r="601" spans="1:19" x14ac:dyDescent="0.25">
      <c r="A601" s="4" t="s">
        <v>61</v>
      </c>
      <c r="B601" s="4" t="s">
        <v>59</v>
      </c>
      <c r="C601" s="4" t="s">
        <v>62</v>
      </c>
      <c r="D601" s="4" t="s">
        <v>63</v>
      </c>
      <c r="E601" s="4" t="s">
        <v>184</v>
      </c>
      <c r="F601" s="4" t="s">
        <v>185</v>
      </c>
      <c r="G601" s="4" t="s">
        <v>100</v>
      </c>
      <c r="H601" s="4" t="s">
        <v>26</v>
      </c>
      <c r="I601" s="5">
        <v>65000000</v>
      </c>
      <c r="J601" s="5">
        <v>140250</v>
      </c>
      <c r="K601" s="5">
        <v>14025</v>
      </c>
      <c r="L601" s="4" t="s">
        <v>186</v>
      </c>
      <c r="M601" s="4" t="s">
        <v>187</v>
      </c>
      <c r="N601" s="3">
        <v>45875</v>
      </c>
      <c r="O601" s="4" t="s">
        <v>154</v>
      </c>
      <c r="P601" s="2">
        <v>3000</v>
      </c>
      <c r="Q601" s="2">
        <v>2679</v>
      </c>
      <c r="R601" s="4" t="s">
        <v>755</v>
      </c>
      <c r="S601" s="5">
        <v>64079500</v>
      </c>
    </row>
    <row r="602" spans="1:19" x14ac:dyDescent="0.25">
      <c r="A602" s="4" t="s">
        <v>61</v>
      </c>
      <c r="B602" s="4" t="s">
        <v>59</v>
      </c>
      <c r="C602" s="4" t="s">
        <v>62</v>
      </c>
      <c r="D602" s="4" t="s">
        <v>63</v>
      </c>
      <c r="E602" s="4" t="s">
        <v>631</v>
      </c>
      <c r="F602" s="4" t="s">
        <v>632</v>
      </c>
      <c r="G602" s="4" t="s">
        <v>108</v>
      </c>
      <c r="H602" s="4" t="s">
        <v>26</v>
      </c>
      <c r="I602" s="5">
        <v>150000000</v>
      </c>
      <c r="J602" s="5">
        <v>1453000</v>
      </c>
      <c r="K602" s="5">
        <v>145300</v>
      </c>
      <c r="L602" s="4" t="s">
        <v>633</v>
      </c>
      <c r="M602" s="4" t="s">
        <v>634</v>
      </c>
      <c r="N602" s="3">
        <v>45891</v>
      </c>
      <c r="O602" s="4" t="s">
        <v>626</v>
      </c>
      <c r="P602" s="2">
        <v>1000</v>
      </c>
      <c r="Q602" s="2">
        <v>2711</v>
      </c>
      <c r="R602" s="4" t="s">
        <v>753</v>
      </c>
      <c r="S602" s="5">
        <v>148547000</v>
      </c>
    </row>
    <row r="603" spans="1:19" x14ac:dyDescent="0.25">
      <c r="A603" s="4" t="s">
        <v>61</v>
      </c>
      <c r="B603" s="4" t="s">
        <v>59</v>
      </c>
      <c r="C603" s="4" t="s">
        <v>62</v>
      </c>
      <c r="D603" s="4" t="s">
        <v>63</v>
      </c>
      <c r="E603" s="4" t="s">
        <v>314</v>
      </c>
      <c r="F603" s="4" t="s">
        <v>315</v>
      </c>
      <c r="G603" s="4" t="s">
        <v>50</v>
      </c>
      <c r="H603" s="4" t="s">
        <v>26</v>
      </c>
      <c r="I603" s="5">
        <v>65000000</v>
      </c>
      <c r="J603" s="5">
        <v>63000</v>
      </c>
      <c r="K603" s="5">
        <v>6300</v>
      </c>
      <c r="L603" s="4" t="s">
        <v>26</v>
      </c>
      <c r="M603" s="4" t="s">
        <v>26</v>
      </c>
      <c r="N603" s="3">
        <v>45877</v>
      </c>
      <c r="O603" s="4" t="s">
        <v>416</v>
      </c>
      <c r="P603" s="2">
        <v>1000</v>
      </c>
      <c r="Q603" s="2">
        <v>2725</v>
      </c>
      <c r="R603" s="4" t="s">
        <v>747</v>
      </c>
      <c r="S603" s="5">
        <v>64788500</v>
      </c>
    </row>
    <row r="604" spans="1:19" x14ac:dyDescent="0.25">
      <c r="A604" s="4" t="s">
        <v>61</v>
      </c>
      <c r="B604" s="4" t="s">
        <v>59</v>
      </c>
      <c r="C604" s="4" t="s">
        <v>62</v>
      </c>
      <c r="D604" s="4" t="s">
        <v>63</v>
      </c>
      <c r="E604" s="4" t="s">
        <v>314</v>
      </c>
      <c r="F604" s="4" t="s">
        <v>315</v>
      </c>
      <c r="G604" s="4" t="s">
        <v>50</v>
      </c>
      <c r="H604" s="4" t="s">
        <v>26</v>
      </c>
      <c r="I604" s="5">
        <v>65000000</v>
      </c>
      <c r="J604" s="5">
        <v>54000</v>
      </c>
      <c r="K604" s="5">
        <v>5400</v>
      </c>
      <c r="L604" s="4" t="s">
        <v>26</v>
      </c>
      <c r="M604" s="4" t="s">
        <v>26</v>
      </c>
      <c r="N604" s="3">
        <v>45877</v>
      </c>
      <c r="O604" s="4" t="s">
        <v>416</v>
      </c>
      <c r="P604" s="2">
        <v>2000</v>
      </c>
      <c r="Q604" s="2">
        <v>2725</v>
      </c>
      <c r="R604" s="4" t="s">
        <v>747</v>
      </c>
      <c r="S604" s="5">
        <v>64788500</v>
      </c>
    </row>
    <row r="605" spans="1:19" x14ac:dyDescent="0.25">
      <c r="A605" s="4" t="s">
        <v>61</v>
      </c>
      <c r="B605" s="4" t="s">
        <v>59</v>
      </c>
      <c r="C605" s="4" t="s">
        <v>62</v>
      </c>
      <c r="D605" s="4" t="s">
        <v>63</v>
      </c>
      <c r="E605" s="4" t="s">
        <v>314</v>
      </c>
      <c r="F605" s="4" t="s">
        <v>315</v>
      </c>
      <c r="G605" s="4" t="s">
        <v>50</v>
      </c>
      <c r="H605" s="4" t="s">
        <v>26</v>
      </c>
      <c r="I605" s="5">
        <v>65000000</v>
      </c>
      <c r="J605" s="5">
        <v>54000</v>
      </c>
      <c r="K605" s="5">
        <v>5400</v>
      </c>
      <c r="L605" s="4" t="s">
        <v>26</v>
      </c>
      <c r="M605" s="4" t="s">
        <v>26</v>
      </c>
      <c r="N605" s="3">
        <v>45877</v>
      </c>
      <c r="O605" s="4" t="s">
        <v>416</v>
      </c>
      <c r="P605" s="2">
        <v>3000</v>
      </c>
      <c r="Q605" s="2">
        <v>2725</v>
      </c>
      <c r="R605" s="4" t="s">
        <v>747</v>
      </c>
      <c r="S605" s="5">
        <v>64788500</v>
      </c>
    </row>
    <row r="606" spans="1:19" x14ac:dyDescent="0.25">
      <c r="A606" s="4" t="s">
        <v>61</v>
      </c>
      <c r="B606" s="4" t="s">
        <v>59</v>
      </c>
      <c r="C606" s="4" t="s">
        <v>62</v>
      </c>
      <c r="D606" s="4" t="s">
        <v>63</v>
      </c>
      <c r="E606" s="4" t="s">
        <v>103</v>
      </c>
      <c r="F606" s="4" t="s">
        <v>104</v>
      </c>
      <c r="G606" s="4" t="s">
        <v>105</v>
      </c>
      <c r="H606" s="4" t="s">
        <v>26</v>
      </c>
      <c r="I606" s="5">
        <v>155000000</v>
      </c>
      <c r="J606" s="5">
        <v>39200</v>
      </c>
      <c r="K606" s="5">
        <v>3920</v>
      </c>
      <c r="L606" s="4" t="s">
        <v>26</v>
      </c>
      <c r="M606" s="4" t="s">
        <v>26</v>
      </c>
      <c r="N606" s="3">
        <v>45878</v>
      </c>
      <c r="O606" s="4" t="s">
        <v>565</v>
      </c>
      <c r="P606" s="2">
        <v>1000</v>
      </c>
      <c r="Q606" s="2">
        <v>2732</v>
      </c>
      <c r="R606" s="4" t="s">
        <v>749</v>
      </c>
      <c r="S606" s="5">
        <v>150234500</v>
      </c>
    </row>
    <row r="607" spans="1:19" x14ac:dyDescent="0.25">
      <c r="A607" s="4" t="s">
        <v>61</v>
      </c>
      <c r="B607" s="4" t="s">
        <v>59</v>
      </c>
      <c r="C607" s="4" t="s">
        <v>62</v>
      </c>
      <c r="D607" s="4" t="s">
        <v>63</v>
      </c>
      <c r="E607" s="4" t="s">
        <v>443</v>
      </c>
      <c r="F607" s="4" t="s">
        <v>444</v>
      </c>
      <c r="G607" s="4" t="s">
        <v>157</v>
      </c>
      <c r="H607" s="4" t="s">
        <v>26</v>
      </c>
      <c r="I607" s="5">
        <v>90000000</v>
      </c>
      <c r="J607" s="5">
        <v>150000</v>
      </c>
      <c r="K607" s="5">
        <v>15000</v>
      </c>
      <c r="L607" s="4" t="s">
        <v>402</v>
      </c>
      <c r="M607" s="4" t="s">
        <v>403</v>
      </c>
      <c r="N607" s="3">
        <v>45897</v>
      </c>
      <c r="O607" s="4" t="s">
        <v>733</v>
      </c>
      <c r="P607" s="2">
        <v>1000</v>
      </c>
      <c r="Q607" s="2">
        <v>2738</v>
      </c>
      <c r="R607" s="4" t="s">
        <v>604</v>
      </c>
      <c r="S607" s="5">
        <v>86215260</v>
      </c>
    </row>
    <row r="608" spans="1:19" x14ac:dyDescent="0.25">
      <c r="A608" s="4" t="s">
        <v>61</v>
      </c>
      <c r="B608" s="4" t="s">
        <v>59</v>
      </c>
      <c r="C608" s="4" t="s">
        <v>62</v>
      </c>
      <c r="D608" s="4" t="s">
        <v>63</v>
      </c>
      <c r="E608" s="4" t="s">
        <v>443</v>
      </c>
      <c r="F608" s="4" t="s">
        <v>444</v>
      </c>
      <c r="G608" s="4" t="s">
        <v>157</v>
      </c>
      <c r="H608" s="4" t="s">
        <v>26</v>
      </c>
      <c r="I608" s="5">
        <v>90000000</v>
      </c>
      <c r="J608" s="5">
        <v>150000</v>
      </c>
      <c r="K608" s="5">
        <v>15000</v>
      </c>
      <c r="L608" s="4" t="s">
        <v>402</v>
      </c>
      <c r="M608" s="4" t="s">
        <v>403</v>
      </c>
      <c r="N608" s="3">
        <v>45897</v>
      </c>
      <c r="O608" s="4" t="s">
        <v>733</v>
      </c>
      <c r="P608" s="2">
        <v>2000</v>
      </c>
      <c r="Q608" s="2">
        <v>2738</v>
      </c>
      <c r="R608" s="4" t="s">
        <v>604</v>
      </c>
      <c r="S608" s="5">
        <v>86215260</v>
      </c>
    </row>
    <row r="609" spans="1:19" x14ac:dyDescent="0.25">
      <c r="A609" s="4" t="s">
        <v>61</v>
      </c>
      <c r="B609" s="4" t="s">
        <v>59</v>
      </c>
      <c r="C609" s="4" t="s">
        <v>62</v>
      </c>
      <c r="D609" s="4" t="s">
        <v>63</v>
      </c>
      <c r="E609" s="4" t="s">
        <v>443</v>
      </c>
      <c r="F609" s="4" t="s">
        <v>444</v>
      </c>
      <c r="G609" s="4" t="s">
        <v>157</v>
      </c>
      <c r="H609" s="4" t="s">
        <v>26</v>
      </c>
      <c r="I609" s="5">
        <v>90000000</v>
      </c>
      <c r="J609" s="5">
        <v>150000</v>
      </c>
      <c r="K609" s="5">
        <v>15000</v>
      </c>
      <c r="L609" s="4" t="s">
        <v>402</v>
      </c>
      <c r="M609" s="4" t="s">
        <v>403</v>
      </c>
      <c r="N609" s="3">
        <v>45897</v>
      </c>
      <c r="O609" s="4" t="s">
        <v>733</v>
      </c>
      <c r="P609" s="2">
        <v>3000</v>
      </c>
      <c r="Q609" s="2">
        <v>2738</v>
      </c>
      <c r="R609" s="4" t="s">
        <v>604</v>
      </c>
      <c r="S609" s="5">
        <v>86215260</v>
      </c>
    </row>
    <row r="610" spans="1:19" x14ac:dyDescent="0.25">
      <c r="A610" s="4" t="s">
        <v>61</v>
      </c>
      <c r="B610" s="4" t="s">
        <v>59</v>
      </c>
      <c r="C610" s="4" t="s">
        <v>62</v>
      </c>
      <c r="D610" s="4" t="s">
        <v>63</v>
      </c>
      <c r="E610" s="4" t="s">
        <v>443</v>
      </c>
      <c r="F610" s="4" t="s">
        <v>444</v>
      </c>
      <c r="G610" s="4" t="s">
        <v>157</v>
      </c>
      <c r="H610" s="4" t="s">
        <v>26</v>
      </c>
      <c r="I610" s="5">
        <v>90000000</v>
      </c>
      <c r="J610" s="5">
        <v>150000</v>
      </c>
      <c r="K610" s="5">
        <v>15000</v>
      </c>
      <c r="L610" s="4" t="s">
        <v>402</v>
      </c>
      <c r="M610" s="4" t="s">
        <v>403</v>
      </c>
      <c r="N610" s="3">
        <v>45897</v>
      </c>
      <c r="O610" s="4" t="s">
        <v>733</v>
      </c>
      <c r="P610" s="2">
        <v>4000</v>
      </c>
      <c r="Q610" s="2">
        <v>2738</v>
      </c>
      <c r="R610" s="4" t="s">
        <v>604</v>
      </c>
      <c r="S610" s="5">
        <v>86215260</v>
      </c>
    </row>
    <row r="611" spans="1:19" x14ac:dyDescent="0.25">
      <c r="A611" s="4" t="s">
        <v>61</v>
      </c>
      <c r="B611" s="4" t="s">
        <v>59</v>
      </c>
      <c r="C611" s="4" t="s">
        <v>62</v>
      </c>
      <c r="D611" s="4" t="s">
        <v>63</v>
      </c>
      <c r="E611" s="4" t="s">
        <v>443</v>
      </c>
      <c r="F611" s="4" t="s">
        <v>444</v>
      </c>
      <c r="G611" s="4" t="s">
        <v>157</v>
      </c>
      <c r="H611" s="4" t="s">
        <v>26</v>
      </c>
      <c r="I611" s="5">
        <v>90000000</v>
      </c>
      <c r="J611" s="5">
        <v>150000</v>
      </c>
      <c r="K611" s="5">
        <v>15000</v>
      </c>
      <c r="L611" s="4" t="s">
        <v>402</v>
      </c>
      <c r="M611" s="4" t="s">
        <v>403</v>
      </c>
      <c r="N611" s="3">
        <v>45897</v>
      </c>
      <c r="O611" s="4" t="s">
        <v>733</v>
      </c>
      <c r="P611" s="2">
        <v>5000</v>
      </c>
      <c r="Q611" s="2">
        <v>2738</v>
      </c>
      <c r="R611" s="4" t="s">
        <v>604</v>
      </c>
      <c r="S611" s="5">
        <v>86215260</v>
      </c>
    </row>
    <row r="612" spans="1:19" x14ac:dyDescent="0.25">
      <c r="A612" s="4" t="s">
        <v>61</v>
      </c>
      <c r="B612" s="4" t="s">
        <v>59</v>
      </c>
      <c r="C612" s="4" t="s">
        <v>62</v>
      </c>
      <c r="D612" s="4" t="s">
        <v>63</v>
      </c>
      <c r="E612" s="4" t="s">
        <v>464</v>
      </c>
      <c r="F612" s="4" t="s">
        <v>465</v>
      </c>
      <c r="G612" s="4" t="s">
        <v>190</v>
      </c>
      <c r="H612" s="4" t="s">
        <v>26</v>
      </c>
      <c r="I612" s="5">
        <v>90000000</v>
      </c>
      <c r="J612" s="5">
        <v>320000</v>
      </c>
      <c r="K612" s="5">
        <v>32000</v>
      </c>
      <c r="L612" s="4" t="s">
        <v>707</v>
      </c>
      <c r="M612" s="4" t="s">
        <v>708</v>
      </c>
      <c r="N612" s="3">
        <v>45897</v>
      </c>
      <c r="O612" s="4" t="s">
        <v>733</v>
      </c>
      <c r="P612" s="2">
        <v>1000</v>
      </c>
      <c r="Q612" s="2">
        <v>2745</v>
      </c>
      <c r="R612" s="4" t="s">
        <v>604</v>
      </c>
      <c r="S612" s="5">
        <v>81637020</v>
      </c>
    </row>
    <row r="613" spans="1:19" x14ac:dyDescent="0.25">
      <c r="A613" s="4" t="s">
        <v>61</v>
      </c>
      <c r="B613" s="4" t="s">
        <v>59</v>
      </c>
      <c r="C613" s="4" t="s">
        <v>62</v>
      </c>
      <c r="D613" s="4" t="s">
        <v>63</v>
      </c>
      <c r="E613" s="4" t="s">
        <v>464</v>
      </c>
      <c r="F613" s="4" t="s">
        <v>465</v>
      </c>
      <c r="G613" s="4" t="s">
        <v>190</v>
      </c>
      <c r="H613" s="4" t="s">
        <v>26</v>
      </c>
      <c r="I613" s="5">
        <v>90000000</v>
      </c>
      <c r="J613" s="5">
        <v>296000</v>
      </c>
      <c r="K613" s="5">
        <v>29600</v>
      </c>
      <c r="L613" s="4" t="s">
        <v>707</v>
      </c>
      <c r="M613" s="4" t="s">
        <v>708</v>
      </c>
      <c r="N613" s="3">
        <v>45897</v>
      </c>
      <c r="O613" s="4" t="s">
        <v>733</v>
      </c>
      <c r="P613" s="2">
        <v>2000</v>
      </c>
      <c r="Q613" s="2">
        <v>2745</v>
      </c>
      <c r="R613" s="4" t="s">
        <v>604</v>
      </c>
      <c r="S613" s="5">
        <v>81637020</v>
      </c>
    </row>
    <row r="614" spans="1:19" x14ac:dyDescent="0.25">
      <c r="A614" s="4" t="s">
        <v>61</v>
      </c>
      <c r="B614" s="4" t="s">
        <v>59</v>
      </c>
      <c r="C614" s="4" t="s">
        <v>62</v>
      </c>
      <c r="D614" s="4" t="s">
        <v>63</v>
      </c>
      <c r="E614" s="4" t="s">
        <v>464</v>
      </c>
      <c r="F614" s="4" t="s">
        <v>465</v>
      </c>
      <c r="G614" s="4" t="s">
        <v>190</v>
      </c>
      <c r="H614" s="4" t="s">
        <v>26</v>
      </c>
      <c r="I614" s="5">
        <v>90000000</v>
      </c>
      <c r="J614" s="5">
        <v>684000</v>
      </c>
      <c r="K614" s="5">
        <v>68400</v>
      </c>
      <c r="L614" s="4" t="s">
        <v>707</v>
      </c>
      <c r="M614" s="4" t="s">
        <v>708</v>
      </c>
      <c r="N614" s="3">
        <v>45897</v>
      </c>
      <c r="O614" s="4" t="s">
        <v>733</v>
      </c>
      <c r="P614" s="2">
        <v>3000</v>
      </c>
      <c r="Q614" s="2">
        <v>2745</v>
      </c>
      <c r="R614" s="4" t="s">
        <v>604</v>
      </c>
      <c r="S614" s="5">
        <v>81637020</v>
      </c>
    </row>
    <row r="615" spans="1:19" x14ac:dyDescent="0.25">
      <c r="A615" s="4" t="s">
        <v>61</v>
      </c>
      <c r="B615" s="4" t="s">
        <v>59</v>
      </c>
      <c r="C615" s="4" t="s">
        <v>62</v>
      </c>
      <c r="D615" s="4" t="s">
        <v>63</v>
      </c>
      <c r="E615" s="4" t="s">
        <v>464</v>
      </c>
      <c r="F615" s="4" t="s">
        <v>465</v>
      </c>
      <c r="G615" s="4" t="s">
        <v>190</v>
      </c>
      <c r="H615" s="4" t="s">
        <v>26</v>
      </c>
      <c r="I615" s="5">
        <v>90000000</v>
      </c>
      <c r="J615" s="5">
        <v>684000</v>
      </c>
      <c r="K615" s="5">
        <v>68400</v>
      </c>
      <c r="L615" s="4" t="s">
        <v>707</v>
      </c>
      <c r="M615" s="4" t="s">
        <v>708</v>
      </c>
      <c r="N615" s="3">
        <v>45897</v>
      </c>
      <c r="O615" s="4" t="s">
        <v>733</v>
      </c>
      <c r="P615" s="2">
        <v>4000</v>
      </c>
      <c r="Q615" s="2">
        <v>2745</v>
      </c>
      <c r="R615" s="4" t="s">
        <v>604</v>
      </c>
      <c r="S615" s="5">
        <v>81637020</v>
      </c>
    </row>
    <row r="616" spans="1:19" x14ac:dyDescent="0.25">
      <c r="A616" s="4" t="s">
        <v>61</v>
      </c>
      <c r="B616" s="4" t="s">
        <v>59</v>
      </c>
      <c r="C616" s="4" t="s">
        <v>62</v>
      </c>
      <c r="D616" s="4" t="s">
        <v>63</v>
      </c>
      <c r="E616" s="4" t="s">
        <v>464</v>
      </c>
      <c r="F616" s="4" t="s">
        <v>465</v>
      </c>
      <c r="G616" s="4" t="s">
        <v>190</v>
      </c>
      <c r="H616" s="4" t="s">
        <v>26</v>
      </c>
      <c r="I616" s="5">
        <v>90000000</v>
      </c>
      <c r="J616" s="5">
        <v>296000</v>
      </c>
      <c r="K616" s="5">
        <v>29600</v>
      </c>
      <c r="L616" s="4" t="s">
        <v>707</v>
      </c>
      <c r="M616" s="4" t="s">
        <v>708</v>
      </c>
      <c r="N616" s="3">
        <v>45897</v>
      </c>
      <c r="O616" s="4" t="s">
        <v>733</v>
      </c>
      <c r="P616" s="2">
        <v>5000</v>
      </c>
      <c r="Q616" s="2">
        <v>2745</v>
      </c>
      <c r="R616" s="4" t="s">
        <v>604</v>
      </c>
      <c r="S616" s="5">
        <v>81637020</v>
      </c>
    </row>
    <row r="617" spans="1:19" x14ac:dyDescent="0.25">
      <c r="A617" s="4" t="s">
        <v>61</v>
      </c>
      <c r="B617" s="4" t="s">
        <v>59</v>
      </c>
      <c r="C617" s="4" t="s">
        <v>62</v>
      </c>
      <c r="D617" s="4" t="s">
        <v>63</v>
      </c>
      <c r="E617" s="4" t="s">
        <v>464</v>
      </c>
      <c r="F617" s="4" t="s">
        <v>465</v>
      </c>
      <c r="G617" s="4" t="s">
        <v>190</v>
      </c>
      <c r="H617" s="4" t="s">
        <v>26</v>
      </c>
      <c r="I617" s="5">
        <v>90000000</v>
      </c>
      <c r="J617" s="5">
        <v>500000</v>
      </c>
      <c r="K617" s="5">
        <v>50000</v>
      </c>
      <c r="L617" s="4" t="s">
        <v>707</v>
      </c>
      <c r="M617" s="4" t="s">
        <v>708</v>
      </c>
      <c r="N617" s="3">
        <v>45897</v>
      </c>
      <c r="O617" s="4" t="s">
        <v>733</v>
      </c>
      <c r="P617" s="2">
        <v>6000</v>
      </c>
      <c r="Q617" s="2">
        <v>2745</v>
      </c>
      <c r="R617" s="4" t="s">
        <v>604</v>
      </c>
      <c r="S617" s="5">
        <v>81637020</v>
      </c>
    </row>
    <row r="618" spans="1:19" x14ac:dyDescent="0.25">
      <c r="A618" s="4" t="s">
        <v>61</v>
      </c>
      <c r="B618" s="4" t="s">
        <v>59</v>
      </c>
      <c r="C618" s="4" t="s">
        <v>62</v>
      </c>
      <c r="D618" s="4" t="s">
        <v>63</v>
      </c>
      <c r="E618" s="4" t="s">
        <v>464</v>
      </c>
      <c r="F618" s="4" t="s">
        <v>465</v>
      </c>
      <c r="G618" s="4" t="s">
        <v>190</v>
      </c>
      <c r="H618" s="4" t="s">
        <v>26</v>
      </c>
      <c r="I618" s="5">
        <v>90000000</v>
      </c>
      <c r="J618" s="5">
        <v>500000</v>
      </c>
      <c r="K618" s="5">
        <v>50000</v>
      </c>
      <c r="L618" s="4" t="s">
        <v>707</v>
      </c>
      <c r="M618" s="4" t="s">
        <v>708</v>
      </c>
      <c r="N618" s="3">
        <v>45897</v>
      </c>
      <c r="O618" s="4" t="s">
        <v>733</v>
      </c>
      <c r="P618" s="2">
        <v>7000</v>
      </c>
      <c r="Q618" s="2">
        <v>2745</v>
      </c>
      <c r="R618" s="4" t="s">
        <v>604</v>
      </c>
      <c r="S618" s="5">
        <v>81637020</v>
      </c>
    </row>
    <row r="619" spans="1:19" x14ac:dyDescent="0.25">
      <c r="A619" s="4" t="s">
        <v>61</v>
      </c>
      <c r="B619" s="4" t="s">
        <v>59</v>
      </c>
      <c r="C619" s="4" t="s">
        <v>62</v>
      </c>
      <c r="D619" s="4" t="s">
        <v>63</v>
      </c>
      <c r="E619" s="4" t="s">
        <v>464</v>
      </c>
      <c r="F619" s="4" t="s">
        <v>465</v>
      </c>
      <c r="G619" s="4" t="s">
        <v>190</v>
      </c>
      <c r="H619" s="4" t="s">
        <v>26</v>
      </c>
      <c r="I619" s="5">
        <v>90000000</v>
      </c>
      <c r="J619" s="5">
        <v>24000</v>
      </c>
      <c r="K619" s="5">
        <v>2400</v>
      </c>
      <c r="L619" s="4" t="s">
        <v>707</v>
      </c>
      <c r="M619" s="4" t="s">
        <v>708</v>
      </c>
      <c r="N619" s="3">
        <v>45897</v>
      </c>
      <c r="O619" s="4" t="s">
        <v>733</v>
      </c>
      <c r="P619" s="2">
        <v>8000</v>
      </c>
      <c r="Q619" s="2">
        <v>2745</v>
      </c>
      <c r="R619" s="4" t="s">
        <v>604</v>
      </c>
      <c r="S619" s="5">
        <v>81637020</v>
      </c>
    </row>
    <row r="620" spans="1:19" x14ac:dyDescent="0.25">
      <c r="A620" s="4" t="s">
        <v>61</v>
      </c>
      <c r="B620" s="4" t="s">
        <v>59</v>
      </c>
      <c r="C620" s="4" t="s">
        <v>62</v>
      </c>
      <c r="D620" s="4" t="s">
        <v>63</v>
      </c>
      <c r="E620" s="4" t="s">
        <v>464</v>
      </c>
      <c r="F620" s="4" t="s">
        <v>465</v>
      </c>
      <c r="G620" s="4" t="s">
        <v>190</v>
      </c>
      <c r="H620" s="4" t="s">
        <v>26</v>
      </c>
      <c r="I620" s="5">
        <v>90000000</v>
      </c>
      <c r="J620" s="5">
        <v>24000</v>
      </c>
      <c r="K620" s="5">
        <v>2400</v>
      </c>
      <c r="L620" s="4" t="s">
        <v>707</v>
      </c>
      <c r="M620" s="4" t="s">
        <v>708</v>
      </c>
      <c r="N620" s="3">
        <v>45897</v>
      </c>
      <c r="O620" s="4" t="s">
        <v>733</v>
      </c>
      <c r="P620" s="2">
        <v>9000</v>
      </c>
      <c r="Q620" s="2">
        <v>2745</v>
      </c>
      <c r="R620" s="4" t="s">
        <v>604</v>
      </c>
      <c r="S620" s="5">
        <v>81637020</v>
      </c>
    </row>
    <row r="621" spans="1:19" x14ac:dyDescent="0.25">
      <c r="A621" s="4" t="s">
        <v>61</v>
      </c>
      <c r="B621" s="4" t="s">
        <v>59</v>
      </c>
      <c r="C621" s="4" t="s">
        <v>62</v>
      </c>
      <c r="D621" s="4" t="s">
        <v>63</v>
      </c>
      <c r="E621" s="4" t="s">
        <v>464</v>
      </c>
      <c r="F621" s="4" t="s">
        <v>465</v>
      </c>
      <c r="G621" s="4" t="s">
        <v>190</v>
      </c>
      <c r="H621" s="4" t="s">
        <v>26</v>
      </c>
      <c r="I621" s="5">
        <v>90000000</v>
      </c>
      <c r="J621" s="5">
        <v>120000</v>
      </c>
      <c r="K621" s="5">
        <v>12000</v>
      </c>
      <c r="L621" s="4" t="s">
        <v>707</v>
      </c>
      <c r="M621" s="4" t="s">
        <v>708</v>
      </c>
      <c r="N621" s="3">
        <v>45897</v>
      </c>
      <c r="O621" s="4" t="s">
        <v>733</v>
      </c>
      <c r="P621" s="2">
        <v>10000</v>
      </c>
      <c r="Q621" s="2">
        <v>2745</v>
      </c>
      <c r="R621" s="4" t="s">
        <v>604</v>
      </c>
      <c r="S621" s="5">
        <v>81637020</v>
      </c>
    </row>
    <row r="622" spans="1:19" x14ac:dyDescent="0.25">
      <c r="A622" s="4" t="s">
        <v>61</v>
      </c>
      <c r="B622" s="4" t="s">
        <v>59</v>
      </c>
      <c r="C622" s="4" t="s">
        <v>62</v>
      </c>
      <c r="D622" s="4" t="s">
        <v>63</v>
      </c>
      <c r="E622" s="4" t="s">
        <v>193</v>
      </c>
      <c r="F622" s="4" t="s">
        <v>194</v>
      </c>
      <c r="G622" s="4" t="s">
        <v>105</v>
      </c>
      <c r="H622" s="4" t="s">
        <v>26</v>
      </c>
      <c r="I622" s="5">
        <v>155000000</v>
      </c>
      <c r="J622" s="5">
        <v>40500</v>
      </c>
      <c r="K622" s="5">
        <v>4050</v>
      </c>
      <c r="L622" s="4" t="s">
        <v>195</v>
      </c>
      <c r="M622" s="4" t="s">
        <v>196</v>
      </c>
      <c r="N622" s="3">
        <v>45877</v>
      </c>
      <c r="O622" s="4" t="s">
        <v>459</v>
      </c>
      <c r="P622" s="2">
        <v>1000</v>
      </c>
      <c r="Q622" s="2">
        <v>2747</v>
      </c>
      <c r="R622" s="4" t="s">
        <v>26</v>
      </c>
      <c r="S622" s="5">
        <v>149540330</v>
      </c>
    </row>
    <row r="623" spans="1:19" x14ac:dyDescent="0.25">
      <c r="A623" s="4" t="s">
        <v>61</v>
      </c>
      <c r="B623" s="4" t="s">
        <v>59</v>
      </c>
      <c r="C623" s="4" t="s">
        <v>62</v>
      </c>
      <c r="D623" s="4" t="s">
        <v>63</v>
      </c>
      <c r="E623" s="4" t="s">
        <v>464</v>
      </c>
      <c r="F623" s="4" t="s">
        <v>465</v>
      </c>
      <c r="G623" s="4" t="s">
        <v>190</v>
      </c>
      <c r="H623" s="4" t="s">
        <v>26</v>
      </c>
      <c r="I623" s="5">
        <v>90000000</v>
      </c>
      <c r="J623" s="5">
        <v>175000</v>
      </c>
      <c r="K623" s="5">
        <v>17500</v>
      </c>
      <c r="L623" s="4" t="s">
        <v>707</v>
      </c>
      <c r="M623" s="4" t="s">
        <v>708</v>
      </c>
      <c r="N623" s="3">
        <v>45897</v>
      </c>
      <c r="O623" s="4" t="s">
        <v>733</v>
      </c>
      <c r="P623" s="2">
        <v>1000</v>
      </c>
      <c r="Q623" s="2">
        <v>2747</v>
      </c>
      <c r="R623" s="4" t="s">
        <v>26</v>
      </c>
      <c r="S623" s="5">
        <v>81637020</v>
      </c>
    </row>
    <row r="624" spans="1:19" x14ac:dyDescent="0.25">
      <c r="A624" s="4" t="s">
        <v>61</v>
      </c>
      <c r="B624" s="4" t="s">
        <v>59</v>
      </c>
      <c r="C624" s="4" t="s">
        <v>62</v>
      </c>
      <c r="D624" s="4" t="s">
        <v>63</v>
      </c>
      <c r="E624" s="4" t="s">
        <v>464</v>
      </c>
      <c r="F624" s="4" t="s">
        <v>465</v>
      </c>
      <c r="G624" s="4" t="s">
        <v>190</v>
      </c>
      <c r="H624" s="4" t="s">
        <v>26</v>
      </c>
      <c r="I624" s="5">
        <v>90000000</v>
      </c>
      <c r="J624" s="5">
        <v>175000</v>
      </c>
      <c r="K624" s="5">
        <v>17500</v>
      </c>
      <c r="L624" s="4" t="s">
        <v>707</v>
      </c>
      <c r="M624" s="4" t="s">
        <v>708</v>
      </c>
      <c r="N624" s="3">
        <v>45897</v>
      </c>
      <c r="O624" s="4" t="s">
        <v>733</v>
      </c>
      <c r="P624" s="2">
        <v>2000</v>
      </c>
      <c r="Q624" s="2">
        <v>2747</v>
      </c>
      <c r="R624" s="4" t="s">
        <v>26</v>
      </c>
      <c r="S624" s="5">
        <v>81637020</v>
      </c>
    </row>
    <row r="625" spans="1:19" x14ac:dyDescent="0.25">
      <c r="A625" s="4" t="s">
        <v>61</v>
      </c>
      <c r="B625" s="4" t="s">
        <v>59</v>
      </c>
      <c r="C625" s="4" t="s">
        <v>62</v>
      </c>
      <c r="D625" s="4" t="s">
        <v>63</v>
      </c>
      <c r="E625" s="4" t="s">
        <v>464</v>
      </c>
      <c r="F625" s="4" t="s">
        <v>465</v>
      </c>
      <c r="G625" s="4" t="s">
        <v>190</v>
      </c>
      <c r="H625" s="4" t="s">
        <v>26</v>
      </c>
      <c r="I625" s="5">
        <v>90000000</v>
      </c>
      <c r="J625" s="5">
        <v>175000</v>
      </c>
      <c r="K625" s="5">
        <v>17500</v>
      </c>
      <c r="L625" s="4" t="s">
        <v>707</v>
      </c>
      <c r="M625" s="4" t="s">
        <v>708</v>
      </c>
      <c r="N625" s="3">
        <v>45897</v>
      </c>
      <c r="O625" s="4" t="s">
        <v>733</v>
      </c>
      <c r="P625" s="2">
        <v>3000</v>
      </c>
      <c r="Q625" s="2">
        <v>2747</v>
      </c>
      <c r="R625" s="4" t="s">
        <v>26</v>
      </c>
      <c r="S625" s="5">
        <v>81637020</v>
      </c>
    </row>
    <row r="626" spans="1:19" x14ac:dyDescent="0.25">
      <c r="A626" s="4" t="s">
        <v>61</v>
      </c>
      <c r="B626" s="4" t="s">
        <v>59</v>
      </c>
      <c r="C626" s="4" t="s">
        <v>62</v>
      </c>
      <c r="D626" s="4" t="s">
        <v>63</v>
      </c>
      <c r="E626" s="4" t="s">
        <v>464</v>
      </c>
      <c r="F626" s="4" t="s">
        <v>465</v>
      </c>
      <c r="G626" s="4" t="s">
        <v>190</v>
      </c>
      <c r="H626" s="4" t="s">
        <v>26</v>
      </c>
      <c r="I626" s="5">
        <v>90000000</v>
      </c>
      <c r="J626" s="5">
        <v>175000</v>
      </c>
      <c r="K626" s="5">
        <v>17500</v>
      </c>
      <c r="L626" s="4" t="s">
        <v>707</v>
      </c>
      <c r="M626" s="4" t="s">
        <v>708</v>
      </c>
      <c r="N626" s="3">
        <v>45897</v>
      </c>
      <c r="O626" s="4" t="s">
        <v>733</v>
      </c>
      <c r="P626" s="2">
        <v>4000</v>
      </c>
      <c r="Q626" s="2">
        <v>2747</v>
      </c>
      <c r="R626" s="4" t="s">
        <v>26</v>
      </c>
      <c r="S626" s="5">
        <v>81637020</v>
      </c>
    </row>
    <row r="627" spans="1:19" x14ac:dyDescent="0.25">
      <c r="A627" s="4" t="s">
        <v>61</v>
      </c>
      <c r="B627" s="4" t="s">
        <v>59</v>
      </c>
      <c r="C627" s="4" t="s">
        <v>62</v>
      </c>
      <c r="D627" s="4" t="s">
        <v>63</v>
      </c>
      <c r="E627" s="4" t="s">
        <v>74</v>
      </c>
      <c r="F627" s="4" t="s">
        <v>75</v>
      </c>
      <c r="G627" s="4" t="s">
        <v>76</v>
      </c>
      <c r="H627" s="4" t="s">
        <v>26</v>
      </c>
      <c r="I627" s="5">
        <v>110000000</v>
      </c>
      <c r="J627" s="5">
        <v>58500</v>
      </c>
      <c r="K627" s="5">
        <v>5850</v>
      </c>
      <c r="L627" s="4" t="s">
        <v>26</v>
      </c>
      <c r="M627" s="4" t="s">
        <v>26</v>
      </c>
      <c r="N627" s="3">
        <v>45877</v>
      </c>
      <c r="O627" s="4" t="s">
        <v>459</v>
      </c>
      <c r="P627" s="2">
        <v>1000</v>
      </c>
      <c r="Q627" s="2">
        <v>2749</v>
      </c>
      <c r="R627" s="4" t="s">
        <v>747</v>
      </c>
      <c r="S627" s="5">
        <v>108586000</v>
      </c>
    </row>
    <row r="628" spans="1:19" x14ac:dyDescent="0.25">
      <c r="A628" s="4" t="s">
        <v>61</v>
      </c>
      <c r="B628" s="4" t="s">
        <v>59</v>
      </c>
      <c r="C628" s="4" t="s">
        <v>62</v>
      </c>
      <c r="D628" s="4" t="s">
        <v>63</v>
      </c>
      <c r="E628" s="4" t="s">
        <v>103</v>
      </c>
      <c r="F628" s="4" t="s">
        <v>104</v>
      </c>
      <c r="G628" s="4" t="s">
        <v>105</v>
      </c>
      <c r="H628" s="4" t="s">
        <v>26</v>
      </c>
      <c r="I628" s="5">
        <v>155000000</v>
      </c>
      <c r="J628" s="5">
        <v>152100</v>
      </c>
      <c r="K628" s="5">
        <v>15210</v>
      </c>
      <c r="L628" s="4" t="s">
        <v>26</v>
      </c>
      <c r="M628" s="4" t="s">
        <v>26</v>
      </c>
      <c r="N628" s="3">
        <v>45880</v>
      </c>
      <c r="O628" s="4" t="s">
        <v>432</v>
      </c>
      <c r="P628" s="2">
        <v>1000</v>
      </c>
      <c r="Q628" s="2">
        <v>2750</v>
      </c>
      <c r="R628" s="4" t="s">
        <v>755</v>
      </c>
      <c r="S628" s="5">
        <v>150234500</v>
      </c>
    </row>
    <row r="629" spans="1:19" x14ac:dyDescent="0.25">
      <c r="A629" s="4" t="s">
        <v>61</v>
      </c>
      <c r="B629" s="4" t="s">
        <v>59</v>
      </c>
      <c r="C629" s="4" t="s">
        <v>62</v>
      </c>
      <c r="D629" s="4" t="s">
        <v>63</v>
      </c>
      <c r="E629" s="4" t="s">
        <v>103</v>
      </c>
      <c r="F629" s="4" t="s">
        <v>104</v>
      </c>
      <c r="G629" s="4" t="s">
        <v>105</v>
      </c>
      <c r="H629" s="4" t="s">
        <v>26</v>
      </c>
      <c r="I629" s="5">
        <v>155000000</v>
      </c>
      <c r="J629" s="5">
        <v>134100</v>
      </c>
      <c r="K629" s="5">
        <v>13410</v>
      </c>
      <c r="L629" s="4" t="s">
        <v>26</v>
      </c>
      <c r="M629" s="4" t="s">
        <v>26</v>
      </c>
      <c r="N629" s="3">
        <v>45880</v>
      </c>
      <c r="O629" s="4" t="s">
        <v>432</v>
      </c>
      <c r="P629" s="2">
        <v>2000</v>
      </c>
      <c r="Q629" s="2">
        <v>2750</v>
      </c>
      <c r="R629" s="4" t="s">
        <v>755</v>
      </c>
      <c r="S629" s="5">
        <v>150234500</v>
      </c>
    </row>
    <row r="630" spans="1:19" x14ac:dyDescent="0.25">
      <c r="A630" s="4" t="s">
        <v>61</v>
      </c>
      <c r="B630" s="4" t="s">
        <v>59</v>
      </c>
      <c r="C630" s="4" t="s">
        <v>62</v>
      </c>
      <c r="D630" s="4" t="s">
        <v>63</v>
      </c>
      <c r="E630" s="4" t="s">
        <v>103</v>
      </c>
      <c r="F630" s="4" t="s">
        <v>104</v>
      </c>
      <c r="G630" s="4" t="s">
        <v>105</v>
      </c>
      <c r="H630" s="4" t="s">
        <v>26</v>
      </c>
      <c r="I630" s="5">
        <v>155000000</v>
      </c>
      <c r="J630" s="5">
        <v>58500</v>
      </c>
      <c r="K630" s="5">
        <v>5850</v>
      </c>
      <c r="L630" s="4" t="s">
        <v>26</v>
      </c>
      <c r="M630" s="4" t="s">
        <v>26</v>
      </c>
      <c r="N630" s="3">
        <v>45880</v>
      </c>
      <c r="O630" s="4" t="s">
        <v>432</v>
      </c>
      <c r="P630" s="2">
        <v>3000</v>
      </c>
      <c r="Q630" s="2">
        <v>2750</v>
      </c>
      <c r="R630" s="4" t="s">
        <v>755</v>
      </c>
      <c r="S630" s="5">
        <v>150234500</v>
      </c>
    </row>
    <row r="631" spans="1:19" x14ac:dyDescent="0.25">
      <c r="A631" s="4" t="s">
        <v>61</v>
      </c>
      <c r="B631" s="4" t="s">
        <v>59</v>
      </c>
      <c r="C631" s="4" t="s">
        <v>62</v>
      </c>
      <c r="D631" s="4" t="s">
        <v>63</v>
      </c>
      <c r="E631" s="4" t="s">
        <v>103</v>
      </c>
      <c r="F631" s="4" t="s">
        <v>104</v>
      </c>
      <c r="G631" s="4" t="s">
        <v>105</v>
      </c>
      <c r="H631" s="4" t="s">
        <v>26</v>
      </c>
      <c r="I631" s="5">
        <v>155000000</v>
      </c>
      <c r="J631" s="5">
        <v>22500</v>
      </c>
      <c r="K631" s="5">
        <v>2250</v>
      </c>
      <c r="L631" s="4" t="s">
        <v>26</v>
      </c>
      <c r="M631" s="4" t="s">
        <v>26</v>
      </c>
      <c r="N631" s="3">
        <v>45880</v>
      </c>
      <c r="O631" s="4" t="s">
        <v>432</v>
      </c>
      <c r="P631" s="2">
        <v>4000</v>
      </c>
      <c r="Q631" s="2">
        <v>2750</v>
      </c>
      <c r="R631" s="4" t="s">
        <v>755</v>
      </c>
      <c r="S631" s="5">
        <v>150234500</v>
      </c>
    </row>
    <row r="632" spans="1:19" x14ac:dyDescent="0.25">
      <c r="A632" s="4" t="s">
        <v>61</v>
      </c>
      <c r="B632" s="4" t="s">
        <v>59</v>
      </c>
      <c r="C632" s="4" t="s">
        <v>62</v>
      </c>
      <c r="D632" s="4" t="s">
        <v>63</v>
      </c>
      <c r="E632" s="4" t="s">
        <v>103</v>
      </c>
      <c r="F632" s="4" t="s">
        <v>104</v>
      </c>
      <c r="G632" s="4" t="s">
        <v>105</v>
      </c>
      <c r="H632" s="4" t="s">
        <v>26</v>
      </c>
      <c r="I632" s="5">
        <v>155000000</v>
      </c>
      <c r="J632" s="5">
        <v>5400</v>
      </c>
      <c r="K632" s="5">
        <v>540</v>
      </c>
      <c r="L632" s="4" t="s">
        <v>26</v>
      </c>
      <c r="M632" s="4" t="s">
        <v>26</v>
      </c>
      <c r="N632" s="3">
        <v>45880</v>
      </c>
      <c r="O632" s="4" t="s">
        <v>432</v>
      </c>
      <c r="P632" s="2">
        <v>5000</v>
      </c>
      <c r="Q632" s="2">
        <v>2750</v>
      </c>
      <c r="R632" s="4" t="s">
        <v>755</v>
      </c>
      <c r="S632" s="5">
        <v>150234500</v>
      </c>
    </row>
    <row r="633" spans="1:19" x14ac:dyDescent="0.25">
      <c r="A633" s="4" t="s">
        <v>61</v>
      </c>
      <c r="B633" s="4" t="s">
        <v>59</v>
      </c>
      <c r="C633" s="4" t="s">
        <v>62</v>
      </c>
      <c r="D633" s="4" t="s">
        <v>63</v>
      </c>
      <c r="E633" s="4" t="s">
        <v>412</v>
      </c>
      <c r="F633" s="4" t="s">
        <v>413</v>
      </c>
      <c r="G633" s="4" t="s">
        <v>157</v>
      </c>
      <c r="H633" s="4" t="s">
        <v>26</v>
      </c>
      <c r="I633" s="5">
        <v>90000000</v>
      </c>
      <c r="J633" s="5">
        <v>49500</v>
      </c>
      <c r="K633" s="5">
        <v>4950</v>
      </c>
      <c r="L633" s="4" t="s">
        <v>400</v>
      </c>
      <c r="M633" s="4" t="s">
        <v>401</v>
      </c>
      <c r="N633" s="3">
        <v>45877</v>
      </c>
      <c r="O633" s="4" t="s">
        <v>459</v>
      </c>
      <c r="P633" s="2">
        <v>1000</v>
      </c>
      <c r="Q633" s="2">
        <v>2752</v>
      </c>
      <c r="R633" s="4" t="s">
        <v>26</v>
      </c>
      <c r="S633" s="5">
        <v>87613200</v>
      </c>
    </row>
    <row r="634" spans="1:19" x14ac:dyDescent="0.25">
      <c r="A634" s="4" t="s">
        <v>61</v>
      </c>
      <c r="B634" s="4" t="s">
        <v>59</v>
      </c>
      <c r="C634" s="4" t="s">
        <v>62</v>
      </c>
      <c r="D634" s="4" t="s">
        <v>63</v>
      </c>
      <c r="E634" s="4" t="s">
        <v>412</v>
      </c>
      <c r="F634" s="4" t="s">
        <v>413</v>
      </c>
      <c r="G634" s="4" t="s">
        <v>157</v>
      </c>
      <c r="H634" s="4" t="s">
        <v>26</v>
      </c>
      <c r="I634" s="5">
        <v>90000000</v>
      </c>
      <c r="J634" s="5">
        <v>30000</v>
      </c>
      <c r="K634" s="5">
        <v>3000</v>
      </c>
      <c r="L634" s="4" t="s">
        <v>400</v>
      </c>
      <c r="M634" s="4" t="s">
        <v>401</v>
      </c>
      <c r="N634" s="3">
        <v>45877</v>
      </c>
      <c r="O634" s="4" t="s">
        <v>459</v>
      </c>
      <c r="P634" s="2">
        <v>2000</v>
      </c>
      <c r="Q634" s="2">
        <v>2752</v>
      </c>
      <c r="R634" s="4" t="s">
        <v>26</v>
      </c>
      <c r="S634" s="5">
        <v>87613200</v>
      </c>
    </row>
    <row r="635" spans="1:19" x14ac:dyDescent="0.25">
      <c r="A635" s="4" t="s">
        <v>61</v>
      </c>
      <c r="B635" s="4" t="s">
        <v>59</v>
      </c>
      <c r="C635" s="4" t="s">
        <v>62</v>
      </c>
      <c r="D635" s="4" t="s">
        <v>63</v>
      </c>
      <c r="E635" s="4" t="s">
        <v>490</v>
      </c>
      <c r="F635" s="4" t="s">
        <v>491</v>
      </c>
      <c r="G635" s="4" t="s">
        <v>190</v>
      </c>
      <c r="H635" s="4" t="s">
        <v>26</v>
      </c>
      <c r="I635" s="5">
        <v>90000000</v>
      </c>
      <c r="J635" s="5">
        <v>40500</v>
      </c>
      <c r="K635" s="5">
        <v>4050</v>
      </c>
      <c r="L635" s="4" t="s">
        <v>492</v>
      </c>
      <c r="M635" s="4" t="s">
        <v>493</v>
      </c>
      <c r="N635" s="3">
        <v>45877</v>
      </c>
      <c r="O635" s="4" t="s">
        <v>459</v>
      </c>
      <c r="P635" s="2">
        <v>1000</v>
      </c>
      <c r="Q635" s="2">
        <v>2756</v>
      </c>
      <c r="R635" s="4" t="s">
        <v>747</v>
      </c>
      <c r="S635" s="5">
        <v>89536500</v>
      </c>
    </row>
    <row r="636" spans="1:19" x14ac:dyDescent="0.25">
      <c r="A636" s="4" t="s">
        <v>61</v>
      </c>
      <c r="B636" s="4" t="s">
        <v>59</v>
      </c>
      <c r="C636" s="4" t="s">
        <v>62</v>
      </c>
      <c r="D636" s="4" t="s">
        <v>63</v>
      </c>
      <c r="E636" s="4" t="s">
        <v>490</v>
      </c>
      <c r="F636" s="4" t="s">
        <v>491</v>
      </c>
      <c r="G636" s="4" t="s">
        <v>190</v>
      </c>
      <c r="H636" s="4" t="s">
        <v>26</v>
      </c>
      <c r="I636" s="5">
        <v>90000000</v>
      </c>
      <c r="J636" s="5">
        <v>49500</v>
      </c>
      <c r="K636" s="5">
        <v>4950</v>
      </c>
      <c r="L636" s="4" t="s">
        <v>492</v>
      </c>
      <c r="M636" s="4" t="s">
        <v>493</v>
      </c>
      <c r="N636" s="3">
        <v>45877</v>
      </c>
      <c r="O636" s="4" t="s">
        <v>459</v>
      </c>
      <c r="P636" s="2">
        <v>2000</v>
      </c>
      <c r="Q636" s="2">
        <v>2756</v>
      </c>
      <c r="R636" s="4" t="s">
        <v>747</v>
      </c>
      <c r="S636" s="5">
        <v>89536500</v>
      </c>
    </row>
    <row r="637" spans="1:19" x14ac:dyDescent="0.25">
      <c r="A637" s="4" t="s">
        <v>61</v>
      </c>
      <c r="B637" s="4" t="s">
        <v>59</v>
      </c>
      <c r="C637" s="4" t="s">
        <v>62</v>
      </c>
      <c r="D637" s="4" t="s">
        <v>63</v>
      </c>
      <c r="E637" s="4" t="s">
        <v>490</v>
      </c>
      <c r="F637" s="4" t="s">
        <v>491</v>
      </c>
      <c r="G637" s="4" t="s">
        <v>190</v>
      </c>
      <c r="H637" s="4" t="s">
        <v>26</v>
      </c>
      <c r="I637" s="5">
        <v>90000000</v>
      </c>
      <c r="J637" s="5">
        <v>90000</v>
      </c>
      <c r="K637" s="5">
        <v>9000</v>
      </c>
      <c r="L637" s="4" t="s">
        <v>492</v>
      </c>
      <c r="M637" s="4" t="s">
        <v>493</v>
      </c>
      <c r="N637" s="3">
        <v>45877</v>
      </c>
      <c r="O637" s="4" t="s">
        <v>459</v>
      </c>
      <c r="P637" s="2">
        <v>3000</v>
      </c>
      <c r="Q637" s="2">
        <v>2756</v>
      </c>
      <c r="R637" s="4" t="s">
        <v>747</v>
      </c>
      <c r="S637" s="5">
        <v>89536500</v>
      </c>
    </row>
    <row r="638" spans="1:19" x14ac:dyDescent="0.25">
      <c r="A638" s="4" t="s">
        <v>61</v>
      </c>
      <c r="B638" s="4" t="s">
        <v>59</v>
      </c>
      <c r="C638" s="4" t="s">
        <v>62</v>
      </c>
      <c r="D638" s="4" t="s">
        <v>63</v>
      </c>
      <c r="E638" s="4" t="s">
        <v>490</v>
      </c>
      <c r="F638" s="4" t="s">
        <v>491</v>
      </c>
      <c r="G638" s="4" t="s">
        <v>190</v>
      </c>
      <c r="H638" s="4" t="s">
        <v>26</v>
      </c>
      <c r="I638" s="5">
        <v>90000000</v>
      </c>
      <c r="J638" s="5">
        <v>99000</v>
      </c>
      <c r="K638" s="5">
        <v>9900</v>
      </c>
      <c r="L638" s="4" t="s">
        <v>492</v>
      </c>
      <c r="M638" s="4" t="s">
        <v>493</v>
      </c>
      <c r="N638" s="3">
        <v>45877</v>
      </c>
      <c r="O638" s="4" t="s">
        <v>459</v>
      </c>
      <c r="P638" s="2">
        <v>4000</v>
      </c>
      <c r="Q638" s="2">
        <v>2756</v>
      </c>
      <c r="R638" s="4" t="s">
        <v>747</v>
      </c>
      <c r="S638" s="5">
        <v>89536500</v>
      </c>
    </row>
    <row r="639" spans="1:19" x14ac:dyDescent="0.25">
      <c r="A639" s="4" t="s">
        <v>61</v>
      </c>
      <c r="B639" s="4" t="s">
        <v>59</v>
      </c>
      <c r="C639" s="4" t="s">
        <v>62</v>
      </c>
      <c r="D639" s="4" t="s">
        <v>63</v>
      </c>
      <c r="E639" s="4" t="s">
        <v>490</v>
      </c>
      <c r="F639" s="4" t="s">
        <v>491</v>
      </c>
      <c r="G639" s="4" t="s">
        <v>190</v>
      </c>
      <c r="H639" s="4" t="s">
        <v>26</v>
      </c>
      <c r="I639" s="5">
        <v>90000000</v>
      </c>
      <c r="J639" s="5">
        <v>49500</v>
      </c>
      <c r="K639" s="5">
        <v>4950</v>
      </c>
      <c r="L639" s="4" t="s">
        <v>492</v>
      </c>
      <c r="M639" s="4" t="s">
        <v>493</v>
      </c>
      <c r="N639" s="3">
        <v>45877</v>
      </c>
      <c r="O639" s="4" t="s">
        <v>459</v>
      </c>
      <c r="P639" s="2">
        <v>5000</v>
      </c>
      <c r="Q639" s="2">
        <v>2756</v>
      </c>
      <c r="R639" s="4" t="s">
        <v>747</v>
      </c>
      <c r="S639" s="5">
        <v>89536500</v>
      </c>
    </row>
    <row r="640" spans="1:19" x14ac:dyDescent="0.25">
      <c r="A640" s="4" t="s">
        <v>61</v>
      </c>
      <c r="B640" s="4" t="s">
        <v>59</v>
      </c>
      <c r="C640" s="4" t="s">
        <v>62</v>
      </c>
      <c r="D640" s="4" t="s">
        <v>63</v>
      </c>
      <c r="E640" s="4" t="s">
        <v>490</v>
      </c>
      <c r="F640" s="4" t="s">
        <v>491</v>
      </c>
      <c r="G640" s="4" t="s">
        <v>190</v>
      </c>
      <c r="H640" s="4" t="s">
        <v>26</v>
      </c>
      <c r="I640" s="5">
        <v>90000000</v>
      </c>
      <c r="J640" s="5">
        <v>40500</v>
      </c>
      <c r="K640" s="5">
        <v>4050</v>
      </c>
      <c r="L640" s="4" t="s">
        <v>492</v>
      </c>
      <c r="M640" s="4" t="s">
        <v>493</v>
      </c>
      <c r="N640" s="3">
        <v>45877</v>
      </c>
      <c r="O640" s="4" t="s">
        <v>459</v>
      </c>
      <c r="P640" s="2">
        <v>6000</v>
      </c>
      <c r="Q640" s="2">
        <v>2756</v>
      </c>
      <c r="R640" s="4" t="s">
        <v>747</v>
      </c>
      <c r="S640" s="5">
        <v>89536500</v>
      </c>
    </row>
    <row r="641" spans="1:19" x14ac:dyDescent="0.25">
      <c r="A641" s="4" t="s">
        <v>61</v>
      </c>
      <c r="B641" s="4" t="s">
        <v>59</v>
      </c>
      <c r="C641" s="4" t="s">
        <v>62</v>
      </c>
      <c r="D641" s="4" t="s">
        <v>63</v>
      </c>
      <c r="E641" s="4" t="s">
        <v>155</v>
      </c>
      <c r="F641" s="4" t="s">
        <v>156</v>
      </c>
      <c r="G641" s="4" t="s">
        <v>157</v>
      </c>
      <c r="H641" s="4" t="s">
        <v>26</v>
      </c>
      <c r="I641" s="5">
        <v>90000000</v>
      </c>
      <c r="J641" s="5">
        <v>34000</v>
      </c>
      <c r="K641" s="5">
        <v>3400</v>
      </c>
      <c r="L641" s="4" t="s">
        <v>158</v>
      </c>
      <c r="M641" s="4" t="s">
        <v>159</v>
      </c>
      <c r="N641" s="3">
        <v>45875</v>
      </c>
      <c r="O641" s="4" t="s">
        <v>154</v>
      </c>
      <c r="P641" s="2">
        <v>1000</v>
      </c>
      <c r="Q641" s="2">
        <v>2757</v>
      </c>
      <c r="R641" s="4" t="s">
        <v>26</v>
      </c>
      <c r="S641" s="5">
        <v>87868500</v>
      </c>
    </row>
    <row r="642" spans="1:19" x14ac:dyDescent="0.25">
      <c r="A642" s="4" t="s">
        <v>61</v>
      </c>
      <c r="B642" s="4" t="s">
        <v>59</v>
      </c>
      <c r="C642" s="4" t="s">
        <v>62</v>
      </c>
      <c r="D642" s="4" t="s">
        <v>63</v>
      </c>
      <c r="E642" s="4" t="s">
        <v>89</v>
      </c>
      <c r="F642" s="4" t="s">
        <v>90</v>
      </c>
      <c r="G642" s="4" t="s">
        <v>91</v>
      </c>
      <c r="H642" s="4" t="s">
        <v>26</v>
      </c>
      <c r="I642" s="5">
        <v>65000000</v>
      </c>
      <c r="J642" s="5">
        <v>135000</v>
      </c>
      <c r="K642" s="5">
        <v>13500</v>
      </c>
      <c r="L642" s="4" t="s">
        <v>26</v>
      </c>
      <c r="M642" s="4" t="s">
        <v>26</v>
      </c>
      <c r="N642" s="3">
        <v>45879</v>
      </c>
      <c r="O642" s="4" t="s">
        <v>532</v>
      </c>
      <c r="P642" s="2">
        <v>1000</v>
      </c>
      <c r="Q642" s="2">
        <v>2758</v>
      </c>
      <c r="R642" s="4" t="s">
        <v>749</v>
      </c>
      <c r="S642" s="5">
        <v>60891200</v>
      </c>
    </row>
    <row r="643" spans="1:19" x14ac:dyDescent="0.25">
      <c r="A643" s="4" t="s">
        <v>61</v>
      </c>
      <c r="B643" s="4" t="s">
        <v>59</v>
      </c>
      <c r="C643" s="4" t="s">
        <v>62</v>
      </c>
      <c r="D643" s="4" t="s">
        <v>63</v>
      </c>
      <c r="E643" s="4" t="s">
        <v>89</v>
      </c>
      <c r="F643" s="4" t="s">
        <v>90</v>
      </c>
      <c r="G643" s="4" t="s">
        <v>91</v>
      </c>
      <c r="H643" s="4" t="s">
        <v>26</v>
      </c>
      <c r="I643" s="5">
        <v>65000000</v>
      </c>
      <c r="J643" s="5">
        <v>22500</v>
      </c>
      <c r="K643" s="5">
        <v>2250</v>
      </c>
      <c r="L643" s="4" t="s">
        <v>26</v>
      </c>
      <c r="M643" s="4" t="s">
        <v>26</v>
      </c>
      <c r="N643" s="3">
        <v>45879</v>
      </c>
      <c r="O643" s="4" t="s">
        <v>532</v>
      </c>
      <c r="P643" s="2">
        <v>2000</v>
      </c>
      <c r="Q643" s="2">
        <v>2758</v>
      </c>
      <c r="R643" s="4" t="s">
        <v>749</v>
      </c>
      <c r="S643" s="5">
        <v>60891200</v>
      </c>
    </row>
    <row r="644" spans="1:19" x14ac:dyDescent="0.25">
      <c r="A644" s="4" t="s">
        <v>61</v>
      </c>
      <c r="B644" s="4" t="s">
        <v>59</v>
      </c>
      <c r="C644" s="4" t="s">
        <v>62</v>
      </c>
      <c r="D644" s="4" t="s">
        <v>63</v>
      </c>
      <c r="E644" s="4" t="s">
        <v>330</v>
      </c>
      <c r="F644" s="4" t="s">
        <v>331</v>
      </c>
      <c r="G644" s="4" t="s">
        <v>124</v>
      </c>
      <c r="H644" s="4" t="s">
        <v>26</v>
      </c>
      <c r="I644" s="5">
        <v>65000000</v>
      </c>
      <c r="J644" s="5">
        <v>22000</v>
      </c>
      <c r="K644" s="5">
        <v>2200</v>
      </c>
      <c r="L644" s="4" t="s">
        <v>332</v>
      </c>
      <c r="M644" s="4" t="s">
        <v>333</v>
      </c>
      <c r="N644" s="3">
        <v>45879</v>
      </c>
      <c r="O644" s="4" t="s">
        <v>532</v>
      </c>
      <c r="P644" s="2">
        <v>1000</v>
      </c>
      <c r="Q644" s="2">
        <v>2762</v>
      </c>
      <c r="R644" s="4" t="s">
        <v>749</v>
      </c>
      <c r="S644" s="5">
        <v>62496720</v>
      </c>
    </row>
    <row r="645" spans="1:19" x14ac:dyDescent="0.25">
      <c r="A645" s="4" t="s">
        <v>61</v>
      </c>
      <c r="B645" s="4" t="s">
        <v>59</v>
      </c>
      <c r="C645" s="4" t="s">
        <v>62</v>
      </c>
      <c r="D645" s="4" t="s">
        <v>63</v>
      </c>
      <c r="E645" s="4" t="s">
        <v>342</v>
      </c>
      <c r="F645" s="4" t="s">
        <v>343</v>
      </c>
      <c r="G645" s="4" t="s">
        <v>108</v>
      </c>
      <c r="H645" s="4" t="s">
        <v>26</v>
      </c>
      <c r="I645" s="5">
        <v>150000000</v>
      </c>
      <c r="J645" s="5">
        <v>110000</v>
      </c>
      <c r="K645" s="5">
        <v>11000</v>
      </c>
      <c r="L645" s="4" t="s">
        <v>26</v>
      </c>
      <c r="M645" s="4" t="s">
        <v>26</v>
      </c>
      <c r="N645" s="3">
        <v>45881</v>
      </c>
      <c r="O645" s="4" t="s">
        <v>283</v>
      </c>
      <c r="P645" s="2">
        <v>1000</v>
      </c>
      <c r="Q645" s="2">
        <v>2767</v>
      </c>
      <c r="R645" s="4" t="s">
        <v>755</v>
      </c>
      <c r="S645" s="5">
        <v>149890000</v>
      </c>
    </row>
    <row r="646" spans="1:19" x14ac:dyDescent="0.25">
      <c r="A646" s="4" t="s">
        <v>61</v>
      </c>
      <c r="B646" s="4" t="s">
        <v>59</v>
      </c>
      <c r="C646" s="4" t="s">
        <v>62</v>
      </c>
      <c r="D646" s="4" t="s">
        <v>63</v>
      </c>
      <c r="E646" s="4" t="s">
        <v>106</v>
      </c>
      <c r="F646" s="4" t="s">
        <v>107</v>
      </c>
      <c r="G646" s="4" t="s">
        <v>108</v>
      </c>
      <c r="H646" s="4" t="s">
        <v>26</v>
      </c>
      <c r="I646" s="5">
        <v>150000000</v>
      </c>
      <c r="J646" s="5">
        <v>67500</v>
      </c>
      <c r="K646" s="5">
        <v>6750</v>
      </c>
      <c r="L646" s="4" t="s">
        <v>109</v>
      </c>
      <c r="M646" s="4" t="s">
        <v>110</v>
      </c>
      <c r="N646" s="3">
        <v>45876</v>
      </c>
      <c r="O646" s="4" t="s">
        <v>51</v>
      </c>
      <c r="P646" s="2">
        <v>1000</v>
      </c>
      <c r="Q646" s="2">
        <v>2768</v>
      </c>
      <c r="R646" s="4" t="s">
        <v>749</v>
      </c>
      <c r="S646" s="5">
        <v>149865000</v>
      </c>
    </row>
    <row r="647" spans="1:19" x14ac:dyDescent="0.25">
      <c r="A647" s="4" t="s">
        <v>61</v>
      </c>
      <c r="B647" s="4" t="s">
        <v>59</v>
      </c>
      <c r="C647" s="4" t="s">
        <v>62</v>
      </c>
      <c r="D647" s="4" t="s">
        <v>63</v>
      </c>
      <c r="E647" s="4" t="s">
        <v>225</v>
      </c>
      <c r="F647" s="4" t="s">
        <v>226</v>
      </c>
      <c r="G647" s="4" t="s">
        <v>50</v>
      </c>
      <c r="H647" s="4" t="s">
        <v>26</v>
      </c>
      <c r="I647" s="5">
        <v>65000000</v>
      </c>
      <c r="J647" s="5">
        <v>178500</v>
      </c>
      <c r="K647" s="5">
        <v>17850</v>
      </c>
      <c r="L647" s="4" t="s">
        <v>396</v>
      </c>
      <c r="M647" s="4" t="s">
        <v>397</v>
      </c>
      <c r="N647" s="3">
        <v>45880</v>
      </c>
      <c r="O647" s="4" t="s">
        <v>432</v>
      </c>
      <c r="P647" s="2">
        <v>1000</v>
      </c>
      <c r="Q647" s="2">
        <v>2769</v>
      </c>
      <c r="R647" s="4" t="s">
        <v>26</v>
      </c>
      <c r="S647" s="5">
        <v>63203100</v>
      </c>
    </row>
    <row r="648" spans="1:19" x14ac:dyDescent="0.25">
      <c r="A648" s="4" t="s">
        <v>61</v>
      </c>
      <c r="B648" s="4" t="s">
        <v>59</v>
      </c>
      <c r="C648" s="4" t="s">
        <v>62</v>
      </c>
      <c r="D648" s="4" t="s">
        <v>63</v>
      </c>
      <c r="E648" s="4" t="s">
        <v>225</v>
      </c>
      <c r="F648" s="4" t="s">
        <v>226</v>
      </c>
      <c r="G648" s="4" t="s">
        <v>50</v>
      </c>
      <c r="H648" s="4" t="s">
        <v>26</v>
      </c>
      <c r="I648" s="5">
        <v>65000000</v>
      </c>
      <c r="J648" s="5">
        <v>79900</v>
      </c>
      <c r="K648" s="5">
        <v>7990</v>
      </c>
      <c r="L648" s="4" t="s">
        <v>396</v>
      </c>
      <c r="M648" s="4" t="s">
        <v>397</v>
      </c>
      <c r="N648" s="3">
        <v>45880</v>
      </c>
      <c r="O648" s="4" t="s">
        <v>432</v>
      </c>
      <c r="P648" s="2">
        <v>2000</v>
      </c>
      <c r="Q648" s="2">
        <v>2769</v>
      </c>
      <c r="R648" s="4" t="s">
        <v>26</v>
      </c>
      <c r="S648" s="5">
        <v>63203100</v>
      </c>
    </row>
    <row r="649" spans="1:19" x14ac:dyDescent="0.25">
      <c r="A649" s="4" t="s">
        <v>61</v>
      </c>
      <c r="B649" s="4" t="s">
        <v>59</v>
      </c>
      <c r="C649" s="4" t="s">
        <v>62</v>
      </c>
      <c r="D649" s="4" t="s">
        <v>63</v>
      </c>
      <c r="E649" s="4" t="s">
        <v>225</v>
      </c>
      <c r="F649" s="4" t="s">
        <v>226</v>
      </c>
      <c r="G649" s="4" t="s">
        <v>50</v>
      </c>
      <c r="H649" s="4" t="s">
        <v>26</v>
      </c>
      <c r="I649" s="5">
        <v>65000000</v>
      </c>
      <c r="J649" s="5">
        <v>141100</v>
      </c>
      <c r="K649" s="5">
        <v>14110</v>
      </c>
      <c r="L649" s="4" t="s">
        <v>396</v>
      </c>
      <c r="M649" s="4" t="s">
        <v>397</v>
      </c>
      <c r="N649" s="3">
        <v>45880</v>
      </c>
      <c r="O649" s="4" t="s">
        <v>432</v>
      </c>
      <c r="P649" s="2">
        <v>3000</v>
      </c>
      <c r="Q649" s="2">
        <v>2769</v>
      </c>
      <c r="R649" s="4" t="s">
        <v>26</v>
      </c>
      <c r="S649" s="5">
        <v>63203100</v>
      </c>
    </row>
    <row r="650" spans="1:19" x14ac:dyDescent="0.25">
      <c r="A650" s="4" t="s">
        <v>61</v>
      </c>
      <c r="B650" s="4" t="s">
        <v>59</v>
      </c>
      <c r="C650" s="4" t="s">
        <v>62</v>
      </c>
      <c r="D650" s="4" t="s">
        <v>63</v>
      </c>
      <c r="E650" s="4" t="s">
        <v>344</v>
      </c>
      <c r="F650" s="4" t="s">
        <v>345</v>
      </c>
      <c r="G650" s="4" t="s">
        <v>231</v>
      </c>
      <c r="H650" s="4" t="s">
        <v>26</v>
      </c>
      <c r="I650" s="5">
        <v>110000000</v>
      </c>
      <c r="J650" s="5">
        <v>107800</v>
      </c>
      <c r="K650" s="5">
        <v>10780</v>
      </c>
      <c r="L650" s="4" t="s">
        <v>346</v>
      </c>
      <c r="M650" s="4" t="s">
        <v>347</v>
      </c>
      <c r="N650" s="3">
        <v>45881</v>
      </c>
      <c r="O650" s="4" t="s">
        <v>283</v>
      </c>
      <c r="P650" s="2">
        <v>1000</v>
      </c>
      <c r="Q650" s="2">
        <v>2794</v>
      </c>
      <c r="R650" s="4" t="s">
        <v>755</v>
      </c>
      <c r="S650" s="5">
        <v>109643100</v>
      </c>
    </row>
    <row r="651" spans="1:19" x14ac:dyDescent="0.25">
      <c r="A651" s="4" t="s">
        <v>61</v>
      </c>
      <c r="B651" s="4" t="s">
        <v>59</v>
      </c>
      <c r="C651" s="4" t="s">
        <v>62</v>
      </c>
      <c r="D651" s="4" t="s">
        <v>63</v>
      </c>
      <c r="E651" s="4" t="s">
        <v>344</v>
      </c>
      <c r="F651" s="4" t="s">
        <v>345</v>
      </c>
      <c r="G651" s="4" t="s">
        <v>231</v>
      </c>
      <c r="H651" s="4" t="s">
        <v>26</v>
      </c>
      <c r="I651" s="5">
        <v>110000000</v>
      </c>
      <c r="J651" s="5">
        <v>131600</v>
      </c>
      <c r="K651" s="5">
        <v>13160</v>
      </c>
      <c r="L651" s="4" t="s">
        <v>346</v>
      </c>
      <c r="M651" s="4" t="s">
        <v>347</v>
      </c>
      <c r="N651" s="3">
        <v>45881</v>
      </c>
      <c r="O651" s="4" t="s">
        <v>283</v>
      </c>
      <c r="P651" s="2">
        <v>2000</v>
      </c>
      <c r="Q651" s="2">
        <v>2794</v>
      </c>
      <c r="R651" s="4" t="s">
        <v>755</v>
      </c>
      <c r="S651" s="5">
        <v>109643100</v>
      </c>
    </row>
    <row r="652" spans="1:19" x14ac:dyDescent="0.25">
      <c r="A652" s="4" t="s">
        <v>61</v>
      </c>
      <c r="B652" s="4" t="s">
        <v>59</v>
      </c>
      <c r="C652" s="4" t="s">
        <v>62</v>
      </c>
      <c r="D652" s="4" t="s">
        <v>63</v>
      </c>
      <c r="E652" s="4" t="s">
        <v>178</v>
      </c>
      <c r="F652" s="4" t="s">
        <v>179</v>
      </c>
      <c r="G652" s="4" t="s">
        <v>124</v>
      </c>
      <c r="H652" s="4" t="s">
        <v>26</v>
      </c>
      <c r="I652" s="5">
        <v>65000000</v>
      </c>
      <c r="J652" s="5">
        <v>263200</v>
      </c>
      <c r="K652" s="5">
        <v>26320</v>
      </c>
      <c r="L652" s="4" t="s">
        <v>26</v>
      </c>
      <c r="M652" s="4" t="s">
        <v>26</v>
      </c>
      <c r="N652" s="3">
        <v>45881</v>
      </c>
      <c r="O652" s="4" t="s">
        <v>283</v>
      </c>
      <c r="P652" s="2">
        <v>1000</v>
      </c>
      <c r="Q652" s="2">
        <v>2810</v>
      </c>
      <c r="R652" s="4" t="s">
        <v>755</v>
      </c>
      <c r="S652" s="5">
        <v>54146650</v>
      </c>
    </row>
    <row r="653" spans="1:19" x14ac:dyDescent="0.25">
      <c r="A653" s="4" t="s">
        <v>61</v>
      </c>
      <c r="B653" s="4" t="s">
        <v>59</v>
      </c>
      <c r="C653" s="4" t="s">
        <v>62</v>
      </c>
      <c r="D653" s="4" t="s">
        <v>63</v>
      </c>
      <c r="E653" s="4" t="s">
        <v>178</v>
      </c>
      <c r="F653" s="4" t="s">
        <v>179</v>
      </c>
      <c r="G653" s="4" t="s">
        <v>124</v>
      </c>
      <c r="H653" s="4" t="s">
        <v>26</v>
      </c>
      <c r="I653" s="5">
        <v>65000000</v>
      </c>
      <c r="J653" s="5">
        <v>107800</v>
      </c>
      <c r="K653" s="5">
        <v>10780</v>
      </c>
      <c r="L653" s="4" t="s">
        <v>26</v>
      </c>
      <c r="M653" s="4" t="s">
        <v>26</v>
      </c>
      <c r="N653" s="3">
        <v>45881</v>
      </c>
      <c r="O653" s="4" t="s">
        <v>283</v>
      </c>
      <c r="P653" s="2">
        <v>2000</v>
      </c>
      <c r="Q653" s="2">
        <v>2810</v>
      </c>
      <c r="R653" s="4" t="s">
        <v>755</v>
      </c>
      <c r="S653" s="5">
        <v>54146650</v>
      </c>
    </row>
    <row r="654" spans="1:19" x14ac:dyDescent="0.25">
      <c r="A654" s="4" t="s">
        <v>61</v>
      </c>
      <c r="B654" s="4" t="s">
        <v>59</v>
      </c>
      <c r="C654" s="4" t="s">
        <v>62</v>
      </c>
      <c r="D654" s="4" t="s">
        <v>63</v>
      </c>
      <c r="E654" s="4" t="s">
        <v>271</v>
      </c>
      <c r="F654" s="4" t="s">
        <v>272</v>
      </c>
      <c r="G654" s="4" t="s">
        <v>115</v>
      </c>
      <c r="H654" s="4" t="s">
        <v>26</v>
      </c>
      <c r="I654" s="5">
        <v>65000000</v>
      </c>
      <c r="J654" s="5">
        <v>55000</v>
      </c>
      <c r="K654" s="5">
        <v>5500</v>
      </c>
      <c r="L654" s="4" t="s">
        <v>26</v>
      </c>
      <c r="M654" s="4" t="s">
        <v>26</v>
      </c>
      <c r="N654" s="3">
        <v>45877</v>
      </c>
      <c r="O654" s="4" t="s">
        <v>459</v>
      </c>
      <c r="P654" s="2">
        <v>1000</v>
      </c>
      <c r="Q654" s="2">
        <v>2821</v>
      </c>
      <c r="R654" s="4" t="s">
        <v>84</v>
      </c>
      <c r="S654" s="5">
        <v>64027000</v>
      </c>
    </row>
    <row r="655" spans="1:19" x14ac:dyDescent="0.25">
      <c r="A655" s="4" t="s">
        <v>61</v>
      </c>
      <c r="B655" s="4" t="s">
        <v>59</v>
      </c>
      <c r="C655" s="4" t="s">
        <v>62</v>
      </c>
      <c r="D655" s="4" t="s">
        <v>63</v>
      </c>
      <c r="E655" s="4" t="s">
        <v>271</v>
      </c>
      <c r="F655" s="4" t="s">
        <v>272</v>
      </c>
      <c r="G655" s="4" t="s">
        <v>115</v>
      </c>
      <c r="H655" s="4" t="s">
        <v>26</v>
      </c>
      <c r="I655" s="5">
        <v>65000000</v>
      </c>
      <c r="J655" s="5">
        <v>8000</v>
      </c>
      <c r="K655" s="5">
        <v>800</v>
      </c>
      <c r="L655" s="4" t="s">
        <v>26</v>
      </c>
      <c r="M655" s="4" t="s">
        <v>26</v>
      </c>
      <c r="N655" s="3">
        <v>45877</v>
      </c>
      <c r="O655" s="4" t="s">
        <v>459</v>
      </c>
      <c r="P655" s="2">
        <v>2000</v>
      </c>
      <c r="Q655" s="2">
        <v>2821</v>
      </c>
      <c r="R655" s="4" t="s">
        <v>84</v>
      </c>
      <c r="S655" s="5">
        <v>64027000</v>
      </c>
    </row>
    <row r="656" spans="1:19" x14ac:dyDescent="0.25">
      <c r="A656" s="4" t="s">
        <v>61</v>
      </c>
      <c r="B656" s="4" t="s">
        <v>59</v>
      </c>
      <c r="C656" s="4" t="s">
        <v>62</v>
      </c>
      <c r="D656" s="4" t="s">
        <v>63</v>
      </c>
      <c r="E656" s="4" t="s">
        <v>244</v>
      </c>
      <c r="F656" s="4" t="s">
        <v>245</v>
      </c>
      <c r="G656" s="4" t="s">
        <v>246</v>
      </c>
      <c r="H656" s="4" t="s">
        <v>26</v>
      </c>
      <c r="I656" s="5">
        <v>155000000</v>
      </c>
      <c r="J656" s="5">
        <v>2589700</v>
      </c>
      <c r="K656" s="5">
        <v>258970</v>
      </c>
      <c r="L656" s="4" t="s">
        <v>247</v>
      </c>
      <c r="M656" s="4" t="s">
        <v>248</v>
      </c>
      <c r="N656" s="3">
        <v>45881</v>
      </c>
      <c r="O656" s="4" t="s">
        <v>283</v>
      </c>
      <c r="P656" s="2">
        <v>1000</v>
      </c>
      <c r="Q656" s="2">
        <v>2824</v>
      </c>
      <c r="R656" s="4" t="s">
        <v>84</v>
      </c>
      <c r="S656" s="5">
        <v>151077800</v>
      </c>
    </row>
    <row r="657" spans="1:19" x14ac:dyDescent="0.25">
      <c r="A657" s="4" t="s">
        <v>61</v>
      </c>
      <c r="B657" s="4" t="s">
        <v>59</v>
      </c>
      <c r="C657" s="4" t="s">
        <v>62</v>
      </c>
      <c r="D657" s="4" t="s">
        <v>63</v>
      </c>
      <c r="E657" s="4" t="s">
        <v>127</v>
      </c>
      <c r="F657" s="4" t="s">
        <v>128</v>
      </c>
      <c r="G657" s="4" t="s">
        <v>50</v>
      </c>
      <c r="H657" s="4" t="s">
        <v>26</v>
      </c>
      <c r="I657" s="5">
        <v>65000000</v>
      </c>
      <c r="J657" s="5">
        <v>49500</v>
      </c>
      <c r="K657" s="5">
        <v>4950</v>
      </c>
      <c r="L657" s="4" t="s">
        <v>26</v>
      </c>
      <c r="M657" s="4" t="s">
        <v>26</v>
      </c>
      <c r="N657" s="3">
        <v>45880</v>
      </c>
      <c r="O657" s="4" t="s">
        <v>432</v>
      </c>
      <c r="P657" s="2">
        <v>1000</v>
      </c>
      <c r="Q657" s="2">
        <v>2844</v>
      </c>
      <c r="R657" s="4" t="s">
        <v>747</v>
      </c>
      <c r="S657" s="5">
        <v>60417600</v>
      </c>
    </row>
    <row r="658" spans="1:19" x14ac:dyDescent="0.25">
      <c r="A658" s="4" t="s">
        <v>61</v>
      </c>
      <c r="B658" s="4" t="s">
        <v>59</v>
      </c>
      <c r="C658" s="4" t="s">
        <v>62</v>
      </c>
      <c r="D658" s="4" t="s">
        <v>63</v>
      </c>
      <c r="E658" s="4" t="s">
        <v>494</v>
      </c>
      <c r="F658" s="4" t="s">
        <v>495</v>
      </c>
      <c r="G658" s="4" t="s">
        <v>199</v>
      </c>
      <c r="H658" s="4" t="s">
        <v>26</v>
      </c>
      <c r="I658" s="5">
        <v>65000000</v>
      </c>
      <c r="J658" s="5">
        <v>42500</v>
      </c>
      <c r="K658" s="5">
        <v>4250</v>
      </c>
      <c r="L658" s="4" t="s">
        <v>496</v>
      </c>
      <c r="M658" s="4" t="s">
        <v>497</v>
      </c>
      <c r="N658" s="3">
        <v>45877</v>
      </c>
      <c r="O658" s="4" t="s">
        <v>459</v>
      </c>
      <c r="P658" s="2">
        <v>1000</v>
      </c>
      <c r="Q658" s="2">
        <v>2846</v>
      </c>
      <c r="R658" s="4" t="s">
        <v>26</v>
      </c>
      <c r="S658" s="5">
        <v>55802760</v>
      </c>
    </row>
    <row r="659" spans="1:19" x14ac:dyDescent="0.25">
      <c r="A659" s="4" t="s">
        <v>61</v>
      </c>
      <c r="B659" s="4" t="s">
        <v>59</v>
      </c>
      <c r="C659" s="4" t="s">
        <v>62</v>
      </c>
      <c r="D659" s="4" t="s">
        <v>63</v>
      </c>
      <c r="E659" s="4" t="s">
        <v>494</v>
      </c>
      <c r="F659" s="4" t="s">
        <v>495</v>
      </c>
      <c r="G659" s="4" t="s">
        <v>199</v>
      </c>
      <c r="H659" s="4" t="s">
        <v>26</v>
      </c>
      <c r="I659" s="5">
        <v>65000000</v>
      </c>
      <c r="J659" s="5">
        <v>153000</v>
      </c>
      <c r="K659" s="5">
        <v>15300</v>
      </c>
      <c r="L659" s="4" t="s">
        <v>496</v>
      </c>
      <c r="M659" s="4" t="s">
        <v>497</v>
      </c>
      <c r="N659" s="3">
        <v>45877</v>
      </c>
      <c r="O659" s="4" t="s">
        <v>459</v>
      </c>
      <c r="P659" s="2">
        <v>2000</v>
      </c>
      <c r="Q659" s="2">
        <v>2846</v>
      </c>
      <c r="R659" s="4" t="s">
        <v>26</v>
      </c>
      <c r="S659" s="5">
        <v>55802760</v>
      </c>
    </row>
    <row r="660" spans="1:19" x14ac:dyDescent="0.25">
      <c r="A660" s="4" t="s">
        <v>61</v>
      </c>
      <c r="B660" s="4" t="s">
        <v>59</v>
      </c>
      <c r="C660" s="4" t="s">
        <v>62</v>
      </c>
      <c r="D660" s="4" t="s">
        <v>63</v>
      </c>
      <c r="E660" s="4" t="s">
        <v>494</v>
      </c>
      <c r="F660" s="4" t="s">
        <v>495</v>
      </c>
      <c r="G660" s="4" t="s">
        <v>199</v>
      </c>
      <c r="H660" s="4" t="s">
        <v>26</v>
      </c>
      <c r="I660" s="5">
        <v>65000000</v>
      </c>
      <c r="J660" s="5">
        <v>165750</v>
      </c>
      <c r="K660" s="5">
        <v>16575</v>
      </c>
      <c r="L660" s="4" t="s">
        <v>496</v>
      </c>
      <c r="M660" s="4" t="s">
        <v>497</v>
      </c>
      <c r="N660" s="3">
        <v>45877</v>
      </c>
      <c r="O660" s="4" t="s">
        <v>459</v>
      </c>
      <c r="P660" s="2">
        <v>3000</v>
      </c>
      <c r="Q660" s="2">
        <v>2846</v>
      </c>
      <c r="R660" s="4" t="s">
        <v>26</v>
      </c>
      <c r="S660" s="5">
        <v>55802760</v>
      </c>
    </row>
    <row r="661" spans="1:19" x14ac:dyDescent="0.25">
      <c r="A661" s="4" t="s">
        <v>61</v>
      </c>
      <c r="B661" s="4" t="s">
        <v>59</v>
      </c>
      <c r="C661" s="4" t="s">
        <v>62</v>
      </c>
      <c r="D661" s="4" t="s">
        <v>63</v>
      </c>
      <c r="E661" s="4" t="s">
        <v>348</v>
      </c>
      <c r="F661" s="4" t="s">
        <v>349</v>
      </c>
      <c r="G661" s="4" t="s">
        <v>100</v>
      </c>
      <c r="H661" s="4" t="s">
        <v>26</v>
      </c>
      <c r="I661" s="5">
        <v>65000000</v>
      </c>
      <c r="J661" s="5">
        <v>25500</v>
      </c>
      <c r="K661" s="5">
        <v>2550</v>
      </c>
      <c r="L661" s="4" t="s">
        <v>26</v>
      </c>
      <c r="M661" s="4" t="s">
        <v>26</v>
      </c>
      <c r="N661" s="3">
        <v>45881</v>
      </c>
      <c r="O661" s="4" t="s">
        <v>283</v>
      </c>
      <c r="P661" s="2">
        <v>1000</v>
      </c>
      <c r="Q661" s="2">
        <v>2849</v>
      </c>
      <c r="R661" s="4" t="s">
        <v>84</v>
      </c>
      <c r="S661" s="5">
        <v>64076500</v>
      </c>
    </row>
    <row r="662" spans="1:19" x14ac:dyDescent="0.25">
      <c r="A662" s="4" t="s">
        <v>61</v>
      </c>
      <c r="B662" s="4" t="s">
        <v>59</v>
      </c>
      <c r="C662" s="4" t="s">
        <v>62</v>
      </c>
      <c r="D662" s="4" t="s">
        <v>63</v>
      </c>
      <c r="E662" s="4" t="s">
        <v>111</v>
      </c>
      <c r="F662" s="4" t="s">
        <v>112</v>
      </c>
      <c r="G662" s="4" t="s">
        <v>81</v>
      </c>
      <c r="H662" s="4" t="s">
        <v>26</v>
      </c>
      <c r="I662" s="5">
        <v>65000000</v>
      </c>
      <c r="J662" s="5">
        <v>290000</v>
      </c>
      <c r="K662" s="5">
        <v>29000</v>
      </c>
      <c r="L662" s="4" t="s">
        <v>26</v>
      </c>
      <c r="M662" s="4" t="s">
        <v>26</v>
      </c>
      <c r="N662" s="3">
        <v>45877</v>
      </c>
      <c r="O662" s="4" t="s">
        <v>51</v>
      </c>
      <c r="P662" s="2">
        <v>1000</v>
      </c>
      <c r="Q662" s="2">
        <v>2852</v>
      </c>
      <c r="R662" s="4" t="s">
        <v>768</v>
      </c>
      <c r="S662" s="5">
        <v>61345000</v>
      </c>
    </row>
    <row r="663" spans="1:19" x14ac:dyDescent="0.25">
      <c r="A663" s="4" t="s">
        <v>61</v>
      </c>
      <c r="B663" s="4" t="s">
        <v>59</v>
      </c>
      <c r="C663" s="4" t="s">
        <v>62</v>
      </c>
      <c r="D663" s="4" t="s">
        <v>63</v>
      </c>
      <c r="E663" s="4" t="s">
        <v>103</v>
      </c>
      <c r="F663" s="4" t="s">
        <v>104</v>
      </c>
      <c r="G663" s="4" t="s">
        <v>105</v>
      </c>
      <c r="H663" s="4" t="s">
        <v>26</v>
      </c>
      <c r="I663" s="5">
        <v>155000000</v>
      </c>
      <c r="J663" s="5">
        <v>39200</v>
      </c>
      <c r="K663" s="5">
        <v>3920</v>
      </c>
      <c r="L663" s="4" t="s">
        <v>26</v>
      </c>
      <c r="M663" s="4" t="s">
        <v>26</v>
      </c>
      <c r="N663" s="3">
        <v>45877</v>
      </c>
      <c r="O663" s="4" t="s">
        <v>51</v>
      </c>
      <c r="P663" s="2">
        <v>1000</v>
      </c>
      <c r="Q663" s="2">
        <v>2853</v>
      </c>
      <c r="R663" s="4" t="s">
        <v>749</v>
      </c>
      <c r="S663" s="5">
        <v>150234500</v>
      </c>
    </row>
    <row r="664" spans="1:19" x14ac:dyDescent="0.25">
      <c r="A664" s="4" t="s">
        <v>61</v>
      </c>
      <c r="B664" s="4" t="s">
        <v>59</v>
      </c>
      <c r="C664" s="4" t="s">
        <v>62</v>
      </c>
      <c r="D664" s="4" t="s">
        <v>63</v>
      </c>
      <c r="E664" s="4" t="s">
        <v>348</v>
      </c>
      <c r="F664" s="4" t="s">
        <v>349</v>
      </c>
      <c r="G664" s="4" t="s">
        <v>100</v>
      </c>
      <c r="H664" s="4" t="s">
        <v>26</v>
      </c>
      <c r="I664" s="5">
        <v>65000000</v>
      </c>
      <c r="J664" s="5">
        <v>30000</v>
      </c>
      <c r="K664" s="5">
        <v>3000</v>
      </c>
      <c r="L664" s="4" t="s">
        <v>26</v>
      </c>
      <c r="M664" s="4" t="s">
        <v>26</v>
      </c>
      <c r="N664" s="3">
        <v>45881</v>
      </c>
      <c r="O664" s="4" t="s">
        <v>283</v>
      </c>
      <c r="P664" s="2">
        <v>1000</v>
      </c>
      <c r="Q664" s="2">
        <v>2853</v>
      </c>
      <c r="R664" s="4" t="s">
        <v>84</v>
      </c>
      <c r="S664" s="5">
        <v>64076500</v>
      </c>
    </row>
    <row r="665" spans="1:19" x14ac:dyDescent="0.25">
      <c r="A665" s="4" t="s">
        <v>61</v>
      </c>
      <c r="B665" s="4" t="s">
        <v>59</v>
      </c>
      <c r="C665" s="4" t="s">
        <v>62</v>
      </c>
      <c r="D665" s="4" t="s">
        <v>63</v>
      </c>
      <c r="E665" s="4" t="s">
        <v>618</v>
      </c>
      <c r="F665" s="4" t="s">
        <v>619</v>
      </c>
      <c r="G665" s="4" t="s">
        <v>381</v>
      </c>
      <c r="H665" s="4" t="s">
        <v>26</v>
      </c>
      <c r="I665" s="5">
        <v>90000000</v>
      </c>
      <c r="J665" s="5">
        <v>183200</v>
      </c>
      <c r="K665" s="5">
        <v>18320</v>
      </c>
      <c r="L665" s="4" t="s">
        <v>322</v>
      </c>
      <c r="M665" s="4" t="s">
        <v>323</v>
      </c>
      <c r="N665" s="3">
        <v>45891</v>
      </c>
      <c r="O665" s="4" t="s">
        <v>732</v>
      </c>
      <c r="P665" s="2">
        <v>1000</v>
      </c>
      <c r="Q665" s="2">
        <v>2867</v>
      </c>
      <c r="R665" s="4" t="s">
        <v>754</v>
      </c>
      <c r="S665" s="5">
        <v>88531800</v>
      </c>
    </row>
    <row r="666" spans="1:19" x14ac:dyDescent="0.25">
      <c r="A666" s="4" t="s">
        <v>61</v>
      </c>
      <c r="B666" s="4" t="s">
        <v>59</v>
      </c>
      <c r="C666" s="4" t="s">
        <v>62</v>
      </c>
      <c r="D666" s="4" t="s">
        <v>63</v>
      </c>
      <c r="E666" s="4" t="s">
        <v>350</v>
      </c>
      <c r="F666" s="4" t="s">
        <v>351</v>
      </c>
      <c r="G666" s="4" t="s">
        <v>100</v>
      </c>
      <c r="H666" s="4" t="s">
        <v>26</v>
      </c>
      <c r="I666" s="5">
        <v>65000000</v>
      </c>
      <c r="J666" s="5">
        <v>42000</v>
      </c>
      <c r="K666" s="5">
        <v>4200</v>
      </c>
      <c r="L666" s="4" t="s">
        <v>352</v>
      </c>
      <c r="M666" s="4" t="s">
        <v>353</v>
      </c>
      <c r="N666" s="3">
        <v>45881</v>
      </c>
      <c r="O666" s="4" t="s">
        <v>283</v>
      </c>
      <c r="P666" s="2">
        <v>1000</v>
      </c>
      <c r="Q666" s="2">
        <v>2869</v>
      </c>
      <c r="R666" s="4" t="s">
        <v>84</v>
      </c>
      <c r="S666" s="5">
        <v>64958000</v>
      </c>
    </row>
    <row r="667" spans="1:19" x14ac:dyDescent="0.25">
      <c r="A667" s="4" t="s">
        <v>61</v>
      </c>
      <c r="B667" s="4" t="s">
        <v>59</v>
      </c>
      <c r="C667" s="4" t="s">
        <v>62</v>
      </c>
      <c r="D667" s="4" t="s">
        <v>63</v>
      </c>
      <c r="E667" s="4" t="s">
        <v>188</v>
      </c>
      <c r="F667" s="4" t="s">
        <v>189</v>
      </c>
      <c r="G667" s="4" t="s">
        <v>190</v>
      </c>
      <c r="H667" s="4" t="s">
        <v>26</v>
      </c>
      <c r="I667" s="5">
        <v>90000000</v>
      </c>
      <c r="J667" s="5">
        <v>42500</v>
      </c>
      <c r="K667" s="5">
        <v>4250</v>
      </c>
      <c r="L667" s="4" t="s">
        <v>191</v>
      </c>
      <c r="M667" s="4" t="s">
        <v>192</v>
      </c>
      <c r="N667" s="3">
        <v>45875</v>
      </c>
      <c r="O667" s="4" t="s">
        <v>154</v>
      </c>
      <c r="P667" s="2">
        <v>1000</v>
      </c>
      <c r="Q667" s="2">
        <v>2882</v>
      </c>
      <c r="R667" s="4" t="s">
        <v>84</v>
      </c>
      <c r="S667" s="5">
        <v>87040690</v>
      </c>
    </row>
    <row r="668" spans="1:19" x14ac:dyDescent="0.25">
      <c r="A668" s="4" t="s">
        <v>61</v>
      </c>
      <c r="B668" s="4" t="s">
        <v>59</v>
      </c>
      <c r="C668" s="4" t="s">
        <v>62</v>
      </c>
      <c r="D668" s="4" t="s">
        <v>63</v>
      </c>
      <c r="E668" s="4" t="s">
        <v>188</v>
      </c>
      <c r="F668" s="4" t="s">
        <v>189</v>
      </c>
      <c r="G668" s="4" t="s">
        <v>190</v>
      </c>
      <c r="H668" s="4" t="s">
        <v>26</v>
      </c>
      <c r="I668" s="5">
        <v>90000000</v>
      </c>
      <c r="J668" s="5">
        <v>42500</v>
      </c>
      <c r="K668" s="5">
        <v>4250</v>
      </c>
      <c r="L668" s="4" t="s">
        <v>191</v>
      </c>
      <c r="M668" s="4" t="s">
        <v>192</v>
      </c>
      <c r="N668" s="3">
        <v>45875</v>
      </c>
      <c r="O668" s="4" t="s">
        <v>154</v>
      </c>
      <c r="P668" s="2">
        <v>2000</v>
      </c>
      <c r="Q668" s="2">
        <v>2882</v>
      </c>
      <c r="R668" s="4" t="s">
        <v>84</v>
      </c>
      <c r="S668" s="5">
        <v>87040690</v>
      </c>
    </row>
    <row r="669" spans="1:19" x14ac:dyDescent="0.25">
      <c r="A669" s="4" t="s">
        <v>61</v>
      </c>
      <c r="B669" s="4" t="s">
        <v>59</v>
      </c>
      <c r="C669" s="4" t="s">
        <v>62</v>
      </c>
      <c r="D669" s="4" t="s">
        <v>63</v>
      </c>
      <c r="E669" s="4" t="s">
        <v>330</v>
      </c>
      <c r="F669" s="4" t="s">
        <v>331</v>
      </c>
      <c r="G669" s="4" t="s">
        <v>124</v>
      </c>
      <c r="H669" s="4" t="s">
        <v>26</v>
      </c>
      <c r="I669" s="5">
        <v>65000000</v>
      </c>
      <c r="J669" s="5">
        <v>63000</v>
      </c>
      <c r="K669" s="5">
        <v>6300</v>
      </c>
      <c r="L669" s="4" t="s">
        <v>332</v>
      </c>
      <c r="M669" s="4" t="s">
        <v>333</v>
      </c>
      <c r="N669" s="3">
        <v>45877</v>
      </c>
      <c r="O669" s="4" t="s">
        <v>459</v>
      </c>
      <c r="P669" s="2">
        <v>1000</v>
      </c>
      <c r="Q669" s="2">
        <v>2890</v>
      </c>
      <c r="R669" s="4" t="s">
        <v>747</v>
      </c>
      <c r="S669" s="5">
        <v>62496720</v>
      </c>
    </row>
    <row r="670" spans="1:19" x14ac:dyDescent="0.25">
      <c r="A670" s="4" t="s">
        <v>61</v>
      </c>
      <c r="B670" s="4" t="s">
        <v>59</v>
      </c>
      <c r="C670" s="4" t="s">
        <v>62</v>
      </c>
      <c r="D670" s="4" t="s">
        <v>63</v>
      </c>
      <c r="E670" s="4" t="s">
        <v>412</v>
      </c>
      <c r="F670" s="4" t="s">
        <v>413</v>
      </c>
      <c r="G670" s="4" t="s">
        <v>157</v>
      </c>
      <c r="H670" s="4" t="s">
        <v>26</v>
      </c>
      <c r="I670" s="5">
        <v>90000000</v>
      </c>
      <c r="J670" s="5">
        <v>75600</v>
      </c>
      <c r="K670" s="5">
        <v>7560</v>
      </c>
      <c r="L670" s="4" t="s">
        <v>320</v>
      </c>
      <c r="M670" s="4" t="s">
        <v>321</v>
      </c>
      <c r="N670" s="3">
        <v>45892</v>
      </c>
      <c r="O670" s="4" t="s">
        <v>698</v>
      </c>
      <c r="P670" s="2">
        <v>1000</v>
      </c>
      <c r="Q670" s="2">
        <v>2894</v>
      </c>
      <c r="R670" s="4" t="s">
        <v>758</v>
      </c>
      <c r="S670" s="5">
        <v>87613200</v>
      </c>
    </row>
    <row r="671" spans="1:19" x14ac:dyDescent="0.25">
      <c r="A671" s="4" t="s">
        <v>61</v>
      </c>
      <c r="B671" s="4" t="s">
        <v>59</v>
      </c>
      <c r="C671" s="4" t="s">
        <v>62</v>
      </c>
      <c r="D671" s="4" t="s">
        <v>63</v>
      </c>
      <c r="E671" s="4" t="s">
        <v>210</v>
      </c>
      <c r="F671" s="4" t="s">
        <v>211</v>
      </c>
      <c r="G671" s="4" t="s">
        <v>50</v>
      </c>
      <c r="H671" s="4" t="s">
        <v>26</v>
      </c>
      <c r="I671" s="5">
        <v>65000000</v>
      </c>
      <c r="J671" s="5">
        <v>30000</v>
      </c>
      <c r="K671" s="5">
        <v>3000</v>
      </c>
      <c r="L671" s="4" t="s">
        <v>26</v>
      </c>
      <c r="M671" s="4" t="s">
        <v>26</v>
      </c>
      <c r="N671" s="3">
        <v>45877</v>
      </c>
      <c r="O671" s="4" t="s">
        <v>459</v>
      </c>
      <c r="P671" s="2">
        <v>1000</v>
      </c>
      <c r="Q671" s="2">
        <v>2898</v>
      </c>
      <c r="R671" s="4" t="s">
        <v>84</v>
      </c>
      <c r="S671" s="5">
        <v>63482950</v>
      </c>
    </row>
    <row r="672" spans="1:19" x14ac:dyDescent="0.25">
      <c r="A672" s="4" t="s">
        <v>61</v>
      </c>
      <c r="B672" s="4" t="s">
        <v>59</v>
      </c>
      <c r="C672" s="4" t="s">
        <v>62</v>
      </c>
      <c r="D672" s="4" t="s">
        <v>63</v>
      </c>
      <c r="E672" s="4" t="s">
        <v>568</v>
      </c>
      <c r="F672" s="4" t="s">
        <v>569</v>
      </c>
      <c r="G672" s="4" t="s">
        <v>199</v>
      </c>
      <c r="H672" s="4" t="s">
        <v>26</v>
      </c>
      <c r="I672" s="5">
        <v>65000000</v>
      </c>
      <c r="J672" s="5">
        <v>95000</v>
      </c>
      <c r="K672" s="5">
        <v>9500</v>
      </c>
      <c r="L672" s="4" t="s">
        <v>592</v>
      </c>
      <c r="M672" s="4" t="s">
        <v>593</v>
      </c>
      <c r="N672" s="3">
        <v>45898</v>
      </c>
      <c r="O672" s="4" t="s">
        <v>733</v>
      </c>
      <c r="P672" s="2">
        <v>1000</v>
      </c>
      <c r="Q672" s="2">
        <v>2898</v>
      </c>
      <c r="R672" s="4" t="s">
        <v>604</v>
      </c>
      <c r="S672" s="5">
        <v>60252900</v>
      </c>
    </row>
    <row r="673" spans="1:19" x14ac:dyDescent="0.25">
      <c r="A673" s="4" t="s">
        <v>61</v>
      </c>
      <c r="B673" s="4" t="s">
        <v>59</v>
      </c>
      <c r="C673" s="4" t="s">
        <v>62</v>
      </c>
      <c r="D673" s="4" t="s">
        <v>63</v>
      </c>
      <c r="E673" s="4" t="s">
        <v>568</v>
      </c>
      <c r="F673" s="4" t="s">
        <v>569</v>
      </c>
      <c r="G673" s="4" t="s">
        <v>199</v>
      </c>
      <c r="H673" s="4" t="s">
        <v>26</v>
      </c>
      <c r="I673" s="5">
        <v>65000000</v>
      </c>
      <c r="J673" s="5">
        <v>195000</v>
      </c>
      <c r="K673" s="5">
        <v>19500</v>
      </c>
      <c r="L673" s="4" t="s">
        <v>592</v>
      </c>
      <c r="M673" s="4" t="s">
        <v>593</v>
      </c>
      <c r="N673" s="3">
        <v>45898</v>
      </c>
      <c r="O673" s="4" t="s">
        <v>733</v>
      </c>
      <c r="P673" s="2">
        <v>2000</v>
      </c>
      <c r="Q673" s="2">
        <v>2898</v>
      </c>
      <c r="R673" s="4" t="s">
        <v>604</v>
      </c>
      <c r="S673" s="5">
        <v>60252900</v>
      </c>
    </row>
    <row r="674" spans="1:19" x14ac:dyDescent="0.25">
      <c r="A674" s="4" t="s">
        <v>61</v>
      </c>
      <c r="B674" s="4" t="s">
        <v>59</v>
      </c>
      <c r="C674" s="4" t="s">
        <v>62</v>
      </c>
      <c r="D674" s="4" t="s">
        <v>63</v>
      </c>
      <c r="E674" s="4" t="s">
        <v>568</v>
      </c>
      <c r="F674" s="4" t="s">
        <v>569</v>
      </c>
      <c r="G674" s="4" t="s">
        <v>199</v>
      </c>
      <c r="H674" s="4" t="s">
        <v>26</v>
      </c>
      <c r="I674" s="5">
        <v>65000000</v>
      </c>
      <c r="J674" s="5">
        <v>120000</v>
      </c>
      <c r="K674" s="5">
        <v>12000</v>
      </c>
      <c r="L674" s="4" t="s">
        <v>592</v>
      </c>
      <c r="M674" s="4" t="s">
        <v>593</v>
      </c>
      <c r="N674" s="3">
        <v>45898</v>
      </c>
      <c r="O674" s="4" t="s">
        <v>733</v>
      </c>
      <c r="P674" s="2">
        <v>1000</v>
      </c>
      <c r="Q674" s="2">
        <v>2899</v>
      </c>
      <c r="R674" s="4" t="s">
        <v>604</v>
      </c>
      <c r="S674" s="5">
        <v>60252900</v>
      </c>
    </row>
    <row r="675" spans="1:19" x14ac:dyDescent="0.25">
      <c r="A675" s="4" t="s">
        <v>61</v>
      </c>
      <c r="B675" s="4" t="s">
        <v>59</v>
      </c>
      <c r="C675" s="4" t="s">
        <v>62</v>
      </c>
      <c r="D675" s="4" t="s">
        <v>63</v>
      </c>
      <c r="E675" s="4" t="s">
        <v>568</v>
      </c>
      <c r="F675" s="4" t="s">
        <v>569</v>
      </c>
      <c r="G675" s="4" t="s">
        <v>199</v>
      </c>
      <c r="H675" s="4" t="s">
        <v>26</v>
      </c>
      <c r="I675" s="5">
        <v>65000000</v>
      </c>
      <c r="J675" s="5">
        <v>120000</v>
      </c>
      <c r="K675" s="5">
        <v>12000</v>
      </c>
      <c r="L675" s="4" t="s">
        <v>592</v>
      </c>
      <c r="M675" s="4" t="s">
        <v>593</v>
      </c>
      <c r="N675" s="3">
        <v>45898</v>
      </c>
      <c r="O675" s="4" t="s">
        <v>733</v>
      </c>
      <c r="P675" s="2">
        <v>2000</v>
      </c>
      <c r="Q675" s="2">
        <v>2899</v>
      </c>
      <c r="R675" s="4" t="s">
        <v>604</v>
      </c>
      <c r="S675" s="5">
        <v>60252900</v>
      </c>
    </row>
    <row r="676" spans="1:19" x14ac:dyDescent="0.25">
      <c r="A676" s="4" t="s">
        <v>61</v>
      </c>
      <c r="B676" s="4" t="s">
        <v>59</v>
      </c>
      <c r="C676" s="4" t="s">
        <v>62</v>
      </c>
      <c r="D676" s="4" t="s">
        <v>63</v>
      </c>
      <c r="E676" s="4" t="s">
        <v>568</v>
      </c>
      <c r="F676" s="4" t="s">
        <v>569</v>
      </c>
      <c r="G676" s="4" t="s">
        <v>199</v>
      </c>
      <c r="H676" s="4" t="s">
        <v>26</v>
      </c>
      <c r="I676" s="5">
        <v>65000000</v>
      </c>
      <c r="J676" s="5">
        <v>120000</v>
      </c>
      <c r="K676" s="5">
        <v>12000</v>
      </c>
      <c r="L676" s="4" t="s">
        <v>592</v>
      </c>
      <c r="M676" s="4" t="s">
        <v>593</v>
      </c>
      <c r="N676" s="3">
        <v>45898</v>
      </c>
      <c r="O676" s="4" t="s">
        <v>733</v>
      </c>
      <c r="P676" s="2">
        <v>3000</v>
      </c>
      <c r="Q676" s="2">
        <v>2899</v>
      </c>
      <c r="R676" s="4" t="s">
        <v>604</v>
      </c>
      <c r="S676" s="5">
        <v>60252900</v>
      </c>
    </row>
    <row r="677" spans="1:19" x14ac:dyDescent="0.25">
      <c r="A677" s="4" t="s">
        <v>61</v>
      </c>
      <c r="B677" s="4" t="s">
        <v>59</v>
      </c>
      <c r="C677" s="4" t="s">
        <v>62</v>
      </c>
      <c r="D677" s="4" t="s">
        <v>63</v>
      </c>
      <c r="E677" s="4" t="s">
        <v>568</v>
      </c>
      <c r="F677" s="4" t="s">
        <v>569</v>
      </c>
      <c r="G677" s="4" t="s">
        <v>199</v>
      </c>
      <c r="H677" s="4" t="s">
        <v>26</v>
      </c>
      <c r="I677" s="5">
        <v>65000000</v>
      </c>
      <c r="J677" s="5">
        <v>120000</v>
      </c>
      <c r="K677" s="5">
        <v>12000</v>
      </c>
      <c r="L677" s="4" t="s">
        <v>592</v>
      </c>
      <c r="M677" s="4" t="s">
        <v>593</v>
      </c>
      <c r="N677" s="3">
        <v>45898</v>
      </c>
      <c r="O677" s="4" t="s">
        <v>733</v>
      </c>
      <c r="P677" s="2">
        <v>4000</v>
      </c>
      <c r="Q677" s="2">
        <v>2899</v>
      </c>
      <c r="R677" s="4" t="s">
        <v>604</v>
      </c>
      <c r="S677" s="5">
        <v>60252900</v>
      </c>
    </row>
    <row r="678" spans="1:19" x14ac:dyDescent="0.25">
      <c r="A678" s="4" t="s">
        <v>61</v>
      </c>
      <c r="B678" s="4" t="s">
        <v>59</v>
      </c>
      <c r="C678" s="4" t="s">
        <v>62</v>
      </c>
      <c r="D678" s="4" t="s">
        <v>63</v>
      </c>
      <c r="E678" s="4" t="s">
        <v>310</v>
      </c>
      <c r="F678" s="4" t="s">
        <v>311</v>
      </c>
      <c r="G678" s="4" t="s">
        <v>190</v>
      </c>
      <c r="H678" s="4" t="s">
        <v>26</v>
      </c>
      <c r="I678" s="5">
        <v>90000000</v>
      </c>
      <c r="J678" s="5">
        <v>30000</v>
      </c>
      <c r="K678" s="5">
        <v>3000</v>
      </c>
      <c r="L678" s="4" t="s">
        <v>312</v>
      </c>
      <c r="M678" s="4" t="s">
        <v>313</v>
      </c>
      <c r="N678" s="3">
        <v>45877</v>
      </c>
      <c r="O678" s="4" t="s">
        <v>459</v>
      </c>
      <c r="P678" s="2">
        <v>1000</v>
      </c>
      <c r="Q678" s="2">
        <v>2901</v>
      </c>
      <c r="R678" s="4" t="s">
        <v>84</v>
      </c>
      <c r="S678" s="5">
        <v>86184030</v>
      </c>
    </row>
    <row r="679" spans="1:19" x14ac:dyDescent="0.25">
      <c r="A679" s="4" t="s">
        <v>61</v>
      </c>
      <c r="B679" s="4" t="s">
        <v>59</v>
      </c>
      <c r="C679" s="4" t="s">
        <v>62</v>
      </c>
      <c r="D679" s="4" t="s">
        <v>63</v>
      </c>
      <c r="E679" s="4" t="s">
        <v>202</v>
      </c>
      <c r="F679" s="4" t="s">
        <v>203</v>
      </c>
      <c r="G679" s="4" t="s">
        <v>100</v>
      </c>
      <c r="H679" s="4" t="s">
        <v>26</v>
      </c>
      <c r="I679" s="5">
        <v>65000000</v>
      </c>
      <c r="J679" s="5">
        <v>75000</v>
      </c>
      <c r="K679" s="5">
        <v>7500</v>
      </c>
      <c r="L679" s="4" t="s">
        <v>320</v>
      </c>
      <c r="M679" s="4" t="s">
        <v>321</v>
      </c>
      <c r="N679" s="3">
        <v>45898</v>
      </c>
      <c r="O679" s="4" t="s">
        <v>733</v>
      </c>
      <c r="P679" s="2">
        <v>1000</v>
      </c>
      <c r="Q679" s="2">
        <v>2905</v>
      </c>
      <c r="R679" s="4" t="s">
        <v>26</v>
      </c>
      <c r="S679" s="5">
        <v>63226550</v>
      </c>
    </row>
    <row r="680" spans="1:19" x14ac:dyDescent="0.25">
      <c r="A680" s="4" t="s">
        <v>61</v>
      </c>
      <c r="B680" s="4" t="s">
        <v>59</v>
      </c>
      <c r="C680" s="4" t="s">
        <v>62</v>
      </c>
      <c r="D680" s="4" t="s">
        <v>63</v>
      </c>
      <c r="E680" s="4" t="s">
        <v>202</v>
      </c>
      <c r="F680" s="4" t="s">
        <v>203</v>
      </c>
      <c r="G680" s="4" t="s">
        <v>100</v>
      </c>
      <c r="H680" s="4" t="s">
        <v>26</v>
      </c>
      <c r="I680" s="5">
        <v>65000000</v>
      </c>
      <c r="J680" s="5">
        <v>75000</v>
      </c>
      <c r="K680" s="5">
        <v>7500</v>
      </c>
      <c r="L680" s="4" t="s">
        <v>320</v>
      </c>
      <c r="M680" s="4" t="s">
        <v>321</v>
      </c>
      <c r="N680" s="3">
        <v>45898</v>
      </c>
      <c r="O680" s="4" t="s">
        <v>733</v>
      </c>
      <c r="P680" s="2">
        <v>2000</v>
      </c>
      <c r="Q680" s="2">
        <v>2905</v>
      </c>
      <c r="R680" s="4" t="s">
        <v>26</v>
      </c>
      <c r="S680" s="5">
        <v>63226550</v>
      </c>
    </row>
    <row r="681" spans="1:19" x14ac:dyDescent="0.25">
      <c r="A681" s="4" t="s">
        <v>61</v>
      </c>
      <c r="B681" s="4" t="s">
        <v>59</v>
      </c>
      <c r="C681" s="4" t="s">
        <v>62</v>
      </c>
      <c r="D681" s="4" t="s">
        <v>63</v>
      </c>
      <c r="E681" s="4" t="s">
        <v>202</v>
      </c>
      <c r="F681" s="4" t="s">
        <v>203</v>
      </c>
      <c r="G681" s="4" t="s">
        <v>100</v>
      </c>
      <c r="H681" s="4" t="s">
        <v>26</v>
      </c>
      <c r="I681" s="5">
        <v>65000000</v>
      </c>
      <c r="J681" s="5">
        <v>139000</v>
      </c>
      <c r="K681" s="5">
        <v>13900</v>
      </c>
      <c r="L681" s="4" t="s">
        <v>320</v>
      </c>
      <c r="M681" s="4" t="s">
        <v>321</v>
      </c>
      <c r="N681" s="3">
        <v>45898</v>
      </c>
      <c r="O681" s="4" t="s">
        <v>733</v>
      </c>
      <c r="P681" s="2">
        <v>3000</v>
      </c>
      <c r="Q681" s="2">
        <v>2905</v>
      </c>
      <c r="R681" s="4" t="s">
        <v>26</v>
      </c>
      <c r="S681" s="5">
        <v>63226550</v>
      </c>
    </row>
    <row r="682" spans="1:19" x14ac:dyDescent="0.25">
      <c r="A682" s="4" t="s">
        <v>61</v>
      </c>
      <c r="B682" s="4" t="s">
        <v>59</v>
      </c>
      <c r="C682" s="4" t="s">
        <v>62</v>
      </c>
      <c r="D682" s="4" t="s">
        <v>63</v>
      </c>
      <c r="E682" s="4" t="s">
        <v>178</v>
      </c>
      <c r="F682" s="4" t="s">
        <v>179</v>
      </c>
      <c r="G682" s="4" t="s">
        <v>124</v>
      </c>
      <c r="H682" s="4" t="s">
        <v>26</v>
      </c>
      <c r="I682" s="5">
        <v>65000000</v>
      </c>
      <c r="J682" s="5">
        <v>97000</v>
      </c>
      <c r="K682" s="5">
        <v>9700</v>
      </c>
      <c r="L682" s="4" t="s">
        <v>214</v>
      </c>
      <c r="M682" s="4" t="s">
        <v>215</v>
      </c>
      <c r="N682" s="3">
        <v>45891</v>
      </c>
      <c r="O682" s="4" t="s">
        <v>732</v>
      </c>
      <c r="P682" s="2">
        <v>1000</v>
      </c>
      <c r="Q682" s="2">
        <v>2906</v>
      </c>
      <c r="R682" s="4" t="s">
        <v>26</v>
      </c>
      <c r="S682" s="5">
        <v>54146650</v>
      </c>
    </row>
    <row r="683" spans="1:19" x14ac:dyDescent="0.25">
      <c r="A683" s="4" t="s">
        <v>61</v>
      </c>
      <c r="B683" s="4" t="s">
        <v>59</v>
      </c>
      <c r="C683" s="4" t="s">
        <v>62</v>
      </c>
      <c r="D683" s="4" t="s">
        <v>63</v>
      </c>
      <c r="E683" s="4" t="s">
        <v>202</v>
      </c>
      <c r="F683" s="4" t="s">
        <v>203</v>
      </c>
      <c r="G683" s="4" t="s">
        <v>100</v>
      </c>
      <c r="H683" s="4" t="s">
        <v>26</v>
      </c>
      <c r="I683" s="5">
        <v>65000000</v>
      </c>
      <c r="J683" s="5">
        <v>75000</v>
      </c>
      <c r="K683" s="5">
        <v>7500</v>
      </c>
      <c r="L683" s="4" t="s">
        <v>291</v>
      </c>
      <c r="M683" s="4" t="s">
        <v>292</v>
      </c>
      <c r="N683" s="3">
        <v>45898</v>
      </c>
      <c r="O683" s="4" t="s">
        <v>733</v>
      </c>
      <c r="P683" s="2">
        <v>1000</v>
      </c>
      <c r="Q683" s="2">
        <v>2909</v>
      </c>
      <c r="R683" s="4" t="s">
        <v>756</v>
      </c>
      <c r="S683" s="5">
        <v>63226550</v>
      </c>
    </row>
    <row r="684" spans="1:19" x14ac:dyDescent="0.25">
      <c r="A684" s="4" t="s">
        <v>61</v>
      </c>
      <c r="B684" s="4" t="s">
        <v>59</v>
      </c>
      <c r="C684" s="4" t="s">
        <v>62</v>
      </c>
      <c r="D684" s="4" t="s">
        <v>63</v>
      </c>
      <c r="E684" s="4" t="s">
        <v>202</v>
      </c>
      <c r="F684" s="4" t="s">
        <v>203</v>
      </c>
      <c r="G684" s="4" t="s">
        <v>100</v>
      </c>
      <c r="H684" s="4" t="s">
        <v>26</v>
      </c>
      <c r="I684" s="5">
        <v>65000000</v>
      </c>
      <c r="J684" s="5">
        <v>75000</v>
      </c>
      <c r="K684" s="5">
        <v>7500</v>
      </c>
      <c r="L684" s="4" t="s">
        <v>291</v>
      </c>
      <c r="M684" s="4" t="s">
        <v>292</v>
      </c>
      <c r="N684" s="3">
        <v>45898</v>
      </c>
      <c r="O684" s="4" t="s">
        <v>733</v>
      </c>
      <c r="P684" s="2">
        <v>2000</v>
      </c>
      <c r="Q684" s="2">
        <v>2909</v>
      </c>
      <c r="R684" s="4" t="s">
        <v>756</v>
      </c>
      <c r="S684" s="5">
        <v>63226550</v>
      </c>
    </row>
    <row r="685" spans="1:19" x14ac:dyDescent="0.25">
      <c r="A685" s="4" t="s">
        <v>61</v>
      </c>
      <c r="B685" s="4" t="s">
        <v>59</v>
      </c>
      <c r="C685" s="4" t="s">
        <v>62</v>
      </c>
      <c r="D685" s="4" t="s">
        <v>63</v>
      </c>
      <c r="E685" s="4" t="s">
        <v>202</v>
      </c>
      <c r="F685" s="4" t="s">
        <v>203</v>
      </c>
      <c r="G685" s="4" t="s">
        <v>100</v>
      </c>
      <c r="H685" s="4" t="s">
        <v>26</v>
      </c>
      <c r="I685" s="5">
        <v>65000000</v>
      </c>
      <c r="J685" s="5">
        <v>75000</v>
      </c>
      <c r="K685" s="5">
        <v>7500</v>
      </c>
      <c r="L685" s="4" t="s">
        <v>291</v>
      </c>
      <c r="M685" s="4" t="s">
        <v>292</v>
      </c>
      <c r="N685" s="3">
        <v>45898</v>
      </c>
      <c r="O685" s="4" t="s">
        <v>733</v>
      </c>
      <c r="P685" s="2">
        <v>3000</v>
      </c>
      <c r="Q685" s="2">
        <v>2909</v>
      </c>
      <c r="R685" s="4" t="s">
        <v>756</v>
      </c>
      <c r="S685" s="5">
        <v>63226550</v>
      </c>
    </row>
    <row r="686" spans="1:19" x14ac:dyDescent="0.25">
      <c r="A686" s="4" t="s">
        <v>61</v>
      </c>
      <c r="B686" s="4" t="s">
        <v>59</v>
      </c>
      <c r="C686" s="4" t="s">
        <v>62</v>
      </c>
      <c r="D686" s="4" t="s">
        <v>63</v>
      </c>
      <c r="E686" s="4" t="s">
        <v>202</v>
      </c>
      <c r="F686" s="4" t="s">
        <v>203</v>
      </c>
      <c r="G686" s="4" t="s">
        <v>100</v>
      </c>
      <c r="H686" s="4" t="s">
        <v>26</v>
      </c>
      <c r="I686" s="5">
        <v>65000000</v>
      </c>
      <c r="J686" s="5">
        <v>75000</v>
      </c>
      <c r="K686" s="5">
        <v>7500</v>
      </c>
      <c r="L686" s="4" t="s">
        <v>291</v>
      </c>
      <c r="M686" s="4" t="s">
        <v>292</v>
      </c>
      <c r="N686" s="3">
        <v>45898</v>
      </c>
      <c r="O686" s="4" t="s">
        <v>733</v>
      </c>
      <c r="P686" s="2">
        <v>4000</v>
      </c>
      <c r="Q686" s="2">
        <v>2909</v>
      </c>
      <c r="R686" s="4" t="s">
        <v>756</v>
      </c>
      <c r="S686" s="5">
        <v>63226550</v>
      </c>
    </row>
    <row r="687" spans="1:19" x14ac:dyDescent="0.25">
      <c r="A687" s="4" t="s">
        <v>61</v>
      </c>
      <c r="B687" s="4" t="s">
        <v>59</v>
      </c>
      <c r="C687" s="4" t="s">
        <v>62</v>
      </c>
      <c r="D687" s="4" t="s">
        <v>63</v>
      </c>
      <c r="E687" s="4" t="s">
        <v>202</v>
      </c>
      <c r="F687" s="4" t="s">
        <v>203</v>
      </c>
      <c r="G687" s="4" t="s">
        <v>100</v>
      </c>
      <c r="H687" s="4" t="s">
        <v>26</v>
      </c>
      <c r="I687" s="5">
        <v>65000000</v>
      </c>
      <c r="J687" s="5">
        <v>97500</v>
      </c>
      <c r="K687" s="5">
        <v>9750</v>
      </c>
      <c r="L687" s="4" t="s">
        <v>291</v>
      </c>
      <c r="M687" s="4" t="s">
        <v>292</v>
      </c>
      <c r="N687" s="3">
        <v>45898</v>
      </c>
      <c r="O687" s="4" t="s">
        <v>733</v>
      </c>
      <c r="P687" s="2">
        <v>5000</v>
      </c>
      <c r="Q687" s="2">
        <v>2909</v>
      </c>
      <c r="R687" s="4" t="s">
        <v>756</v>
      </c>
      <c r="S687" s="5">
        <v>63226550</v>
      </c>
    </row>
    <row r="688" spans="1:19" x14ac:dyDescent="0.25">
      <c r="A688" s="4" t="s">
        <v>61</v>
      </c>
      <c r="B688" s="4" t="s">
        <v>59</v>
      </c>
      <c r="C688" s="4" t="s">
        <v>62</v>
      </c>
      <c r="D688" s="4" t="s">
        <v>63</v>
      </c>
      <c r="E688" s="4" t="s">
        <v>202</v>
      </c>
      <c r="F688" s="4" t="s">
        <v>203</v>
      </c>
      <c r="G688" s="4" t="s">
        <v>100</v>
      </c>
      <c r="H688" s="4" t="s">
        <v>26</v>
      </c>
      <c r="I688" s="5">
        <v>65000000</v>
      </c>
      <c r="J688" s="5">
        <v>97500</v>
      </c>
      <c r="K688" s="5">
        <v>9750</v>
      </c>
      <c r="L688" s="4" t="s">
        <v>291</v>
      </c>
      <c r="M688" s="4" t="s">
        <v>292</v>
      </c>
      <c r="N688" s="3">
        <v>45898</v>
      </c>
      <c r="O688" s="4" t="s">
        <v>733</v>
      </c>
      <c r="P688" s="2">
        <v>6000</v>
      </c>
      <c r="Q688" s="2">
        <v>2909</v>
      </c>
      <c r="R688" s="4" t="s">
        <v>756</v>
      </c>
      <c r="S688" s="5">
        <v>63226550</v>
      </c>
    </row>
    <row r="689" spans="1:19" x14ac:dyDescent="0.25">
      <c r="A689" s="4" t="s">
        <v>61</v>
      </c>
      <c r="B689" s="4" t="s">
        <v>59</v>
      </c>
      <c r="C689" s="4" t="s">
        <v>62</v>
      </c>
      <c r="D689" s="4" t="s">
        <v>63</v>
      </c>
      <c r="E689" s="4" t="s">
        <v>178</v>
      </c>
      <c r="F689" s="4" t="s">
        <v>179</v>
      </c>
      <c r="G689" s="4" t="s">
        <v>124</v>
      </c>
      <c r="H689" s="4" t="s">
        <v>26</v>
      </c>
      <c r="I689" s="5">
        <v>65000000</v>
      </c>
      <c r="J689" s="5">
        <v>34000</v>
      </c>
      <c r="K689" s="5">
        <v>3400</v>
      </c>
      <c r="L689" s="4" t="s">
        <v>26</v>
      </c>
      <c r="M689" s="4" t="s">
        <v>26</v>
      </c>
      <c r="N689" s="3">
        <v>45875</v>
      </c>
      <c r="O689" s="4" t="s">
        <v>154</v>
      </c>
      <c r="P689" s="2">
        <v>1000</v>
      </c>
      <c r="Q689" s="2">
        <v>2910</v>
      </c>
      <c r="R689" s="4" t="s">
        <v>84</v>
      </c>
      <c r="S689" s="5">
        <v>54146650</v>
      </c>
    </row>
    <row r="690" spans="1:19" x14ac:dyDescent="0.25">
      <c r="A690" s="4" t="s">
        <v>61</v>
      </c>
      <c r="B690" s="4" t="s">
        <v>59</v>
      </c>
      <c r="C690" s="4" t="s">
        <v>62</v>
      </c>
      <c r="D690" s="4" t="s">
        <v>63</v>
      </c>
      <c r="E690" s="4" t="s">
        <v>255</v>
      </c>
      <c r="F690" s="4" t="s">
        <v>256</v>
      </c>
      <c r="G690" s="4" t="s">
        <v>144</v>
      </c>
      <c r="H690" s="4" t="s">
        <v>26</v>
      </c>
      <c r="I690" s="5">
        <v>90000000</v>
      </c>
      <c r="J690" s="5">
        <v>169000</v>
      </c>
      <c r="K690" s="5">
        <v>16900</v>
      </c>
      <c r="L690" s="4" t="s">
        <v>281</v>
      </c>
      <c r="M690" s="4" t="s">
        <v>282</v>
      </c>
      <c r="N690" s="3">
        <v>45892</v>
      </c>
      <c r="O690" s="4" t="s">
        <v>626</v>
      </c>
      <c r="P690" s="2">
        <v>1000</v>
      </c>
      <c r="Q690" s="2">
        <v>2914</v>
      </c>
      <c r="R690" s="4" t="s">
        <v>763</v>
      </c>
      <c r="S690" s="5">
        <v>81505500</v>
      </c>
    </row>
    <row r="691" spans="1:19" x14ac:dyDescent="0.25">
      <c r="A691" s="4" t="s">
        <v>61</v>
      </c>
      <c r="B691" s="4" t="s">
        <v>59</v>
      </c>
      <c r="C691" s="4" t="s">
        <v>62</v>
      </c>
      <c r="D691" s="4" t="s">
        <v>63</v>
      </c>
      <c r="E691" s="4" t="s">
        <v>95</v>
      </c>
      <c r="F691" s="4" t="s">
        <v>96</v>
      </c>
      <c r="G691" s="4" t="s">
        <v>97</v>
      </c>
      <c r="H691" s="4" t="s">
        <v>26</v>
      </c>
      <c r="I691" s="5">
        <v>155000000</v>
      </c>
      <c r="J691" s="5">
        <v>40500</v>
      </c>
      <c r="K691" s="5">
        <v>4050</v>
      </c>
      <c r="L691" s="4" t="s">
        <v>26</v>
      </c>
      <c r="M691" s="4" t="s">
        <v>26</v>
      </c>
      <c r="N691" s="3">
        <v>45881</v>
      </c>
      <c r="O691" s="4" t="s">
        <v>432</v>
      </c>
      <c r="P691" s="2">
        <v>1000</v>
      </c>
      <c r="Q691" s="2">
        <v>2933</v>
      </c>
      <c r="R691" s="4" t="s">
        <v>747</v>
      </c>
      <c r="S691" s="5">
        <v>154473500</v>
      </c>
    </row>
    <row r="692" spans="1:19" x14ac:dyDescent="0.25">
      <c r="A692" s="4" t="s">
        <v>61</v>
      </c>
      <c r="B692" s="4" t="s">
        <v>59</v>
      </c>
      <c r="C692" s="4" t="s">
        <v>62</v>
      </c>
      <c r="D692" s="4" t="s">
        <v>63</v>
      </c>
      <c r="E692" s="4" t="s">
        <v>635</v>
      </c>
      <c r="F692" s="4" t="s">
        <v>636</v>
      </c>
      <c r="G692" s="4" t="s">
        <v>222</v>
      </c>
      <c r="H692" s="4" t="s">
        <v>26</v>
      </c>
      <c r="I692" s="5">
        <v>110000000</v>
      </c>
      <c r="J692" s="5">
        <v>290000</v>
      </c>
      <c r="K692" s="5">
        <v>29000</v>
      </c>
      <c r="L692" s="4" t="s">
        <v>637</v>
      </c>
      <c r="M692" s="4" t="s">
        <v>638</v>
      </c>
      <c r="N692" s="3">
        <v>45898</v>
      </c>
      <c r="O692" s="4" t="s">
        <v>733</v>
      </c>
      <c r="P692" s="2">
        <v>1000</v>
      </c>
      <c r="Q692" s="2">
        <v>2933</v>
      </c>
      <c r="R692" s="4" t="s">
        <v>604</v>
      </c>
      <c r="S692" s="5">
        <v>102037000</v>
      </c>
    </row>
    <row r="693" spans="1:19" x14ac:dyDescent="0.25">
      <c r="A693" s="4" t="s">
        <v>61</v>
      </c>
      <c r="B693" s="4" t="s">
        <v>59</v>
      </c>
      <c r="C693" s="4" t="s">
        <v>62</v>
      </c>
      <c r="D693" s="4" t="s">
        <v>63</v>
      </c>
      <c r="E693" s="4" t="s">
        <v>635</v>
      </c>
      <c r="F693" s="4" t="s">
        <v>636</v>
      </c>
      <c r="G693" s="4" t="s">
        <v>222</v>
      </c>
      <c r="H693" s="4" t="s">
        <v>26</v>
      </c>
      <c r="I693" s="5">
        <v>110000000</v>
      </c>
      <c r="J693" s="5">
        <v>99000</v>
      </c>
      <c r="K693" s="5">
        <v>9900</v>
      </c>
      <c r="L693" s="4" t="s">
        <v>637</v>
      </c>
      <c r="M693" s="4" t="s">
        <v>638</v>
      </c>
      <c r="N693" s="3">
        <v>45898</v>
      </c>
      <c r="O693" s="4" t="s">
        <v>733</v>
      </c>
      <c r="P693" s="2">
        <v>2000</v>
      </c>
      <c r="Q693" s="2">
        <v>2933</v>
      </c>
      <c r="R693" s="4" t="s">
        <v>604</v>
      </c>
      <c r="S693" s="5">
        <v>102037000</v>
      </c>
    </row>
    <row r="694" spans="1:19" x14ac:dyDescent="0.25">
      <c r="A694" s="4" t="s">
        <v>61</v>
      </c>
      <c r="B694" s="4" t="s">
        <v>59</v>
      </c>
      <c r="C694" s="4" t="s">
        <v>62</v>
      </c>
      <c r="D694" s="4" t="s">
        <v>63</v>
      </c>
      <c r="E694" s="4" t="s">
        <v>635</v>
      </c>
      <c r="F694" s="4" t="s">
        <v>636</v>
      </c>
      <c r="G694" s="4" t="s">
        <v>222</v>
      </c>
      <c r="H694" s="4" t="s">
        <v>26</v>
      </c>
      <c r="I694" s="5">
        <v>110000000</v>
      </c>
      <c r="J694" s="5">
        <v>138000</v>
      </c>
      <c r="K694" s="5">
        <v>13800</v>
      </c>
      <c r="L694" s="4" t="s">
        <v>637</v>
      </c>
      <c r="M694" s="4" t="s">
        <v>638</v>
      </c>
      <c r="N694" s="3">
        <v>45898</v>
      </c>
      <c r="O694" s="4" t="s">
        <v>733</v>
      </c>
      <c r="P694" s="2">
        <v>3000</v>
      </c>
      <c r="Q694" s="2">
        <v>2933</v>
      </c>
      <c r="R694" s="4" t="s">
        <v>604</v>
      </c>
      <c r="S694" s="5">
        <v>102037000</v>
      </c>
    </row>
    <row r="695" spans="1:19" x14ac:dyDescent="0.25">
      <c r="A695" s="4" t="s">
        <v>61</v>
      </c>
      <c r="B695" s="4" t="s">
        <v>59</v>
      </c>
      <c r="C695" s="4" t="s">
        <v>62</v>
      </c>
      <c r="D695" s="4" t="s">
        <v>63</v>
      </c>
      <c r="E695" s="4" t="s">
        <v>635</v>
      </c>
      <c r="F695" s="4" t="s">
        <v>636</v>
      </c>
      <c r="G695" s="4" t="s">
        <v>222</v>
      </c>
      <c r="H695" s="4" t="s">
        <v>26</v>
      </c>
      <c r="I695" s="5">
        <v>110000000</v>
      </c>
      <c r="J695" s="5">
        <v>139000</v>
      </c>
      <c r="K695" s="5">
        <v>13900</v>
      </c>
      <c r="L695" s="4" t="s">
        <v>637</v>
      </c>
      <c r="M695" s="4" t="s">
        <v>638</v>
      </c>
      <c r="N695" s="3">
        <v>45898</v>
      </c>
      <c r="O695" s="4" t="s">
        <v>733</v>
      </c>
      <c r="P695" s="2">
        <v>4000</v>
      </c>
      <c r="Q695" s="2">
        <v>2933</v>
      </c>
      <c r="R695" s="4" t="s">
        <v>758</v>
      </c>
      <c r="S695" s="5">
        <v>102037000</v>
      </c>
    </row>
    <row r="696" spans="1:19" x14ac:dyDescent="0.25">
      <c r="A696" s="4" t="s">
        <v>61</v>
      </c>
      <c r="B696" s="4" t="s">
        <v>59</v>
      </c>
      <c r="C696" s="4" t="s">
        <v>62</v>
      </c>
      <c r="D696" s="4" t="s">
        <v>63</v>
      </c>
      <c r="E696" s="4" t="s">
        <v>635</v>
      </c>
      <c r="F696" s="4" t="s">
        <v>636</v>
      </c>
      <c r="G696" s="4" t="s">
        <v>222</v>
      </c>
      <c r="H696" s="4" t="s">
        <v>26</v>
      </c>
      <c r="I696" s="5">
        <v>110000000</v>
      </c>
      <c r="J696" s="5">
        <v>179000</v>
      </c>
      <c r="K696" s="5">
        <v>17900</v>
      </c>
      <c r="L696" s="4" t="s">
        <v>637</v>
      </c>
      <c r="M696" s="4" t="s">
        <v>638</v>
      </c>
      <c r="N696" s="3">
        <v>45898</v>
      </c>
      <c r="O696" s="4" t="s">
        <v>733</v>
      </c>
      <c r="P696" s="2">
        <v>5000</v>
      </c>
      <c r="Q696" s="2">
        <v>2933</v>
      </c>
      <c r="R696" s="4" t="s">
        <v>758</v>
      </c>
      <c r="S696" s="5">
        <v>102037000</v>
      </c>
    </row>
    <row r="697" spans="1:19" x14ac:dyDescent="0.25">
      <c r="A697" s="4" t="s">
        <v>61</v>
      </c>
      <c r="B697" s="4" t="s">
        <v>59</v>
      </c>
      <c r="C697" s="4" t="s">
        <v>62</v>
      </c>
      <c r="D697" s="4" t="s">
        <v>63</v>
      </c>
      <c r="E697" s="4" t="s">
        <v>635</v>
      </c>
      <c r="F697" s="4" t="s">
        <v>636</v>
      </c>
      <c r="G697" s="4" t="s">
        <v>222</v>
      </c>
      <c r="H697" s="4" t="s">
        <v>26</v>
      </c>
      <c r="I697" s="5">
        <v>110000000</v>
      </c>
      <c r="J697" s="5">
        <v>99000</v>
      </c>
      <c r="K697" s="5">
        <v>9900</v>
      </c>
      <c r="L697" s="4" t="s">
        <v>637</v>
      </c>
      <c r="M697" s="4" t="s">
        <v>638</v>
      </c>
      <c r="N697" s="3">
        <v>45898</v>
      </c>
      <c r="O697" s="4" t="s">
        <v>733</v>
      </c>
      <c r="P697" s="2">
        <v>6000</v>
      </c>
      <c r="Q697" s="2">
        <v>2933</v>
      </c>
      <c r="R697" s="4" t="s">
        <v>758</v>
      </c>
      <c r="S697" s="5">
        <v>102037000</v>
      </c>
    </row>
    <row r="698" spans="1:19" x14ac:dyDescent="0.25">
      <c r="A698" s="4" t="s">
        <v>61</v>
      </c>
      <c r="B698" s="4" t="s">
        <v>59</v>
      </c>
      <c r="C698" s="4" t="s">
        <v>62</v>
      </c>
      <c r="D698" s="4" t="s">
        <v>63</v>
      </c>
      <c r="E698" s="4" t="s">
        <v>635</v>
      </c>
      <c r="F698" s="4" t="s">
        <v>636</v>
      </c>
      <c r="G698" s="4" t="s">
        <v>222</v>
      </c>
      <c r="H698" s="4" t="s">
        <v>26</v>
      </c>
      <c r="I698" s="5">
        <v>110000000</v>
      </c>
      <c r="J698" s="5">
        <v>159000</v>
      </c>
      <c r="K698" s="5">
        <v>15900</v>
      </c>
      <c r="L698" s="4" t="s">
        <v>637</v>
      </c>
      <c r="M698" s="4" t="s">
        <v>638</v>
      </c>
      <c r="N698" s="3">
        <v>45898</v>
      </c>
      <c r="O698" s="4" t="s">
        <v>733</v>
      </c>
      <c r="P698" s="2">
        <v>7000</v>
      </c>
      <c r="Q698" s="2">
        <v>2933</v>
      </c>
      <c r="R698" s="4" t="s">
        <v>758</v>
      </c>
      <c r="S698" s="5">
        <v>102037000</v>
      </c>
    </row>
    <row r="699" spans="1:19" x14ac:dyDescent="0.25">
      <c r="A699" s="4" t="s">
        <v>61</v>
      </c>
      <c r="B699" s="4" t="s">
        <v>59</v>
      </c>
      <c r="C699" s="4" t="s">
        <v>62</v>
      </c>
      <c r="D699" s="4" t="s">
        <v>63</v>
      </c>
      <c r="E699" s="4" t="s">
        <v>635</v>
      </c>
      <c r="F699" s="4" t="s">
        <v>636</v>
      </c>
      <c r="G699" s="4" t="s">
        <v>222</v>
      </c>
      <c r="H699" s="4" t="s">
        <v>26</v>
      </c>
      <c r="I699" s="5">
        <v>110000000</v>
      </c>
      <c r="J699" s="5">
        <v>120000</v>
      </c>
      <c r="K699" s="5">
        <v>12000</v>
      </c>
      <c r="L699" s="4" t="s">
        <v>257</v>
      </c>
      <c r="M699" s="4" t="s">
        <v>258</v>
      </c>
      <c r="N699" s="3">
        <v>45898</v>
      </c>
      <c r="O699" s="4" t="s">
        <v>733</v>
      </c>
      <c r="P699" s="2">
        <v>1000</v>
      </c>
      <c r="Q699" s="2">
        <v>2934</v>
      </c>
      <c r="R699" s="4" t="s">
        <v>604</v>
      </c>
      <c r="S699" s="5">
        <v>102037000</v>
      </c>
    </row>
    <row r="700" spans="1:19" x14ac:dyDescent="0.25">
      <c r="A700" s="4" t="s">
        <v>61</v>
      </c>
      <c r="B700" s="4" t="s">
        <v>59</v>
      </c>
      <c r="C700" s="4" t="s">
        <v>62</v>
      </c>
      <c r="D700" s="4" t="s">
        <v>63</v>
      </c>
      <c r="E700" s="4" t="s">
        <v>635</v>
      </c>
      <c r="F700" s="4" t="s">
        <v>636</v>
      </c>
      <c r="G700" s="4" t="s">
        <v>222</v>
      </c>
      <c r="H700" s="4" t="s">
        <v>26</v>
      </c>
      <c r="I700" s="5">
        <v>110000000</v>
      </c>
      <c r="J700" s="5">
        <v>120000</v>
      </c>
      <c r="K700" s="5">
        <v>12000</v>
      </c>
      <c r="L700" s="4" t="s">
        <v>257</v>
      </c>
      <c r="M700" s="4" t="s">
        <v>258</v>
      </c>
      <c r="N700" s="3">
        <v>45898</v>
      </c>
      <c r="O700" s="4" t="s">
        <v>733</v>
      </c>
      <c r="P700" s="2">
        <v>2000</v>
      </c>
      <c r="Q700" s="2">
        <v>2934</v>
      </c>
      <c r="R700" s="4" t="s">
        <v>604</v>
      </c>
      <c r="S700" s="5">
        <v>102037000</v>
      </c>
    </row>
    <row r="701" spans="1:19" x14ac:dyDescent="0.25">
      <c r="A701" s="4" t="s">
        <v>61</v>
      </c>
      <c r="B701" s="4" t="s">
        <v>59</v>
      </c>
      <c r="C701" s="4" t="s">
        <v>62</v>
      </c>
      <c r="D701" s="4" t="s">
        <v>63</v>
      </c>
      <c r="E701" s="4" t="s">
        <v>635</v>
      </c>
      <c r="F701" s="4" t="s">
        <v>636</v>
      </c>
      <c r="G701" s="4" t="s">
        <v>222</v>
      </c>
      <c r="H701" s="4" t="s">
        <v>26</v>
      </c>
      <c r="I701" s="5">
        <v>110000000</v>
      </c>
      <c r="J701" s="5">
        <v>120000</v>
      </c>
      <c r="K701" s="5">
        <v>12000</v>
      </c>
      <c r="L701" s="4" t="s">
        <v>257</v>
      </c>
      <c r="M701" s="4" t="s">
        <v>258</v>
      </c>
      <c r="N701" s="3">
        <v>45898</v>
      </c>
      <c r="O701" s="4" t="s">
        <v>733</v>
      </c>
      <c r="P701" s="2">
        <v>3000</v>
      </c>
      <c r="Q701" s="2">
        <v>2934</v>
      </c>
      <c r="R701" s="4" t="s">
        <v>604</v>
      </c>
      <c r="S701" s="5">
        <v>102037000</v>
      </c>
    </row>
    <row r="702" spans="1:19" x14ac:dyDescent="0.25">
      <c r="A702" s="4" t="s">
        <v>61</v>
      </c>
      <c r="B702" s="4" t="s">
        <v>59</v>
      </c>
      <c r="C702" s="4" t="s">
        <v>62</v>
      </c>
      <c r="D702" s="4" t="s">
        <v>63</v>
      </c>
      <c r="E702" s="4" t="s">
        <v>635</v>
      </c>
      <c r="F702" s="4" t="s">
        <v>636</v>
      </c>
      <c r="G702" s="4" t="s">
        <v>222</v>
      </c>
      <c r="H702" s="4" t="s">
        <v>26</v>
      </c>
      <c r="I702" s="5">
        <v>110000000</v>
      </c>
      <c r="J702" s="5">
        <v>120000</v>
      </c>
      <c r="K702" s="5">
        <v>12000</v>
      </c>
      <c r="L702" s="4" t="s">
        <v>257</v>
      </c>
      <c r="M702" s="4" t="s">
        <v>258</v>
      </c>
      <c r="N702" s="3">
        <v>45898</v>
      </c>
      <c r="O702" s="4" t="s">
        <v>733</v>
      </c>
      <c r="P702" s="2">
        <v>4000</v>
      </c>
      <c r="Q702" s="2">
        <v>2934</v>
      </c>
      <c r="R702" s="4" t="s">
        <v>604</v>
      </c>
      <c r="S702" s="5">
        <v>102037000</v>
      </c>
    </row>
    <row r="703" spans="1:19" x14ac:dyDescent="0.25">
      <c r="A703" s="4" t="s">
        <v>61</v>
      </c>
      <c r="B703" s="4" t="s">
        <v>59</v>
      </c>
      <c r="C703" s="4" t="s">
        <v>62</v>
      </c>
      <c r="D703" s="4" t="s">
        <v>63</v>
      </c>
      <c r="E703" s="4" t="s">
        <v>635</v>
      </c>
      <c r="F703" s="4" t="s">
        <v>636</v>
      </c>
      <c r="G703" s="4" t="s">
        <v>222</v>
      </c>
      <c r="H703" s="4" t="s">
        <v>26</v>
      </c>
      <c r="I703" s="5">
        <v>110000000</v>
      </c>
      <c r="J703" s="5">
        <v>120000</v>
      </c>
      <c r="K703" s="5">
        <v>12000</v>
      </c>
      <c r="L703" s="4" t="s">
        <v>257</v>
      </c>
      <c r="M703" s="4" t="s">
        <v>258</v>
      </c>
      <c r="N703" s="3">
        <v>45898</v>
      </c>
      <c r="O703" s="4" t="s">
        <v>733</v>
      </c>
      <c r="P703" s="2">
        <v>5000</v>
      </c>
      <c r="Q703" s="2">
        <v>2934</v>
      </c>
      <c r="R703" s="4" t="s">
        <v>604</v>
      </c>
      <c r="S703" s="5">
        <v>102037000</v>
      </c>
    </row>
    <row r="704" spans="1:19" x14ac:dyDescent="0.25">
      <c r="A704" s="4" t="s">
        <v>61</v>
      </c>
      <c r="B704" s="4" t="s">
        <v>59</v>
      </c>
      <c r="C704" s="4" t="s">
        <v>62</v>
      </c>
      <c r="D704" s="4" t="s">
        <v>63</v>
      </c>
      <c r="E704" s="4" t="s">
        <v>635</v>
      </c>
      <c r="F704" s="4" t="s">
        <v>636</v>
      </c>
      <c r="G704" s="4" t="s">
        <v>222</v>
      </c>
      <c r="H704" s="4" t="s">
        <v>26</v>
      </c>
      <c r="I704" s="5">
        <v>110000000</v>
      </c>
      <c r="J704" s="5">
        <v>120000</v>
      </c>
      <c r="K704" s="5">
        <v>12000</v>
      </c>
      <c r="L704" s="4" t="s">
        <v>257</v>
      </c>
      <c r="M704" s="4" t="s">
        <v>258</v>
      </c>
      <c r="N704" s="3">
        <v>45898</v>
      </c>
      <c r="O704" s="4" t="s">
        <v>733</v>
      </c>
      <c r="P704" s="2">
        <v>6000</v>
      </c>
      <c r="Q704" s="2">
        <v>2934</v>
      </c>
      <c r="R704" s="4" t="s">
        <v>604</v>
      </c>
      <c r="S704" s="5">
        <v>102037000</v>
      </c>
    </row>
    <row r="705" spans="1:19" x14ac:dyDescent="0.25">
      <c r="A705" s="4" t="s">
        <v>61</v>
      </c>
      <c r="B705" s="4" t="s">
        <v>59</v>
      </c>
      <c r="C705" s="4" t="s">
        <v>62</v>
      </c>
      <c r="D705" s="4" t="s">
        <v>63</v>
      </c>
      <c r="E705" s="4" t="s">
        <v>635</v>
      </c>
      <c r="F705" s="4" t="s">
        <v>636</v>
      </c>
      <c r="G705" s="4" t="s">
        <v>222</v>
      </c>
      <c r="H705" s="4" t="s">
        <v>26</v>
      </c>
      <c r="I705" s="5">
        <v>110000000</v>
      </c>
      <c r="J705" s="5">
        <v>120000</v>
      </c>
      <c r="K705" s="5">
        <v>12000</v>
      </c>
      <c r="L705" s="4" t="s">
        <v>257</v>
      </c>
      <c r="M705" s="4" t="s">
        <v>258</v>
      </c>
      <c r="N705" s="3">
        <v>45898</v>
      </c>
      <c r="O705" s="4" t="s">
        <v>733</v>
      </c>
      <c r="P705" s="2">
        <v>7000</v>
      </c>
      <c r="Q705" s="2">
        <v>2934</v>
      </c>
      <c r="R705" s="4" t="s">
        <v>604</v>
      </c>
      <c r="S705" s="5">
        <v>102037000</v>
      </c>
    </row>
    <row r="706" spans="1:19" x14ac:dyDescent="0.25">
      <c r="A706" s="4" t="s">
        <v>61</v>
      </c>
      <c r="B706" s="4" t="s">
        <v>59</v>
      </c>
      <c r="C706" s="4" t="s">
        <v>62</v>
      </c>
      <c r="D706" s="4" t="s">
        <v>63</v>
      </c>
      <c r="E706" s="4" t="s">
        <v>635</v>
      </c>
      <c r="F706" s="4" t="s">
        <v>636</v>
      </c>
      <c r="G706" s="4" t="s">
        <v>222</v>
      </c>
      <c r="H706" s="4" t="s">
        <v>26</v>
      </c>
      <c r="I706" s="5">
        <v>110000000</v>
      </c>
      <c r="J706" s="5">
        <v>120000</v>
      </c>
      <c r="K706" s="5">
        <v>12000</v>
      </c>
      <c r="L706" s="4" t="s">
        <v>257</v>
      </c>
      <c r="M706" s="4" t="s">
        <v>258</v>
      </c>
      <c r="N706" s="3">
        <v>45898</v>
      </c>
      <c r="O706" s="4" t="s">
        <v>733</v>
      </c>
      <c r="P706" s="2">
        <v>8000</v>
      </c>
      <c r="Q706" s="2">
        <v>2934</v>
      </c>
      <c r="R706" s="4" t="s">
        <v>604</v>
      </c>
      <c r="S706" s="5">
        <v>102037000</v>
      </c>
    </row>
    <row r="707" spans="1:19" x14ac:dyDescent="0.25">
      <c r="A707" s="4" t="s">
        <v>61</v>
      </c>
      <c r="B707" s="4" t="s">
        <v>59</v>
      </c>
      <c r="C707" s="4" t="s">
        <v>62</v>
      </c>
      <c r="D707" s="4" t="s">
        <v>63</v>
      </c>
      <c r="E707" s="4" t="s">
        <v>635</v>
      </c>
      <c r="F707" s="4" t="s">
        <v>636</v>
      </c>
      <c r="G707" s="4" t="s">
        <v>222</v>
      </c>
      <c r="H707" s="4" t="s">
        <v>26</v>
      </c>
      <c r="I707" s="5">
        <v>110000000</v>
      </c>
      <c r="J707" s="5">
        <v>120000</v>
      </c>
      <c r="K707" s="5">
        <v>12000</v>
      </c>
      <c r="L707" s="4" t="s">
        <v>257</v>
      </c>
      <c r="M707" s="4" t="s">
        <v>258</v>
      </c>
      <c r="N707" s="3">
        <v>45898</v>
      </c>
      <c r="O707" s="4" t="s">
        <v>733</v>
      </c>
      <c r="P707" s="2">
        <v>9000</v>
      </c>
      <c r="Q707" s="2">
        <v>2934</v>
      </c>
      <c r="R707" s="4" t="s">
        <v>604</v>
      </c>
      <c r="S707" s="5">
        <v>102037000</v>
      </c>
    </row>
    <row r="708" spans="1:19" x14ac:dyDescent="0.25">
      <c r="A708" s="4" t="s">
        <v>61</v>
      </c>
      <c r="B708" s="4" t="s">
        <v>59</v>
      </c>
      <c r="C708" s="4" t="s">
        <v>62</v>
      </c>
      <c r="D708" s="4" t="s">
        <v>63</v>
      </c>
      <c r="E708" s="4" t="s">
        <v>635</v>
      </c>
      <c r="F708" s="4" t="s">
        <v>636</v>
      </c>
      <c r="G708" s="4" t="s">
        <v>222</v>
      </c>
      <c r="H708" s="4" t="s">
        <v>26</v>
      </c>
      <c r="I708" s="5">
        <v>110000000</v>
      </c>
      <c r="J708" s="5">
        <v>120000</v>
      </c>
      <c r="K708" s="5">
        <v>12000</v>
      </c>
      <c r="L708" s="4" t="s">
        <v>257</v>
      </c>
      <c r="M708" s="4" t="s">
        <v>258</v>
      </c>
      <c r="N708" s="3">
        <v>45898</v>
      </c>
      <c r="O708" s="4" t="s">
        <v>733</v>
      </c>
      <c r="P708" s="2">
        <v>10000</v>
      </c>
      <c r="Q708" s="2">
        <v>2934</v>
      </c>
      <c r="R708" s="4" t="s">
        <v>604</v>
      </c>
      <c r="S708" s="5">
        <v>102037000</v>
      </c>
    </row>
    <row r="709" spans="1:19" x14ac:dyDescent="0.25">
      <c r="A709" s="4" t="s">
        <v>61</v>
      </c>
      <c r="B709" s="4" t="s">
        <v>59</v>
      </c>
      <c r="C709" s="4" t="s">
        <v>62</v>
      </c>
      <c r="D709" s="4" t="s">
        <v>63</v>
      </c>
      <c r="E709" s="4" t="s">
        <v>635</v>
      </c>
      <c r="F709" s="4" t="s">
        <v>636</v>
      </c>
      <c r="G709" s="4" t="s">
        <v>222</v>
      </c>
      <c r="H709" s="4" t="s">
        <v>26</v>
      </c>
      <c r="I709" s="5">
        <v>110000000</v>
      </c>
      <c r="J709" s="5">
        <v>129000</v>
      </c>
      <c r="K709" s="5">
        <v>12900</v>
      </c>
      <c r="L709" s="4" t="s">
        <v>637</v>
      </c>
      <c r="M709" s="4" t="s">
        <v>638</v>
      </c>
      <c r="N709" s="3">
        <v>45898</v>
      </c>
      <c r="O709" s="4" t="s">
        <v>733</v>
      </c>
      <c r="P709" s="2">
        <v>1000</v>
      </c>
      <c r="Q709" s="2">
        <v>2941</v>
      </c>
      <c r="R709" s="4" t="s">
        <v>26</v>
      </c>
      <c r="S709" s="5">
        <v>102037000</v>
      </c>
    </row>
    <row r="710" spans="1:19" x14ac:dyDescent="0.25">
      <c r="A710" s="4" t="s">
        <v>61</v>
      </c>
      <c r="B710" s="4" t="s">
        <v>59</v>
      </c>
      <c r="C710" s="4" t="s">
        <v>62</v>
      </c>
      <c r="D710" s="4" t="s">
        <v>63</v>
      </c>
      <c r="E710" s="4" t="s">
        <v>635</v>
      </c>
      <c r="F710" s="4" t="s">
        <v>636</v>
      </c>
      <c r="G710" s="4" t="s">
        <v>222</v>
      </c>
      <c r="H710" s="4" t="s">
        <v>26</v>
      </c>
      <c r="I710" s="5">
        <v>110000000</v>
      </c>
      <c r="J710" s="5">
        <v>129000</v>
      </c>
      <c r="K710" s="5">
        <v>12900</v>
      </c>
      <c r="L710" s="4" t="s">
        <v>637</v>
      </c>
      <c r="M710" s="4" t="s">
        <v>638</v>
      </c>
      <c r="N710" s="3">
        <v>45898</v>
      </c>
      <c r="O710" s="4" t="s">
        <v>733</v>
      </c>
      <c r="P710" s="2">
        <v>2000</v>
      </c>
      <c r="Q710" s="2">
        <v>2941</v>
      </c>
      <c r="R710" s="4" t="s">
        <v>26</v>
      </c>
      <c r="S710" s="5">
        <v>102037000</v>
      </c>
    </row>
    <row r="711" spans="1:19" x14ac:dyDescent="0.25">
      <c r="A711" s="4" t="s">
        <v>61</v>
      </c>
      <c r="B711" s="4" t="s">
        <v>59</v>
      </c>
      <c r="C711" s="4" t="s">
        <v>62</v>
      </c>
      <c r="D711" s="4" t="s">
        <v>63</v>
      </c>
      <c r="E711" s="4" t="s">
        <v>635</v>
      </c>
      <c r="F711" s="4" t="s">
        <v>636</v>
      </c>
      <c r="G711" s="4" t="s">
        <v>222</v>
      </c>
      <c r="H711" s="4" t="s">
        <v>26</v>
      </c>
      <c r="I711" s="5">
        <v>110000000</v>
      </c>
      <c r="J711" s="5">
        <v>149000</v>
      </c>
      <c r="K711" s="5">
        <v>14900</v>
      </c>
      <c r="L711" s="4" t="s">
        <v>637</v>
      </c>
      <c r="M711" s="4" t="s">
        <v>638</v>
      </c>
      <c r="N711" s="3">
        <v>45898</v>
      </c>
      <c r="O711" s="4" t="s">
        <v>733</v>
      </c>
      <c r="P711" s="2">
        <v>3000</v>
      </c>
      <c r="Q711" s="2">
        <v>2941</v>
      </c>
      <c r="R711" s="4" t="s">
        <v>26</v>
      </c>
      <c r="S711" s="5">
        <v>102037000</v>
      </c>
    </row>
    <row r="712" spans="1:19" x14ac:dyDescent="0.25">
      <c r="A712" s="4" t="s">
        <v>61</v>
      </c>
      <c r="B712" s="4" t="s">
        <v>59</v>
      </c>
      <c r="C712" s="4" t="s">
        <v>62</v>
      </c>
      <c r="D712" s="4" t="s">
        <v>63</v>
      </c>
      <c r="E712" s="4" t="s">
        <v>635</v>
      </c>
      <c r="F712" s="4" t="s">
        <v>636</v>
      </c>
      <c r="G712" s="4" t="s">
        <v>222</v>
      </c>
      <c r="H712" s="4" t="s">
        <v>26</v>
      </c>
      <c r="I712" s="5">
        <v>110000000</v>
      </c>
      <c r="J712" s="5">
        <v>219000</v>
      </c>
      <c r="K712" s="5">
        <v>21900</v>
      </c>
      <c r="L712" s="4" t="s">
        <v>637</v>
      </c>
      <c r="M712" s="4" t="s">
        <v>638</v>
      </c>
      <c r="N712" s="3">
        <v>45898</v>
      </c>
      <c r="O712" s="4" t="s">
        <v>733</v>
      </c>
      <c r="P712" s="2">
        <v>4000</v>
      </c>
      <c r="Q712" s="2">
        <v>2941</v>
      </c>
      <c r="R712" s="4" t="s">
        <v>26</v>
      </c>
      <c r="S712" s="5">
        <v>102037000</v>
      </c>
    </row>
    <row r="713" spans="1:19" x14ac:dyDescent="0.25">
      <c r="A713" s="4" t="s">
        <v>61</v>
      </c>
      <c r="B713" s="4" t="s">
        <v>59</v>
      </c>
      <c r="C713" s="4" t="s">
        <v>62</v>
      </c>
      <c r="D713" s="4" t="s">
        <v>63</v>
      </c>
      <c r="E713" s="4" t="s">
        <v>225</v>
      </c>
      <c r="F713" s="4" t="s">
        <v>226</v>
      </c>
      <c r="G713" s="4" t="s">
        <v>50</v>
      </c>
      <c r="H713" s="4" t="s">
        <v>26</v>
      </c>
      <c r="I713" s="5">
        <v>65000000</v>
      </c>
      <c r="J713" s="5">
        <v>175000</v>
      </c>
      <c r="K713" s="5">
        <v>17500</v>
      </c>
      <c r="L713" s="4" t="s">
        <v>668</v>
      </c>
      <c r="M713" s="4" t="s">
        <v>669</v>
      </c>
      <c r="N713" s="3">
        <v>45898</v>
      </c>
      <c r="O713" s="4" t="s">
        <v>733</v>
      </c>
      <c r="P713" s="2">
        <v>1000</v>
      </c>
      <c r="Q713" s="2">
        <v>2945</v>
      </c>
      <c r="R713" s="4" t="s">
        <v>751</v>
      </c>
      <c r="S713" s="5">
        <v>63203100</v>
      </c>
    </row>
    <row r="714" spans="1:19" x14ac:dyDescent="0.25">
      <c r="A714" s="4" t="s">
        <v>61</v>
      </c>
      <c r="B714" s="4" t="s">
        <v>59</v>
      </c>
      <c r="C714" s="4" t="s">
        <v>62</v>
      </c>
      <c r="D714" s="4" t="s">
        <v>63</v>
      </c>
      <c r="E714" s="4" t="s">
        <v>498</v>
      </c>
      <c r="F714" s="4" t="s">
        <v>499</v>
      </c>
      <c r="G714" s="4" t="s">
        <v>144</v>
      </c>
      <c r="H714" s="4" t="s">
        <v>26</v>
      </c>
      <c r="I714" s="5">
        <v>90000000</v>
      </c>
      <c r="J714" s="5">
        <v>198000</v>
      </c>
      <c r="K714" s="5">
        <v>19800</v>
      </c>
      <c r="L714" s="4" t="s">
        <v>500</v>
      </c>
      <c r="M714" s="4" t="s">
        <v>501</v>
      </c>
      <c r="N714" s="3">
        <v>45877</v>
      </c>
      <c r="O714" s="4" t="s">
        <v>459</v>
      </c>
      <c r="P714" s="2">
        <v>1000</v>
      </c>
      <c r="Q714" s="2">
        <v>2957</v>
      </c>
      <c r="R714" s="4" t="s">
        <v>749</v>
      </c>
      <c r="S714" s="5">
        <v>84861850</v>
      </c>
    </row>
    <row r="715" spans="1:19" x14ac:dyDescent="0.25">
      <c r="A715" s="4" t="s">
        <v>61</v>
      </c>
      <c r="B715" s="4" t="s">
        <v>59</v>
      </c>
      <c r="C715" s="4" t="s">
        <v>62</v>
      </c>
      <c r="D715" s="4" t="s">
        <v>63</v>
      </c>
      <c r="E715" s="4" t="s">
        <v>498</v>
      </c>
      <c r="F715" s="4" t="s">
        <v>499</v>
      </c>
      <c r="G715" s="4" t="s">
        <v>144</v>
      </c>
      <c r="H715" s="4" t="s">
        <v>26</v>
      </c>
      <c r="I715" s="5">
        <v>90000000</v>
      </c>
      <c r="J715" s="5">
        <v>350000</v>
      </c>
      <c r="K715" s="5">
        <v>35000</v>
      </c>
      <c r="L715" s="4" t="s">
        <v>500</v>
      </c>
      <c r="M715" s="4" t="s">
        <v>501</v>
      </c>
      <c r="N715" s="3">
        <v>45877</v>
      </c>
      <c r="O715" s="4" t="s">
        <v>459</v>
      </c>
      <c r="P715" s="2">
        <v>2000</v>
      </c>
      <c r="Q715" s="2">
        <v>2957</v>
      </c>
      <c r="R715" s="4" t="s">
        <v>749</v>
      </c>
      <c r="S715" s="5">
        <v>84861850</v>
      </c>
    </row>
    <row r="716" spans="1:19" x14ac:dyDescent="0.25">
      <c r="A716" s="4" t="s">
        <v>61</v>
      </c>
      <c r="B716" s="4" t="s">
        <v>59</v>
      </c>
      <c r="C716" s="4" t="s">
        <v>62</v>
      </c>
      <c r="D716" s="4" t="s">
        <v>63</v>
      </c>
      <c r="E716" s="4" t="s">
        <v>498</v>
      </c>
      <c r="F716" s="4" t="s">
        <v>499</v>
      </c>
      <c r="G716" s="4" t="s">
        <v>144</v>
      </c>
      <c r="H716" s="4" t="s">
        <v>26</v>
      </c>
      <c r="I716" s="5">
        <v>90000000</v>
      </c>
      <c r="J716" s="5">
        <v>219000</v>
      </c>
      <c r="K716" s="5">
        <v>21900</v>
      </c>
      <c r="L716" s="4" t="s">
        <v>500</v>
      </c>
      <c r="M716" s="4" t="s">
        <v>501</v>
      </c>
      <c r="N716" s="3">
        <v>45877</v>
      </c>
      <c r="O716" s="4" t="s">
        <v>459</v>
      </c>
      <c r="P716" s="2">
        <v>3000</v>
      </c>
      <c r="Q716" s="2">
        <v>2957</v>
      </c>
      <c r="R716" s="4" t="s">
        <v>749</v>
      </c>
      <c r="S716" s="5">
        <v>84861850</v>
      </c>
    </row>
    <row r="717" spans="1:19" x14ac:dyDescent="0.25">
      <c r="A717" s="4" t="s">
        <v>61</v>
      </c>
      <c r="B717" s="4" t="s">
        <v>59</v>
      </c>
      <c r="C717" s="4" t="s">
        <v>62</v>
      </c>
      <c r="D717" s="4" t="s">
        <v>63</v>
      </c>
      <c r="E717" s="4" t="s">
        <v>98</v>
      </c>
      <c r="F717" s="4" t="s">
        <v>99</v>
      </c>
      <c r="G717" s="4" t="s">
        <v>100</v>
      </c>
      <c r="H717" s="4" t="s">
        <v>26</v>
      </c>
      <c r="I717" s="5">
        <v>65000000</v>
      </c>
      <c r="J717" s="5">
        <v>42500</v>
      </c>
      <c r="K717" s="5">
        <v>4250</v>
      </c>
      <c r="L717" s="4" t="s">
        <v>26</v>
      </c>
      <c r="M717" s="4" t="s">
        <v>26</v>
      </c>
      <c r="N717" s="3">
        <v>45875</v>
      </c>
      <c r="O717" s="4" t="s">
        <v>154</v>
      </c>
      <c r="P717" s="2">
        <v>1000</v>
      </c>
      <c r="Q717" s="2">
        <v>2962</v>
      </c>
      <c r="R717" s="4" t="s">
        <v>84</v>
      </c>
      <c r="S717" s="5">
        <v>64502350</v>
      </c>
    </row>
    <row r="718" spans="1:19" x14ac:dyDescent="0.25">
      <c r="A718" s="4" t="s">
        <v>61</v>
      </c>
      <c r="B718" s="4" t="s">
        <v>59</v>
      </c>
      <c r="C718" s="4" t="s">
        <v>62</v>
      </c>
      <c r="D718" s="4" t="s">
        <v>63</v>
      </c>
      <c r="E718" s="4" t="s">
        <v>139</v>
      </c>
      <c r="F718" s="4" t="s">
        <v>140</v>
      </c>
      <c r="G718" s="4" t="s">
        <v>141</v>
      </c>
      <c r="H718" s="4" t="s">
        <v>26</v>
      </c>
      <c r="I718" s="5">
        <v>65000000</v>
      </c>
      <c r="J718" s="5">
        <v>116100</v>
      </c>
      <c r="K718" s="5">
        <v>11610</v>
      </c>
      <c r="L718" s="4" t="s">
        <v>182</v>
      </c>
      <c r="M718" s="4" t="s">
        <v>183</v>
      </c>
      <c r="N718" s="3">
        <v>45881</v>
      </c>
      <c r="O718" s="4" t="s">
        <v>432</v>
      </c>
      <c r="P718" s="2">
        <v>1000</v>
      </c>
      <c r="Q718" s="2">
        <v>2978</v>
      </c>
      <c r="R718" s="4" t="s">
        <v>755</v>
      </c>
      <c r="S718" s="5">
        <v>64247200</v>
      </c>
    </row>
    <row r="719" spans="1:19" x14ac:dyDescent="0.25">
      <c r="A719" s="4" t="s">
        <v>61</v>
      </c>
      <c r="B719" s="4" t="s">
        <v>59</v>
      </c>
      <c r="C719" s="4" t="s">
        <v>62</v>
      </c>
      <c r="D719" s="4" t="s">
        <v>63</v>
      </c>
      <c r="E719" s="4" t="s">
        <v>307</v>
      </c>
      <c r="F719" s="4" t="s">
        <v>308</v>
      </c>
      <c r="G719" s="4" t="s">
        <v>309</v>
      </c>
      <c r="H719" s="4" t="s">
        <v>26</v>
      </c>
      <c r="I719" s="5">
        <v>90000000</v>
      </c>
      <c r="J719" s="5">
        <v>202500</v>
      </c>
      <c r="K719" s="5">
        <v>20250</v>
      </c>
      <c r="L719" s="4" t="s">
        <v>541</v>
      </c>
      <c r="M719" s="4" t="s">
        <v>542</v>
      </c>
      <c r="N719" s="3">
        <v>45880</v>
      </c>
      <c r="O719" s="4" t="s">
        <v>532</v>
      </c>
      <c r="P719" s="2">
        <v>1000</v>
      </c>
      <c r="Q719" s="2">
        <v>2988</v>
      </c>
      <c r="R719" s="4" t="s">
        <v>26</v>
      </c>
      <c r="S719" s="5">
        <v>88166300</v>
      </c>
    </row>
    <row r="720" spans="1:19" x14ac:dyDescent="0.25">
      <c r="A720" s="4" t="s">
        <v>61</v>
      </c>
      <c r="B720" s="4" t="s">
        <v>59</v>
      </c>
      <c r="C720" s="4" t="s">
        <v>62</v>
      </c>
      <c r="D720" s="4" t="s">
        <v>63</v>
      </c>
      <c r="E720" s="4" t="s">
        <v>92</v>
      </c>
      <c r="F720" s="4" t="s">
        <v>93</v>
      </c>
      <c r="G720" s="4" t="s">
        <v>94</v>
      </c>
      <c r="H720" s="4" t="s">
        <v>26</v>
      </c>
      <c r="I720" s="5">
        <v>155000000</v>
      </c>
      <c r="J720" s="5">
        <v>119000</v>
      </c>
      <c r="K720" s="5">
        <v>11900</v>
      </c>
      <c r="L720" s="4" t="s">
        <v>26</v>
      </c>
      <c r="M720" s="4" t="s">
        <v>26</v>
      </c>
      <c r="N720" s="3">
        <v>45882</v>
      </c>
      <c r="O720" s="4" t="s">
        <v>283</v>
      </c>
      <c r="P720" s="2">
        <v>1000</v>
      </c>
      <c r="Q720" s="2">
        <v>2998</v>
      </c>
      <c r="R720" s="4" t="s">
        <v>755</v>
      </c>
      <c r="S720" s="5">
        <v>145558700</v>
      </c>
    </row>
    <row r="721" spans="1:19" x14ac:dyDescent="0.25">
      <c r="A721" s="4" t="s">
        <v>61</v>
      </c>
      <c r="B721" s="4" t="s">
        <v>59</v>
      </c>
      <c r="C721" s="4" t="s">
        <v>62</v>
      </c>
      <c r="D721" s="4" t="s">
        <v>63</v>
      </c>
      <c r="E721" s="4" t="s">
        <v>443</v>
      </c>
      <c r="F721" s="4" t="s">
        <v>444</v>
      </c>
      <c r="G721" s="4" t="s">
        <v>157</v>
      </c>
      <c r="H721" s="4" t="s">
        <v>26</v>
      </c>
      <c r="I721" s="5">
        <v>90000000</v>
      </c>
      <c r="J721" s="5">
        <v>189000</v>
      </c>
      <c r="K721" s="5">
        <v>18900</v>
      </c>
      <c r="L721" s="4" t="s">
        <v>145</v>
      </c>
      <c r="M721" s="4" t="s">
        <v>146</v>
      </c>
      <c r="N721" s="3">
        <v>45898</v>
      </c>
      <c r="O721" s="4" t="s">
        <v>733</v>
      </c>
      <c r="P721" s="2">
        <v>1000</v>
      </c>
      <c r="Q721" s="2">
        <v>2998</v>
      </c>
      <c r="R721" s="4" t="s">
        <v>751</v>
      </c>
      <c r="S721" s="5">
        <v>86215260</v>
      </c>
    </row>
    <row r="722" spans="1:19" x14ac:dyDescent="0.25">
      <c r="A722" s="4" t="s">
        <v>61</v>
      </c>
      <c r="B722" s="4" t="s">
        <v>59</v>
      </c>
      <c r="C722" s="4" t="s">
        <v>62</v>
      </c>
      <c r="D722" s="4" t="s">
        <v>63</v>
      </c>
      <c r="E722" s="4" t="s">
        <v>92</v>
      </c>
      <c r="F722" s="4" t="s">
        <v>93</v>
      </c>
      <c r="G722" s="4" t="s">
        <v>94</v>
      </c>
      <c r="H722" s="4" t="s">
        <v>26</v>
      </c>
      <c r="I722" s="5">
        <v>155000000</v>
      </c>
      <c r="J722" s="5">
        <v>126000</v>
      </c>
      <c r="K722" s="5">
        <v>12600</v>
      </c>
      <c r="L722" s="4" t="s">
        <v>26</v>
      </c>
      <c r="M722" s="4" t="s">
        <v>26</v>
      </c>
      <c r="N722" s="3">
        <v>45882</v>
      </c>
      <c r="O722" s="4" t="s">
        <v>283</v>
      </c>
      <c r="P722" s="2">
        <v>2000</v>
      </c>
      <c r="Q722" s="2">
        <v>2998</v>
      </c>
      <c r="R722" s="4" t="s">
        <v>755</v>
      </c>
      <c r="S722" s="5">
        <v>145558700</v>
      </c>
    </row>
    <row r="723" spans="1:19" x14ac:dyDescent="0.25">
      <c r="A723" s="4" t="s">
        <v>61</v>
      </c>
      <c r="B723" s="4" t="s">
        <v>59</v>
      </c>
      <c r="C723" s="4" t="s">
        <v>62</v>
      </c>
      <c r="D723" s="4" t="s">
        <v>63</v>
      </c>
      <c r="E723" s="4" t="s">
        <v>244</v>
      </c>
      <c r="F723" s="4" t="s">
        <v>245</v>
      </c>
      <c r="G723" s="4" t="s">
        <v>246</v>
      </c>
      <c r="H723" s="4" t="s">
        <v>26</v>
      </c>
      <c r="I723" s="5">
        <v>155000000</v>
      </c>
      <c r="J723" s="5">
        <v>374000</v>
      </c>
      <c r="K723" s="5">
        <v>37400</v>
      </c>
      <c r="L723" s="4" t="s">
        <v>247</v>
      </c>
      <c r="M723" s="4" t="s">
        <v>248</v>
      </c>
      <c r="N723" s="3">
        <v>45881</v>
      </c>
      <c r="O723" s="4" t="s">
        <v>432</v>
      </c>
      <c r="P723" s="2">
        <v>1000</v>
      </c>
      <c r="Q723" s="2">
        <v>3006</v>
      </c>
      <c r="R723" s="4" t="s">
        <v>768</v>
      </c>
      <c r="S723" s="5">
        <v>151077800</v>
      </c>
    </row>
    <row r="724" spans="1:19" x14ac:dyDescent="0.25">
      <c r="A724" s="4" t="s">
        <v>61</v>
      </c>
      <c r="B724" s="4" t="s">
        <v>59</v>
      </c>
      <c r="C724" s="4" t="s">
        <v>62</v>
      </c>
      <c r="D724" s="4" t="s">
        <v>63</v>
      </c>
      <c r="E724" s="4" t="s">
        <v>424</v>
      </c>
      <c r="F724" s="4" t="s">
        <v>425</v>
      </c>
      <c r="G724" s="4" t="s">
        <v>100</v>
      </c>
      <c r="H724" s="4" t="s">
        <v>26</v>
      </c>
      <c r="I724" s="5">
        <v>65000000</v>
      </c>
      <c r="J724" s="5">
        <v>22000</v>
      </c>
      <c r="K724" s="5">
        <v>2200</v>
      </c>
      <c r="L724" s="4" t="s">
        <v>543</v>
      </c>
      <c r="M724" s="4" t="s">
        <v>544</v>
      </c>
      <c r="N724" s="3">
        <v>45880</v>
      </c>
      <c r="O724" s="4" t="s">
        <v>532</v>
      </c>
      <c r="P724" s="2">
        <v>1000</v>
      </c>
      <c r="Q724" s="2">
        <v>3007</v>
      </c>
      <c r="R724" s="4" t="s">
        <v>26</v>
      </c>
      <c r="S724" s="5">
        <v>64873300</v>
      </c>
    </row>
    <row r="725" spans="1:19" x14ac:dyDescent="0.25">
      <c r="A725" s="4" t="s">
        <v>61</v>
      </c>
      <c r="B725" s="4" t="s">
        <v>59</v>
      </c>
      <c r="C725" s="4" t="s">
        <v>62</v>
      </c>
      <c r="D725" s="4" t="s">
        <v>63</v>
      </c>
      <c r="E725" s="4" t="s">
        <v>139</v>
      </c>
      <c r="F725" s="4" t="s">
        <v>140</v>
      </c>
      <c r="G725" s="4" t="s">
        <v>141</v>
      </c>
      <c r="H725" s="4" t="s">
        <v>26</v>
      </c>
      <c r="I725" s="5">
        <v>65000000</v>
      </c>
      <c r="J725" s="5">
        <v>105000</v>
      </c>
      <c r="K725" s="5">
        <v>10500</v>
      </c>
      <c r="L725" s="4" t="s">
        <v>182</v>
      </c>
      <c r="M725" s="4" t="s">
        <v>183</v>
      </c>
      <c r="N725" s="3">
        <v>45875</v>
      </c>
      <c r="O725" s="4" t="s">
        <v>154</v>
      </c>
      <c r="P725" s="2">
        <v>1000</v>
      </c>
      <c r="Q725" s="2">
        <v>3012</v>
      </c>
      <c r="R725" s="4" t="s">
        <v>84</v>
      </c>
      <c r="S725" s="5">
        <v>64247200</v>
      </c>
    </row>
    <row r="726" spans="1:19" x14ac:dyDescent="0.25">
      <c r="A726" s="4" t="s">
        <v>61</v>
      </c>
      <c r="B726" s="4" t="s">
        <v>59</v>
      </c>
      <c r="C726" s="4" t="s">
        <v>62</v>
      </c>
      <c r="D726" s="4" t="s">
        <v>63</v>
      </c>
      <c r="E726" s="4" t="s">
        <v>92</v>
      </c>
      <c r="F726" s="4" t="s">
        <v>93</v>
      </c>
      <c r="G726" s="4" t="s">
        <v>94</v>
      </c>
      <c r="H726" s="4" t="s">
        <v>26</v>
      </c>
      <c r="I726" s="5">
        <v>155000000</v>
      </c>
      <c r="J726" s="5">
        <v>31200</v>
      </c>
      <c r="K726" s="5">
        <v>3120</v>
      </c>
      <c r="L726" s="4" t="s">
        <v>26</v>
      </c>
      <c r="M726" s="4" t="s">
        <v>26</v>
      </c>
      <c r="N726" s="3">
        <v>45877</v>
      </c>
      <c r="O726" s="4" t="s">
        <v>51</v>
      </c>
      <c r="P726" s="2">
        <v>1000</v>
      </c>
      <c r="Q726" s="2">
        <v>3023</v>
      </c>
      <c r="R726" s="4" t="s">
        <v>749</v>
      </c>
      <c r="S726" s="5">
        <v>145558700</v>
      </c>
    </row>
    <row r="727" spans="1:19" x14ac:dyDescent="0.25">
      <c r="A727" s="4" t="s">
        <v>61</v>
      </c>
      <c r="B727" s="4" t="s">
        <v>59</v>
      </c>
      <c r="C727" s="4" t="s">
        <v>62</v>
      </c>
      <c r="D727" s="4" t="s">
        <v>63</v>
      </c>
      <c r="E727" s="4" t="s">
        <v>92</v>
      </c>
      <c r="F727" s="4" t="s">
        <v>93</v>
      </c>
      <c r="G727" s="4" t="s">
        <v>94</v>
      </c>
      <c r="H727" s="4" t="s">
        <v>26</v>
      </c>
      <c r="I727" s="5">
        <v>155000000</v>
      </c>
      <c r="J727" s="5">
        <v>28000</v>
      </c>
      <c r="K727" s="5">
        <v>2800</v>
      </c>
      <c r="L727" s="4" t="s">
        <v>26</v>
      </c>
      <c r="M727" s="4" t="s">
        <v>26</v>
      </c>
      <c r="N727" s="3">
        <v>45877</v>
      </c>
      <c r="O727" s="4" t="s">
        <v>51</v>
      </c>
      <c r="P727" s="2">
        <v>2000</v>
      </c>
      <c r="Q727" s="2">
        <v>3023</v>
      </c>
      <c r="R727" s="4" t="s">
        <v>749</v>
      </c>
      <c r="S727" s="5">
        <v>145558700</v>
      </c>
    </row>
    <row r="728" spans="1:19" x14ac:dyDescent="0.25">
      <c r="A728" s="4" t="s">
        <v>61</v>
      </c>
      <c r="B728" s="4" t="s">
        <v>59</v>
      </c>
      <c r="C728" s="4" t="s">
        <v>62</v>
      </c>
      <c r="D728" s="4" t="s">
        <v>63</v>
      </c>
      <c r="E728" s="4" t="s">
        <v>251</v>
      </c>
      <c r="F728" s="4" t="s">
        <v>252</v>
      </c>
      <c r="G728" s="4" t="s">
        <v>222</v>
      </c>
      <c r="H728" s="4" t="s">
        <v>26</v>
      </c>
      <c r="I728" s="5">
        <v>110000000</v>
      </c>
      <c r="J728" s="5">
        <v>60000</v>
      </c>
      <c r="K728" s="5">
        <v>6000</v>
      </c>
      <c r="L728" s="4" t="s">
        <v>253</v>
      </c>
      <c r="M728" s="4" t="s">
        <v>254</v>
      </c>
      <c r="N728" s="3">
        <v>45877</v>
      </c>
      <c r="O728" s="4" t="s">
        <v>459</v>
      </c>
      <c r="P728" s="2">
        <v>1000</v>
      </c>
      <c r="Q728" s="2">
        <v>3049</v>
      </c>
      <c r="R728" s="4" t="s">
        <v>84</v>
      </c>
      <c r="S728" s="5">
        <v>108445000</v>
      </c>
    </row>
    <row r="729" spans="1:19" x14ac:dyDescent="0.25">
      <c r="A729" s="4" t="s">
        <v>61</v>
      </c>
      <c r="B729" s="4" t="s">
        <v>59</v>
      </c>
      <c r="C729" s="4" t="s">
        <v>62</v>
      </c>
      <c r="D729" s="4" t="s">
        <v>63</v>
      </c>
      <c r="E729" s="4" t="s">
        <v>251</v>
      </c>
      <c r="F729" s="4" t="s">
        <v>252</v>
      </c>
      <c r="G729" s="4" t="s">
        <v>222</v>
      </c>
      <c r="H729" s="4" t="s">
        <v>26</v>
      </c>
      <c r="I729" s="5">
        <v>110000000</v>
      </c>
      <c r="J729" s="5">
        <v>290000</v>
      </c>
      <c r="K729" s="5">
        <v>29000</v>
      </c>
      <c r="L729" s="4" t="s">
        <v>253</v>
      </c>
      <c r="M729" s="4" t="s">
        <v>254</v>
      </c>
      <c r="N729" s="3">
        <v>45898</v>
      </c>
      <c r="O729" s="4" t="s">
        <v>733</v>
      </c>
      <c r="P729" s="2">
        <v>1000</v>
      </c>
      <c r="Q729" s="2">
        <v>3056</v>
      </c>
      <c r="R729" s="4" t="s">
        <v>604</v>
      </c>
      <c r="S729" s="5">
        <v>108445000</v>
      </c>
    </row>
    <row r="730" spans="1:19" x14ac:dyDescent="0.25">
      <c r="A730" s="4" t="s">
        <v>61</v>
      </c>
      <c r="B730" s="4" t="s">
        <v>59</v>
      </c>
      <c r="C730" s="4" t="s">
        <v>62</v>
      </c>
      <c r="D730" s="4" t="s">
        <v>63</v>
      </c>
      <c r="E730" s="4" t="s">
        <v>160</v>
      </c>
      <c r="F730" s="4" t="s">
        <v>161</v>
      </c>
      <c r="G730" s="4" t="s">
        <v>115</v>
      </c>
      <c r="H730" s="4" t="s">
        <v>26</v>
      </c>
      <c r="I730" s="5">
        <v>65000000</v>
      </c>
      <c r="J730" s="5">
        <v>250000</v>
      </c>
      <c r="K730" s="5">
        <v>25000</v>
      </c>
      <c r="L730" s="4" t="s">
        <v>162</v>
      </c>
      <c r="M730" s="4" t="s">
        <v>163</v>
      </c>
      <c r="N730" s="3">
        <v>45878</v>
      </c>
      <c r="O730" s="4" t="s">
        <v>716</v>
      </c>
      <c r="P730" s="2">
        <v>1000</v>
      </c>
      <c r="Q730" s="2">
        <v>3062</v>
      </c>
      <c r="R730" s="4" t="s">
        <v>26</v>
      </c>
      <c r="S730" s="5">
        <v>64250650</v>
      </c>
    </row>
    <row r="731" spans="1:19" x14ac:dyDescent="0.25">
      <c r="A731" s="4" t="s">
        <v>61</v>
      </c>
      <c r="B731" s="4" t="s">
        <v>59</v>
      </c>
      <c r="C731" s="4" t="s">
        <v>62</v>
      </c>
      <c r="D731" s="4" t="s">
        <v>63</v>
      </c>
      <c r="E731" s="4" t="s">
        <v>310</v>
      </c>
      <c r="F731" s="4" t="s">
        <v>311</v>
      </c>
      <c r="G731" s="4" t="s">
        <v>190</v>
      </c>
      <c r="H731" s="4" t="s">
        <v>26</v>
      </c>
      <c r="I731" s="5">
        <v>90000000</v>
      </c>
      <c r="J731" s="5">
        <v>30000</v>
      </c>
      <c r="K731" s="5">
        <v>3000</v>
      </c>
      <c r="L731" s="4" t="s">
        <v>312</v>
      </c>
      <c r="M731" s="4" t="s">
        <v>313</v>
      </c>
      <c r="N731" s="3">
        <v>45882</v>
      </c>
      <c r="O731" s="4" t="s">
        <v>283</v>
      </c>
      <c r="P731" s="2">
        <v>1000</v>
      </c>
      <c r="Q731" s="2">
        <v>3078</v>
      </c>
      <c r="R731" s="4" t="s">
        <v>84</v>
      </c>
      <c r="S731" s="5">
        <v>86184030</v>
      </c>
    </row>
    <row r="732" spans="1:19" x14ac:dyDescent="0.25">
      <c r="A732" s="4" t="s">
        <v>61</v>
      </c>
      <c r="B732" s="4" t="s">
        <v>59</v>
      </c>
      <c r="C732" s="4" t="s">
        <v>62</v>
      </c>
      <c r="D732" s="4" t="s">
        <v>63</v>
      </c>
      <c r="E732" s="4" t="s">
        <v>170</v>
      </c>
      <c r="F732" s="4" t="s">
        <v>171</v>
      </c>
      <c r="G732" s="4" t="s">
        <v>50</v>
      </c>
      <c r="H732" s="4" t="s">
        <v>26</v>
      </c>
      <c r="I732" s="5">
        <v>65000000</v>
      </c>
      <c r="J732" s="5">
        <v>738000</v>
      </c>
      <c r="K732" s="5">
        <v>73800</v>
      </c>
      <c r="L732" s="4" t="s">
        <v>627</v>
      </c>
      <c r="M732" s="4" t="s">
        <v>628</v>
      </c>
      <c r="N732" s="3">
        <v>45898</v>
      </c>
      <c r="O732" s="4" t="s">
        <v>733</v>
      </c>
      <c r="P732" s="2">
        <v>1000</v>
      </c>
      <c r="Q732" s="2">
        <v>3084</v>
      </c>
      <c r="R732" s="4" t="s">
        <v>766</v>
      </c>
      <c r="S732" s="5">
        <v>59051100</v>
      </c>
    </row>
    <row r="733" spans="1:19" x14ac:dyDescent="0.25">
      <c r="A733" s="4" t="s">
        <v>61</v>
      </c>
      <c r="B733" s="4" t="s">
        <v>59</v>
      </c>
      <c r="C733" s="4" t="s">
        <v>62</v>
      </c>
      <c r="D733" s="4" t="s">
        <v>63</v>
      </c>
      <c r="E733" s="4" t="s">
        <v>170</v>
      </c>
      <c r="F733" s="4" t="s">
        <v>171</v>
      </c>
      <c r="G733" s="4" t="s">
        <v>50</v>
      </c>
      <c r="H733" s="4" t="s">
        <v>26</v>
      </c>
      <c r="I733" s="5">
        <v>65000000</v>
      </c>
      <c r="J733" s="5">
        <v>459000</v>
      </c>
      <c r="K733" s="5">
        <v>45900</v>
      </c>
      <c r="L733" s="4" t="s">
        <v>627</v>
      </c>
      <c r="M733" s="4" t="s">
        <v>628</v>
      </c>
      <c r="N733" s="3">
        <v>45898</v>
      </c>
      <c r="O733" s="4" t="s">
        <v>733</v>
      </c>
      <c r="P733" s="2">
        <v>2000</v>
      </c>
      <c r="Q733" s="2">
        <v>3084</v>
      </c>
      <c r="R733" s="4" t="s">
        <v>766</v>
      </c>
      <c r="S733" s="5">
        <v>59051100</v>
      </c>
    </row>
    <row r="734" spans="1:19" x14ac:dyDescent="0.25">
      <c r="A734" s="4" t="s">
        <v>61</v>
      </c>
      <c r="B734" s="4" t="s">
        <v>59</v>
      </c>
      <c r="C734" s="4" t="s">
        <v>62</v>
      </c>
      <c r="D734" s="4" t="s">
        <v>63</v>
      </c>
      <c r="E734" s="4" t="s">
        <v>170</v>
      </c>
      <c r="F734" s="4" t="s">
        <v>171</v>
      </c>
      <c r="G734" s="4" t="s">
        <v>50</v>
      </c>
      <c r="H734" s="4" t="s">
        <v>26</v>
      </c>
      <c r="I734" s="5">
        <v>65000000</v>
      </c>
      <c r="J734" s="5">
        <v>738000</v>
      </c>
      <c r="K734" s="5">
        <v>73800</v>
      </c>
      <c r="L734" s="4" t="s">
        <v>627</v>
      </c>
      <c r="M734" s="4" t="s">
        <v>628</v>
      </c>
      <c r="N734" s="3">
        <v>45898</v>
      </c>
      <c r="O734" s="4" t="s">
        <v>733</v>
      </c>
      <c r="P734" s="2">
        <v>3000</v>
      </c>
      <c r="Q734" s="2">
        <v>3084</v>
      </c>
      <c r="R734" s="4" t="s">
        <v>766</v>
      </c>
      <c r="S734" s="5">
        <v>59051100</v>
      </c>
    </row>
    <row r="735" spans="1:19" x14ac:dyDescent="0.25">
      <c r="A735" s="4" t="s">
        <v>61</v>
      </c>
      <c r="B735" s="4" t="s">
        <v>59</v>
      </c>
      <c r="C735" s="4" t="s">
        <v>62</v>
      </c>
      <c r="D735" s="4" t="s">
        <v>63</v>
      </c>
      <c r="E735" s="4" t="s">
        <v>170</v>
      </c>
      <c r="F735" s="4" t="s">
        <v>171</v>
      </c>
      <c r="G735" s="4" t="s">
        <v>50</v>
      </c>
      <c r="H735" s="4" t="s">
        <v>26</v>
      </c>
      <c r="I735" s="5">
        <v>65000000</v>
      </c>
      <c r="J735" s="5">
        <v>459000</v>
      </c>
      <c r="K735" s="5">
        <v>45900</v>
      </c>
      <c r="L735" s="4" t="s">
        <v>627</v>
      </c>
      <c r="M735" s="4" t="s">
        <v>628</v>
      </c>
      <c r="N735" s="3">
        <v>45898</v>
      </c>
      <c r="O735" s="4" t="s">
        <v>733</v>
      </c>
      <c r="P735" s="2">
        <v>4000</v>
      </c>
      <c r="Q735" s="2">
        <v>3084</v>
      </c>
      <c r="R735" s="4" t="s">
        <v>766</v>
      </c>
      <c r="S735" s="5">
        <v>59051100</v>
      </c>
    </row>
    <row r="736" spans="1:19" x14ac:dyDescent="0.25">
      <c r="A736" s="4" t="s">
        <v>61</v>
      </c>
      <c r="B736" s="4" t="s">
        <v>59</v>
      </c>
      <c r="C736" s="4" t="s">
        <v>62</v>
      </c>
      <c r="D736" s="4" t="s">
        <v>63</v>
      </c>
      <c r="E736" s="4" t="s">
        <v>170</v>
      </c>
      <c r="F736" s="4" t="s">
        <v>171</v>
      </c>
      <c r="G736" s="4" t="s">
        <v>50</v>
      </c>
      <c r="H736" s="4" t="s">
        <v>26</v>
      </c>
      <c r="I736" s="5">
        <v>65000000</v>
      </c>
      <c r="J736" s="5">
        <v>459000</v>
      </c>
      <c r="K736" s="5">
        <v>45900</v>
      </c>
      <c r="L736" s="4" t="s">
        <v>627</v>
      </c>
      <c r="M736" s="4" t="s">
        <v>628</v>
      </c>
      <c r="N736" s="3">
        <v>45898</v>
      </c>
      <c r="O736" s="4" t="s">
        <v>733</v>
      </c>
      <c r="P736" s="2">
        <v>5000</v>
      </c>
      <c r="Q736" s="2">
        <v>3084</v>
      </c>
      <c r="R736" s="4" t="s">
        <v>766</v>
      </c>
      <c r="S736" s="5">
        <v>59051100</v>
      </c>
    </row>
    <row r="737" spans="1:19" x14ac:dyDescent="0.25">
      <c r="A737" s="4" t="s">
        <v>61</v>
      </c>
      <c r="B737" s="4" t="s">
        <v>59</v>
      </c>
      <c r="C737" s="4" t="s">
        <v>62</v>
      </c>
      <c r="D737" s="4" t="s">
        <v>63</v>
      </c>
      <c r="E737" s="4" t="s">
        <v>95</v>
      </c>
      <c r="F737" s="4" t="s">
        <v>96</v>
      </c>
      <c r="G737" s="4" t="s">
        <v>97</v>
      </c>
      <c r="H737" s="4" t="s">
        <v>26</v>
      </c>
      <c r="I737" s="5">
        <v>155000000</v>
      </c>
      <c r="J737" s="5">
        <v>40500</v>
      </c>
      <c r="K737" s="5">
        <v>4050</v>
      </c>
      <c r="L737" s="4" t="s">
        <v>26</v>
      </c>
      <c r="M737" s="4" t="s">
        <v>26</v>
      </c>
      <c r="N737" s="3">
        <v>45877</v>
      </c>
      <c r="O737" s="4" t="s">
        <v>459</v>
      </c>
      <c r="P737" s="2">
        <v>1000</v>
      </c>
      <c r="Q737" s="2">
        <v>3088</v>
      </c>
      <c r="R737" s="4" t="s">
        <v>747</v>
      </c>
      <c r="S737" s="5">
        <v>154473500</v>
      </c>
    </row>
    <row r="738" spans="1:19" x14ac:dyDescent="0.25">
      <c r="A738" s="4" t="s">
        <v>61</v>
      </c>
      <c r="B738" s="4" t="s">
        <v>59</v>
      </c>
      <c r="C738" s="4" t="s">
        <v>62</v>
      </c>
      <c r="D738" s="4" t="s">
        <v>63</v>
      </c>
      <c r="E738" s="4" t="s">
        <v>375</v>
      </c>
      <c r="F738" s="4" t="s">
        <v>376</v>
      </c>
      <c r="G738" s="4" t="s">
        <v>157</v>
      </c>
      <c r="H738" s="4" t="s">
        <v>26</v>
      </c>
      <c r="I738" s="5">
        <v>90000000</v>
      </c>
      <c r="J738" s="5">
        <v>207000</v>
      </c>
      <c r="K738" s="5">
        <v>20700</v>
      </c>
      <c r="L738" s="4" t="s">
        <v>377</v>
      </c>
      <c r="M738" s="4" t="s">
        <v>378</v>
      </c>
      <c r="N738" s="3">
        <v>45877</v>
      </c>
      <c r="O738" s="4" t="s">
        <v>459</v>
      </c>
      <c r="P738" s="2">
        <v>1000</v>
      </c>
      <c r="Q738" s="2">
        <v>3092</v>
      </c>
      <c r="R738" s="4" t="s">
        <v>26</v>
      </c>
      <c r="S738" s="5">
        <v>89330500</v>
      </c>
    </row>
    <row r="739" spans="1:19" x14ac:dyDescent="0.25">
      <c r="A739" s="4" t="s">
        <v>61</v>
      </c>
      <c r="B739" s="4" t="s">
        <v>59</v>
      </c>
      <c r="C739" s="4" t="s">
        <v>62</v>
      </c>
      <c r="D739" s="4" t="s">
        <v>63</v>
      </c>
      <c r="E739" s="4" t="s">
        <v>703</v>
      </c>
      <c r="F739" s="4" t="s">
        <v>704</v>
      </c>
      <c r="G739" s="4" t="s">
        <v>100</v>
      </c>
      <c r="H739" s="4" t="s">
        <v>26</v>
      </c>
      <c r="I739" s="5">
        <v>65000000</v>
      </c>
      <c r="J739" s="5">
        <v>235630</v>
      </c>
      <c r="K739" s="5">
        <v>23563</v>
      </c>
      <c r="L739" s="4" t="s">
        <v>705</v>
      </c>
      <c r="M739" s="4" t="s">
        <v>706</v>
      </c>
      <c r="N739" s="3">
        <v>45893</v>
      </c>
      <c r="O739" s="4" t="s">
        <v>698</v>
      </c>
      <c r="P739" s="2">
        <v>1000</v>
      </c>
      <c r="Q739" s="2">
        <v>3100</v>
      </c>
      <c r="R739" s="4" t="s">
        <v>26</v>
      </c>
      <c r="S739" s="5">
        <v>64669370</v>
      </c>
    </row>
    <row r="740" spans="1:19" x14ac:dyDescent="0.25">
      <c r="A740" s="4" t="s">
        <v>61</v>
      </c>
      <c r="B740" s="4" t="s">
        <v>59</v>
      </c>
      <c r="C740" s="4" t="s">
        <v>62</v>
      </c>
      <c r="D740" s="4" t="s">
        <v>63</v>
      </c>
      <c r="E740" s="4" t="s">
        <v>703</v>
      </c>
      <c r="F740" s="4" t="s">
        <v>704</v>
      </c>
      <c r="G740" s="4" t="s">
        <v>100</v>
      </c>
      <c r="H740" s="4" t="s">
        <v>26</v>
      </c>
      <c r="I740" s="5">
        <v>65000000</v>
      </c>
      <c r="J740" s="5">
        <v>95000</v>
      </c>
      <c r="K740" s="5">
        <v>9500</v>
      </c>
      <c r="L740" s="4" t="s">
        <v>705</v>
      </c>
      <c r="M740" s="4" t="s">
        <v>706</v>
      </c>
      <c r="N740" s="3">
        <v>45893</v>
      </c>
      <c r="O740" s="4" t="s">
        <v>698</v>
      </c>
      <c r="P740" s="2">
        <v>2000</v>
      </c>
      <c r="Q740" s="2">
        <v>3100</v>
      </c>
      <c r="R740" s="4" t="s">
        <v>26</v>
      </c>
      <c r="S740" s="5">
        <v>64669370</v>
      </c>
    </row>
    <row r="741" spans="1:19" x14ac:dyDescent="0.25">
      <c r="A741" s="4" t="s">
        <v>61</v>
      </c>
      <c r="B741" s="4" t="s">
        <v>59</v>
      </c>
      <c r="C741" s="4" t="s">
        <v>62</v>
      </c>
      <c r="D741" s="4" t="s">
        <v>63</v>
      </c>
      <c r="E741" s="4" t="s">
        <v>152</v>
      </c>
      <c r="F741" s="4" t="s">
        <v>153</v>
      </c>
      <c r="G741" s="4" t="s">
        <v>50</v>
      </c>
      <c r="H741" s="4" t="s">
        <v>26</v>
      </c>
      <c r="I741" s="5">
        <v>65000000</v>
      </c>
      <c r="J741" s="5">
        <v>150000</v>
      </c>
      <c r="K741" s="5">
        <v>15000</v>
      </c>
      <c r="L741" s="4" t="s">
        <v>26</v>
      </c>
      <c r="M741" s="4" t="s">
        <v>26</v>
      </c>
      <c r="N741" s="3">
        <v>45876</v>
      </c>
      <c r="O741" s="4" t="s">
        <v>147</v>
      </c>
      <c r="P741" s="2">
        <v>1000</v>
      </c>
      <c r="Q741" s="2">
        <v>3121</v>
      </c>
      <c r="R741" s="4" t="s">
        <v>749</v>
      </c>
      <c r="S741" s="5">
        <v>64141500</v>
      </c>
    </row>
    <row r="742" spans="1:19" x14ac:dyDescent="0.25">
      <c r="A742" s="4" t="s">
        <v>61</v>
      </c>
      <c r="B742" s="4" t="s">
        <v>59</v>
      </c>
      <c r="C742" s="4" t="s">
        <v>62</v>
      </c>
      <c r="D742" s="4" t="s">
        <v>63</v>
      </c>
      <c r="E742" s="4" t="s">
        <v>69</v>
      </c>
      <c r="F742" s="4" t="s">
        <v>70</v>
      </c>
      <c r="G742" s="4" t="s">
        <v>71</v>
      </c>
      <c r="H742" s="4" t="s">
        <v>26</v>
      </c>
      <c r="I742" s="5">
        <v>155000000</v>
      </c>
      <c r="J742" s="5">
        <v>19800</v>
      </c>
      <c r="K742" s="5">
        <v>1980</v>
      </c>
      <c r="L742" s="4" t="s">
        <v>72</v>
      </c>
      <c r="M742" s="4" t="s">
        <v>73</v>
      </c>
      <c r="N742" s="3">
        <v>45880</v>
      </c>
      <c r="O742" s="4" t="s">
        <v>532</v>
      </c>
      <c r="P742" s="2">
        <v>1000</v>
      </c>
      <c r="Q742" s="2">
        <v>3130</v>
      </c>
      <c r="R742" s="4" t="s">
        <v>749</v>
      </c>
      <c r="S742" s="5">
        <v>143018000</v>
      </c>
    </row>
    <row r="743" spans="1:19" x14ac:dyDescent="0.25">
      <c r="A743" s="4" t="s">
        <v>61</v>
      </c>
      <c r="B743" s="4" t="s">
        <v>59</v>
      </c>
      <c r="C743" s="4" t="s">
        <v>62</v>
      </c>
      <c r="D743" s="4" t="s">
        <v>63</v>
      </c>
      <c r="E743" s="4" t="s">
        <v>614</v>
      </c>
      <c r="F743" s="4" t="s">
        <v>615</v>
      </c>
      <c r="G743" s="4" t="s">
        <v>309</v>
      </c>
      <c r="H743" s="4" t="s">
        <v>26</v>
      </c>
      <c r="I743" s="5">
        <v>90000000</v>
      </c>
      <c r="J743" s="5">
        <v>280000</v>
      </c>
      <c r="K743" s="5">
        <v>28000</v>
      </c>
      <c r="L743" s="4" t="s">
        <v>616</v>
      </c>
      <c r="M743" s="4" t="s">
        <v>617</v>
      </c>
      <c r="N743" s="3">
        <v>45896</v>
      </c>
      <c r="O743" s="4" t="s">
        <v>605</v>
      </c>
      <c r="P743" s="2">
        <v>1000</v>
      </c>
      <c r="Q743" s="2">
        <v>3149</v>
      </c>
      <c r="R743" s="4" t="s">
        <v>26</v>
      </c>
      <c r="S743" s="5">
        <v>89408000</v>
      </c>
    </row>
    <row r="744" spans="1:19" x14ac:dyDescent="0.25">
      <c r="A744" s="4" t="s">
        <v>61</v>
      </c>
      <c r="B744" s="4" t="s">
        <v>59</v>
      </c>
      <c r="C744" s="4" t="s">
        <v>62</v>
      </c>
      <c r="D744" s="4" t="s">
        <v>63</v>
      </c>
      <c r="E744" s="4" t="s">
        <v>188</v>
      </c>
      <c r="F744" s="4" t="s">
        <v>189</v>
      </c>
      <c r="G744" s="4" t="s">
        <v>190</v>
      </c>
      <c r="H744" s="4" t="s">
        <v>26</v>
      </c>
      <c r="I744" s="5">
        <v>90000000</v>
      </c>
      <c r="J744" s="5">
        <v>81000</v>
      </c>
      <c r="K744" s="5">
        <v>8100</v>
      </c>
      <c r="L744" s="4" t="s">
        <v>191</v>
      </c>
      <c r="M744" s="4" t="s">
        <v>192</v>
      </c>
      <c r="N744" s="3">
        <v>45878</v>
      </c>
      <c r="O744" s="4" t="s">
        <v>459</v>
      </c>
      <c r="P744" s="2">
        <v>1000</v>
      </c>
      <c r="Q744" s="2">
        <v>3150</v>
      </c>
      <c r="R744" s="4" t="s">
        <v>747</v>
      </c>
      <c r="S744" s="5">
        <v>87040690</v>
      </c>
    </row>
    <row r="745" spans="1:19" x14ac:dyDescent="0.25">
      <c r="A745" s="4" t="s">
        <v>61</v>
      </c>
      <c r="B745" s="4" t="s">
        <v>59</v>
      </c>
      <c r="C745" s="4" t="s">
        <v>62</v>
      </c>
      <c r="D745" s="4" t="s">
        <v>63</v>
      </c>
      <c r="E745" s="4" t="s">
        <v>244</v>
      </c>
      <c r="F745" s="4" t="s">
        <v>245</v>
      </c>
      <c r="G745" s="4" t="s">
        <v>246</v>
      </c>
      <c r="H745" s="4" t="s">
        <v>26</v>
      </c>
      <c r="I745" s="5">
        <v>155000000</v>
      </c>
      <c r="J745" s="5">
        <v>49500</v>
      </c>
      <c r="K745" s="5">
        <v>4950</v>
      </c>
      <c r="L745" s="4" t="s">
        <v>247</v>
      </c>
      <c r="M745" s="4" t="s">
        <v>248</v>
      </c>
      <c r="N745" s="3">
        <v>45878</v>
      </c>
      <c r="O745" s="4" t="s">
        <v>459</v>
      </c>
      <c r="P745" s="2">
        <v>1000</v>
      </c>
      <c r="Q745" s="2">
        <v>3153</v>
      </c>
      <c r="R745" s="4" t="s">
        <v>747</v>
      </c>
      <c r="S745" s="5">
        <v>151077800</v>
      </c>
    </row>
    <row r="746" spans="1:19" x14ac:dyDescent="0.25">
      <c r="A746" s="4" t="s">
        <v>61</v>
      </c>
      <c r="B746" s="4" t="s">
        <v>59</v>
      </c>
      <c r="C746" s="4" t="s">
        <v>62</v>
      </c>
      <c r="D746" s="4" t="s">
        <v>63</v>
      </c>
      <c r="E746" s="4" t="s">
        <v>263</v>
      </c>
      <c r="F746" s="4" t="s">
        <v>264</v>
      </c>
      <c r="G746" s="4" t="s">
        <v>81</v>
      </c>
      <c r="H746" s="4" t="s">
        <v>26</v>
      </c>
      <c r="I746" s="5">
        <v>65000000</v>
      </c>
      <c r="J746" s="5">
        <v>49500</v>
      </c>
      <c r="K746" s="5">
        <v>4950</v>
      </c>
      <c r="L746" s="4" t="s">
        <v>26</v>
      </c>
      <c r="M746" s="4" t="s">
        <v>26</v>
      </c>
      <c r="N746" s="3">
        <v>45878</v>
      </c>
      <c r="O746" s="4" t="s">
        <v>459</v>
      </c>
      <c r="P746" s="2">
        <v>1000</v>
      </c>
      <c r="Q746" s="2">
        <v>3158</v>
      </c>
      <c r="R746" s="4" t="s">
        <v>747</v>
      </c>
      <c r="S746" s="5">
        <v>54808900</v>
      </c>
    </row>
    <row r="747" spans="1:19" x14ac:dyDescent="0.25">
      <c r="A747" s="4" t="s">
        <v>61</v>
      </c>
      <c r="B747" s="4" t="s">
        <v>59</v>
      </c>
      <c r="C747" s="4" t="s">
        <v>62</v>
      </c>
      <c r="D747" s="4" t="s">
        <v>63</v>
      </c>
      <c r="E747" s="4" t="s">
        <v>263</v>
      </c>
      <c r="F747" s="4" t="s">
        <v>264</v>
      </c>
      <c r="G747" s="4" t="s">
        <v>81</v>
      </c>
      <c r="H747" s="4" t="s">
        <v>26</v>
      </c>
      <c r="I747" s="5">
        <v>65000000</v>
      </c>
      <c r="J747" s="5">
        <v>45000</v>
      </c>
      <c r="K747" s="5">
        <v>4500</v>
      </c>
      <c r="L747" s="4" t="s">
        <v>26</v>
      </c>
      <c r="M747" s="4" t="s">
        <v>26</v>
      </c>
      <c r="N747" s="3">
        <v>45878</v>
      </c>
      <c r="O747" s="4" t="s">
        <v>459</v>
      </c>
      <c r="P747" s="2">
        <v>2000</v>
      </c>
      <c r="Q747" s="2">
        <v>3158</v>
      </c>
      <c r="R747" s="4" t="s">
        <v>747</v>
      </c>
      <c r="S747" s="5">
        <v>54808900</v>
      </c>
    </row>
    <row r="748" spans="1:19" x14ac:dyDescent="0.25">
      <c r="A748" s="4" t="s">
        <v>61</v>
      </c>
      <c r="B748" s="4" t="s">
        <v>59</v>
      </c>
      <c r="C748" s="4" t="s">
        <v>62</v>
      </c>
      <c r="D748" s="4" t="s">
        <v>63</v>
      </c>
      <c r="E748" s="4" t="s">
        <v>284</v>
      </c>
      <c r="F748" s="4" t="s">
        <v>285</v>
      </c>
      <c r="G748" s="4" t="s">
        <v>286</v>
      </c>
      <c r="H748" s="4" t="s">
        <v>26</v>
      </c>
      <c r="I748" s="5">
        <v>110000000</v>
      </c>
      <c r="J748" s="5">
        <v>370500</v>
      </c>
      <c r="K748" s="5">
        <v>37050</v>
      </c>
      <c r="L748" s="4" t="s">
        <v>596</v>
      </c>
      <c r="M748" s="4" t="s">
        <v>597</v>
      </c>
      <c r="N748" s="3">
        <v>45889</v>
      </c>
      <c r="O748" s="4" t="s">
        <v>587</v>
      </c>
      <c r="P748" s="2">
        <v>1000</v>
      </c>
      <c r="Q748" s="2">
        <v>3167</v>
      </c>
      <c r="R748" s="4" t="s">
        <v>759</v>
      </c>
      <c r="S748" s="5">
        <v>108405000</v>
      </c>
    </row>
    <row r="749" spans="1:19" x14ac:dyDescent="0.25">
      <c r="A749" s="4" t="s">
        <v>61</v>
      </c>
      <c r="B749" s="4" t="s">
        <v>59</v>
      </c>
      <c r="C749" s="4" t="s">
        <v>62</v>
      </c>
      <c r="D749" s="4" t="s">
        <v>63</v>
      </c>
      <c r="E749" s="4" t="s">
        <v>354</v>
      </c>
      <c r="F749" s="4" t="s">
        <v>355</v>
      </c>
      <c r="G749" s="4" t="s">
        <v>356</v>
      </c>
      <c r="H749" s="4" t="s">
        <v>26</v>
      </c>
      <c r="I749" s="5">
        <v>155000000</v>
      </c>
      <c r="J749" s="5">
        <v>131600</v>
      </c>
      <c r="K749" s="5">
        <v>13160</v>
      </c>
      <c r="L749" s="4" t="s">
        <v>357</v>
      </c>
      <c r="M749" s="4" t="s">
        <v>358</v>
      </c>
      <c r="N749" s="3">
        <v>45882</v>
      </c>
      <c r="O749" s="4" t="s">
        <v>283</v>
      </c>
      <c r="P749" s="2">
        <v>1000</v>
      </c>
      <c r="Q749" s="2">
        <v>3175</v>
      </c>
      <c r="R749" s="4" t="s">
        <v>755</v>
      </c>
      <c r="S749" s="5">
        <v>154853000</v>
      </c>
    </row>
    <row r="750" spans="1:19" x14ac:dyDescent="0.25">
      <c r="A750" s="4" t="s">
        <v>61</v>
      </c>
      <c r="B750" s="4" t="s">
        <v>59</v>
      </c>
      <c r="C750" s="4" t="s">
        <v>62</v>
      </c>
      <c r="D750" s="4" t="s">
        <v>63</v>
      </c>
      <c r="E750" s="4" t="s">
        <v>354</v>
      </c>
      <c r="F750" s="4" t="s">
        <v>355</v>
      </c>
      <c r="G750" s="4" t="s">
        <v>356</v>
      </c>
      <c r="H750" s="4" t="s">
        <v>26</v>
      </c>
      <c r="I750" s="5">
        <v>155000000</v>
      </c>
      <c r="J750" s="5">
        <v>15400</v>
      </c>
      <c r="K750" s="5">
        <v>1540</v>
      </c>
      <c r="L750" s="4" t="s">
        <v>357</v>
      </c>
      <c r="M750" s="4" t="s">
        <v>358</v>
      </c>
      <c r="N750" s="3">
        <v>45882</v>
      </c>
      <c r="O750" s="4" t="s">
        <v>283</v>
      </c>
      <c r="P750" s="2">
        <v>2000</v>
      </c>
      <c r="Q750" s="2">
        <v>3175</v>
      </c>
      <c r="R750" s="4" t="s">
        <v>755</v>
      </c>
      <c r="S750" s="5">
        <v>154853000</v>
      </c>
    </row>
    <row r="751" spans="1:19" x14ac:dyDescent="0.25">
      <c r="A751" s="4" t="s">
        <v>61</v>
      </c>
      <c r="B751" s="4" t="s">
        <v>59</v>
      </c>
      <c r="C751" s="4" t="s">
        <v>62</v>
      </c>
      <c r="D751" s="4" t="s">
        <v>63</v>
      </c>
      <c r="E751" s="4" t="s">
        <v>113</v>
      </c>
      <c r="F751" s="4" t="s">
        <v>114</v>
      </c>
      <c r="G751" s="4" t="s">
        <v>115</v>
      </c>
      <c r="H751" s="4" t="s">
        <v>26</v>
      </c>
      <c r="I751" s="5">
        <v>65000000</v>
      </c>
      <c r="J751" s="5">
        <v>85000</v>
      </c>
      <c r="K751" s="5">
        <v>8500</v>
      </c>
      <c r="L751" s="4" t="s">
        <v>116</v>
      </c>
      <c r="M751" s="4" t="s">
        <v>117</v>
      </c>
      <c r="N751" s="3">
        <v>45877</v>
      </c>
      <c r="O751" s="4" t="s">
        <v>51</v>
      </c>
      <c r="P751" s="2">
        <v>1000</v>
      </c>
      <c r="Q751" s="2">
        <v>3193</v>
      </c>
      <c r="R751" s="4" t="s">
        <v>749</v>
      </c>
      <c r="S751" s="5">
        <v>64684400</v>
      </c>
    </row>
    <row r="752" spans="1:19" x14ac:dyDescent="0.25">
      <c r="A752" s="4" t="s">
        <v>61</v>
      </c>
      <c r="B752" s="4" t="s">
        <v>59</v>
      </c>
      <c r="C752" s="4" t="s">
        <v>62</v>
      </c>
      <c r="D752" s="4" t="s">
        <v>63</v>
      </c>
      <c r="E752" s="4" t="s">
        <v>178</v>
      </c>
      <c r="F752" s="4" t="s">
        <v>179</v>
      </c>
      <c r="G752" s="4" t="s">
        <v>124</v>
      </c>
      <c r="H752" s="4" t="s">
        <v>26</v>
      </c>
      <c r="I752" s="5">
        <v>65000000</v>
      </c>
      <c r="J752" s="5">
        <v>70550</v>
      </c>
      <c r="K752" s="5">
        <v>7055</v>
      </c>
      <c r="L752" s="4" t="s">
        <v>26</v>
      </c>
      <c r="M752" s="4" t="s">
        <v>26</v>
      </c>
      <c r="N752" s="3">
        <v>45882</v>
      </c>
      <c r="O752" s="4" t="s">
        <v>432</v>
      </c>
      <c r="P752" s="2">
        <v>1000</v>
      </c>
      <c r="Q752" s="2">
        <v>3220</v>
      </c>
      <c r="R752" s="4" t="s">
        <v>755</v>
      </c>
      <c r="S752" s="5">
        <v>54146650</v>
      </c>
    </row>
    <row r="753" spans="1:19" x14ac:dyDescent="0.25">
      <c r="A753" s="4" t="s">
        <v>61</v>
      </c>
      <c r="B753" s="4" t="s">
        <v>59</v>
      </c>
      <c r="C753" s="4" t="s">
        <v>62</v>
      </c>
      <c r="D753" s="4" t="s">
        <v>63</v>
      </c>
      <c r="E753" s="4" t="s">
        <v>178</v>
      </c>
      <c r="F753" s="4" t="s">
        <v>179</v>
      </c>
      <c r="G753" s="4" t="s">
        <v>124</v>
      </c>
      <c r="H753" s="4" t="s">
        <v>26</v>
      </c>
      <c r="I753" s="5">
        <v>65000000</v>
      </c>
      <c r="J753" s="5">
        <v>14450</v>
      </c>
      <c r="K753" s="5">
        <v>1445</v>
      </c>
      <c r="L753" s="4" t="s">
        <v>26</v>
      </c>
      <c r="M753" s="4" t="s">
        <v>26</v>
      </c>
      <c r="N753" s="3">
        <v>45882</v>
      </c>
      <c r="O753" s="4" t="s">
        <v>432</v>
      </c>
      <c r="P753" s="2">
        <v>2000</v>
      </c>
      <c r="Q753" s="2">
        <v>3220</v>
      </c>
      <c r="R753" s="4" t="s">
        <v>755</v>
      </c>
      <c r="S753" s="5">
        <v>54146650</v>
      </c>
    </row>
    <row r="754" spans="1:19" x14ac:dyDescent="0.25">
      <c r="A754" s="4" t="s">
        <v>61</v>
      </c>
      <c r="B754" s="4" t="s">
        <v>59</v>
      </c>
      <c r="C754" s="4" t="s">
        <v>62</v>
      </c>
      <c r="D754" s="4" t="s">
        <v>63</v>
      </c>
      <c r="E754" s="4" t="s">
        <v>178</v>
      </c>
      <c r="F754" s="4" t="s">
        <v>179</v>
      </c>
      <c r="G754" s="4" t="s">
        <v>124</v>
      </c>
      <c r="H754" s="4" t="s">
        <v>26</v>
      </c>
      <c r="I754" s="5">
        <v>65000000</v>
      </c>
      <c r="J754" s="5">
        <v>47600</v>
      </c>
      <c r="K754" s="5">
        <v>4760</v>
      </c>
      <c r="L754" s="4" t="s">
        <v>26</v>
      </c>
      <c r="M754" s="4" t="s">
        <v>26</v>
      </c>
      <c r="N754" s="3">
        <v>45882</v>
      </c>
      <c r="O754" s="4" t="s">
        <v>432</v>
      </c>
      <c r="P754" s="2">
        <v>3000</v>
      </c>
      <c r="Q754" s="2">
        <v>3220</v>
      </c>
      <c r="R754" s="4" t="s">
        <v>755</v>
      </c>
      <c r="S754" s="5">
        <v>54146650</v>
      </c>
    </row>
    <row r="755" spans="1:19" x14ac:dyDescent="0.25">
      <c r="A755" s="4" t="s">
        <v>61</v>
      </c>
      <c r="B755" s="4" t="s">
        <v>59</v>
      </c>
      <c r="C755" s="4" t="s">
        <v>62</v>
      </c>
      <c r="D755" s="4" t="s">
        <v>63</v>
      </c>
      <c r="E755" s="4" t="s">
        <v>178</v>
      </c>
      <c r="F755" s="4" t="s">
        <v>179</v>
      </c>
      <c r="G755" s="4" t="s">
        <v>124</v>
      </c>
      <c r="H755" s="4" t="s">
        <v>26</v>
      </c>
      <c r="I755" s="5">
        <v>65000000</v>
      </c>
      <c r="J755" s="5">
        <v>89250</v>
      </c>
      <c r="K755" s="5">
        <v>8925</v>
      </c>
      <c r="L755" s="4" t="s">
        <v>26</v>
      </c>
      <c r="M755" s="4" t="s">
        <v>26</v>
      </c>
      <c r="N755" s="3">
        <v>45882</v>
      </c>
      <c r="O755" s="4" t="s">
        <v>432</v>
      </c>
      <c r="P755" s="2">
        <v>4000</v>
      </c>
      <c r="Q755" s="2">
        <v>3220</v>
      </c>
      <c r="R755" s="4" t="s">
        <v>755</v>
      </c>
      <c r="S755" s="5">
        <v>54146650</v>
      </c>
    </row>
    <row r="756" spans="1:19" x14ac:dyDescent="0.25">
      <c r="A756" s="4" t="s">
        <v>61</v>
      </c>
      <c r="B756" s="4" t="s">
        <v>59</v>
      </c>
      <c r="C756" s="4" t="s">
        <v>62</v>
      </c>
      <c r="D756" s="4" t="s">
        <v>63</v>
      </c>
      <c r="E756" s="4" t="s">
        <v>193</v>
      </c>
      <c r="F756" s="4" t="s">
        <v>194</v>
      </c>
      <c r="G756" s="4" t="s">
        <v>105</v>
      </c>
      <c r="H756" s="4" t="s">
        <v>26</v>
      </c>
      <c r="I756" s="5">
        <v>155000000</v>
      </c>
      <c r="J756" s="5">
        <v>2589700</v>
      </c>
      <c r="K756" s="5">
        <v>258970</v>
      </c>
      <c r="L756" s="4" t="s">
        <v>195</v>
      </c>
      <c r="M756" s="4" t="s">
        <v>196</v>
      </c>
      <c r="N756" s="3">
        <v>45881</v>
      </c>
      <c r="O756" s="4" t="s">
        <v>532</v>
      </c>
      <c r="P756" s="2">
        <v>1000</v>
      </c>
      <c r="Q756" s="2">
        <v>3233</v>
      </c>
      <c r="R756" s="4" t="s">
        <v>84</v>
      </c>
      <c r="S756" s="5">
        <v>149540330</v>
      </c>
    </row>
    <row r="757" spans="1:19" x14ac:dyDescent="0.25">
      <c r="A757" s="4" t="s">
        <v>61</v>
      </c>
      <c r="B757" s="4" t="s">
        <v>59</v>
      </c>
      <c r="C757" s="4" t="s">
        <v>62</v>
      </c>
      <c r="D757" s="4" t="s">
        <v>63</v>
      </c>
      <c r="E757" s="4" t="s">
        <v>284</v>
      </c>
      <c r="F757" s="4" t="s">
        <v>285</v>
      </c>
      <c r="G757" s="4" t="s">
        <v>286</v>
      </c>
      <c r="H757" s="4" t="s">
        <v>26</v>
      </c>
      <c r="I757" s="5">
        <v>110000000</v>
      </c>
      <c r="J757" s="5">
        <v>322500</v>
      </c>
      <c r="K757" s="5">
        <v>32250</v>
      </c>
      <c r="L757" s="4" t="s">
        <v>287</v>
      </c>
      <c r="M757" s="4" t="s">
        <v>288</v>
      </c>
      <c r="N757" s="3">
        <v>45889</v>
      </c>
      <c r="O757" s="4" t="s">
        <v>587</v>
      </c>
      <c r="P757" s="2">
        <v>1000</v>
      </c>
      <c r="Q757" s="2">
        <v>3233</v>
      </c>
      <c r="R757" s="4" t="s">
        <v>759</v>
      </c>
      <c r="S757" s="5">
        <v>108405000</v>
      </c>
    </row>
    <row r="758" spans="1:19" x14ac:dyDescent="0.25">
      <c r="A758" s="4" t="s">
        <v>61</v>
      </c>
      <c r="B758" s="4" t="s">
        <v>59</v>
      </c>
      <c r="C758" s="4" t="s">
        <v>62</v>
      </c>
      <c r="D758" s="4" t="s">
        <v>63</v>
      </c>
      <c r="E758" s="4" t="s">
        <v>160</v>
      </c>
      <c r="F758" s="4" t="s">
        <v>161</v>
      </c>
      <c r="G758" s="4" t="s">
        <v>115</v>
      </c>
      <c r="H758" s="4" t="s">
        <v>26</v>
      </c>
      <c r="I758" s="5">
        <v>65000000</v>
      </c>
      <c r="J758" s="5">
        <v>35700</v>
      </c>
      <c r="K758" s="5">
        <v>3570</v>
      </c>
      <c r="L758" s="4" t="s">
        <v>162</v>
      </c>
      <c r="M758" s="4" t="s">
        <v>163</v>
      </c>
      <c r="N758" s="3">
        <v>45876</v>
      </c>
      <c r="O758" s="4" t="s">
        <v>154</v>
      </c>
      <c r="P758" s="2">
        <v>1000</v>
      </c>
      <c r="Q758" s="2">
        <v>3238</v>
      </c>
      <c r="R758" s="4" t="s">
        <v>26</v>
      </c>
      <c r="S758" s="5">
        <v>64250650</v>
      </c>
    </row>
    <row r="759" spans="1:19" x14ac:dyDescent="0.25">
      <c r="A759" s="4" t="s">
        <v>61</v>
      </c>
      <c r="B759" s="4" t="s">
        <v>59</v>
      </c>
      <c r="C759" s="4" t="s">
        <v>62</v>
      </c>
      <c r="D759" s="4" t="s">
        <v>63</v>
      </c>
      <c r="E759" s="4" t="s">
        <v>160</v>
      </c>
      <c r="F759" s="4" t="s">
        <v>161</v>
      </c>
      <c r="G759" s="4" t="s">
        <v>115</v>
      </c>
      <c r="H759" s="4" t="s">
        <v>26</v>
      </c>
      <c r="I759" s="5">
        <v>65000000</v>
      </c>
      <c r="J759" s="5">
        <v>31000</v>
      </c>
      <c r="K759" s="5">
        <v>3100</v>
      </c>
      <c r="L759" s="4" t="s">
        <v>162</v>
      </c>
      <c r="M759" s="4" t="s">
        <v>163</v>
      </c>
      <c r="N759" s="3">
        <v>45876</v>
      </c>
      <c r="O759" s="4" t="s">
        <v>154</v>
      </c>
      <c r="P759" s="2">
        <v>2000</v>
      </c>
      <c r="Q759" s="2">
        <v>3238</v>
      </c>
      <c r="R759" s="4" t="s">
        <v>26</v>
      </c>
      <c r="S759" s="5">
        <v>64250650</v>
      </c>
    </row>
    <row r="760" spans="1:19" x14ac:dyDescent="0.25">
      <c r="A760" s="4" t="s">
        <v>61</v>
      </c>
      <c r="B760" s="4" t="s">
        <v>59</v>
      </c>
      <c r="C760" s="4" t="s">
        <v>62</v>
      </c>
      <c r="D760" s="4" t="s">
        <v>63</v>
      </c>
      <c r="E760" s="4" t="s">
        <v>160</v>
      </c>
      <c r="F760" s="4" t="s">
        <v>161</v>
      </c>
      <c r="G760" s="4" t="s">
        <v>115</v>
      </c>
      <c r="H760" s="4" t="s">
        <v>26</v>
      </c>
      <c r="I760" s="5">
        <v>65000000</v>
      </c>
      <c r="J760" s="5">
        <v>72250</v>
      </c>
      <c r="K760" s="5">
        <v>7225</v>
      </c>
      <c r="L760" s="4" t="s">
        <v>162</v>
      </c>
      <c r="M760" s="4" t="s">
        <v>163</v>
      </c>
      <c r="N760" s="3">
        <v>45876</v>
      </c>
      <c r="O760" s="4" t="s">
        <v>154</v>
      </c>
      <c r="P760" s="2">
        <v>3000</v>
      </c>
      <c r="Q760" s="2">
        <v>3238</v>
      </c>
      <c r="R760" s="4" t="s">
        <v>26</v>
      </c>
      <c r="S760" s="5">
        <v>64250650</v>
      </c>
    </row>
    <row r="761" spans="1:19" x14ac:dyDescent="0.25">
      <c r="A761" s="4" t="s">
        <v>61</v>
      </c>
      <c r="B761" s="4" t="s">
        <v>59</v>
      </c>
      <c r="C761" s="4" t="s">
        <v>62</v>
      </c>
      <c r="D761" s="4" t="s">
        <v>63</v>
      </c>
      <c r="E761" s="4" t="s">
        <v>394</v>
      </c>
      <c r="F761" s="4" t="s">
        <v>395</v>
      </c>
      <c r="G761" s="4" t="s">
        <v>50</v>
      </c>
      <c r="H761" s="4" t="s">
        <v>26</v>
      </c>
      <c r="I761" s="5">
        <v>65000000</v>
      </c>
      <c r="J761" s="5">
        <v>907970</v>
      </c>
      <c r="K761" s="5">
        <v>90797</v>
      </c>
      <c r="L761" s="4" t="s">
        <v>186</v>
      </c>
      <c r="M761" s="4" t="s">
        <v>187</v>
      </c>
      <c r="N761" s="3">
        <v>45897</v>
      </c>
      <c r="O761" s="4" t="s">
        <v>605</v>
      </c>
      <c r="P761" s="2">
        <v>1000</v>
      </c>
      <c r="Q761" s="2">
        <v>3239</v>
      </c>
      <c r="R761" s="4" t="s">
        <v>753</v>
      </c>
      <c r="S761" s="5">
        <v>54375310</v>
      </c>
    </row>
    <row r="762" spans="1:19" x14ac:dyDescent="0.25">
      <c r="A762" s="4" t="s">
        <v>61</v>
      </c>
      <c r="B762" s="4" t="s">
        <v>59</v>
      </c>
      <c r="C762" s="4" t="s">
        <v>62</v>
      </c>
      <c r="D762" s="4" t="s">
        <v>63</v>
      </c>
      <c r="E762" s="4" t="s">
        <v>152</v>
      </c>
      <c r="F762" s="4" t="s">
        <v>153</v>
      </c>
      <c r="G762" s="4" t="s">
        <v>50</v>
      </c>
      <c r="H762" s="4" t="s">
        <v>26</v>
      </c>
      <c r="I762" s="5">
        <v>65000000</v>
      </c>
      <c r="J762" s="5">
        <v>176400</v>
      </c>
      <c r="K762" s="5">
        <v>17640</v>
      </c>
      <c r="L762" s="4" t="s">
        <v>545</v>
      </c>
      <c r="M762" s="4" t="s">
        <v>546</v>
      </c>
      <c r="N762" s="3">
        <v>45881</v>
      </c>
      <c r="O762" s="4" t="s">
        <v>532</v>
      </c>
      <c r="P762" s="2">
        <v>1000</v>
      </c>
      <c r="Q762" s="2">
        <v>3244</v>
      </c>
      <c r="R762" s="4" t="s">
        <v>749</v>
      </c>
      <c r="S762" s="5">
        <v>64141500</v>
      </c>
    </row>
    <row r="763" spans="1:19" x14ac:dyDescent="0.25">
      <c r="A763" s="4" t="s">
        <v>61</v>
      </c>
      <c r="B763" s="4" t="s">
        <v>59</v>
      </c>
      <c r="C763" s="4" t="s">
        <v>62</v>
      </c>
      <c r="D763" s="4" t="s">
        <v>63</v>
      </c>
      <c r="E763" s="4" t="s">
        <v>152</v>
      </c>
      <c r="F763" s="4" t="s">
        <v>153</v>
      </c>
      <c r="G763" s="4" t="s">
        <v>50</v>
      </c>
      <c r="H763" s="4" t="s">
        <v>26</v>
      </c>
      <c r="I763" s="5">
        <v>65000000</v>
      </c>
      <c r="J763" s="5">
        <v>107100</v>
      </c>
      <c r="K763" s="5">
        <v>10710</v>
      </c>
      <c r="L763" s="4" t="s">
        <v>545</v>
      </c>
      <c r="M763" s="4" t="s">
        <v>546</v>
      </c>
      <c r="N763" s="3">
        <v>45881</v>
      </c>
      <c r="O763" s="4" t="s">
        <v>532</v>
      </c>
      <c r="P763" s="2">
        <v>2000</v>
      </c>
      <c r="Q763" s="2">
        <v>3244</v>
      </c>
      <c r="R763" s="4" t="s">
        <v>749</v>
      </c>
      <c r="S763" s="5">
        <v>64141500</v>
      </c>
    </row>
    <row r="764" spans="1:19" x14ac:dyDescent="0.25">
      <c r="A764" s="4" t="s">
        <v>61</v>
      </c>
      <c r="B764" s="4" t="s">
        <v>59</v>
      </c>
      <c r="C764" s="4" t="s">
        <v>62</v>
      </c>
      <c r="D764" s="4" t="s">
        <v>63</v>
      </c>
      <c r="E764" s="4" t="s">
        <v>92</v>
      </c>
      <c r="F764" s="4" t="s">
        <v>93</v>
      </c>
      <c r="G764" s="4" t="s">
        <v>94</v>
      </c>
      <c r="H764" s="4" t="s">
        <v>26</v>
      </c>
      <c r="I764" s="5">
        <v>155000000</v>
      </c>
      <c r="J764" s="5">
        <v>126000</v>
      </c>
      <c r="K764" s="5">
        <v>12600</v>
      </c>
      <c r="L764" s="4" t="s">
        <v>26</v>
      </c>
      <c r="M764" s="4" t="s">
        <v>26</v>
      </c>
      <c r="N764" s="3">
        <v>45876</v>
      </c>
      <c r="O764" s="4" t="s">
        <v>154</v>
      </c>
      <c r="P764" s="2">
        <v>1000</v>
      </c>
      <c r="Q764" s="2">
        <v>3264</v>
      </c>
      <c r="R764" s="4" t="s">
        <v>755</v>
      </c>
      <c r="S764" s="5">
        <v>145558700</v>
      </c>
    </row>
    <row r="765" spans="1:19" x14ac:dyDescent="0.25">
      <c r="A765" s="4" t="s">
        <v>61</v>
      </c>
      <c r="B765" s="4" t="s">
        <v>59</v>
      </c>
      <c r="C765" s="4" t="s">
        <v>62</v>
      </c>
      <c r="D765" s="4" t="s">
        <v>63</v>
      </c>
      <c r="E765" s="4" t="s">
        <v>598</v>
      </c>
      <c r="F765" s="4" t="s">
        <v>599</v>
      </c>
      <c r="G765" s="4" t="s">
        <v>115</v>
      </c>
      <c r="H765" s="4" t="s">
        <v>26</v>
      </c>
      <c r="I765" s="5">
        <v>65000000</v>
      </c>
      <c r="J765" s="5">
        <v>1199200</v>
      </c>
      <c r="K765" s="5">
        <v>119920</v>
      </c>
      <c r="L765" s="4" t="s">
        <v>600</v>
      </c>
      <c r="M765" s="4" t="s">
        <v>601</v>
      </c>
      <c r="N765" s="3">
        <v>45889</v>
      </c>
      <c r="O765" s="4" t="s">
        <v>587</v>
      </c>
      <c r="P765" s="2">
        <v>1000</v>
      </c>
      <c r="Q765" s="2">
        <v>3290</v>
      </c>
      <c r="R765" s="4" t="s">
        <v>753</v>
      </c>
      <c r="S765" s="5">
        <v>63800800</v>
      </c>
    </row>
    <row r="766" spans="1:19" x14ac:dyDescent="0.25">
      <c r="A766" s="4" t="s">
        <v>61</v>
      </c>
      <c r="B766" s="4" t="s">
        <v>59</v>
      </c>
      <c r="C766" s="4" t="s">
        <v>62</v>
      </c>
      <c r="D766" s="4" t="s">
        <v>63</v>
      </c>
      <c r="E766" s="4" t="s">
        <v>614</v>
      </c>
      <c r="F766" s="4" t="s">
        <v>615</v>
      </c>
      <c r="G766" s="4" t="s">
        <v>309</v>
      </c>
      <c r="H766" s="4" t="s">
        <v>26</v>
      </c>
      <c r="I766" s="5">
        <v>90000000</v>
      </c>
      <c r="J766" s="5">
        <v>312000</v>
      </c>
      <c r="K766" s="5">
        <v>31200</v>
      </c>
      <c r="L766" s="4" t="s">
        <v>616</v>
      </c>
      <c r="M766" s="4" t="s">
        <v>617</v>
      </c>
      <c r="N766" s="3">
        <v>45897</v>
      </c>
      <c r="O766" s="4" t="s">
        <v>605</v>
      </c>
      <c r="P766" s="2">
        <v>1000</v>
      </c>
      <c r="Q766" s="2">
        <v>3290</v>
      </c>
      <c r="R766" s="4" t="s">
        <v>759</v>
      </c>
      <c r="S766" s="5">
        <v>89408000</v>
      </c>
    </row>
    <row r="767" spans="1:19" x14ac:dyDescent="0.25">
      <c r="A767" s="4" t="s">
        <v>61</v>
      </c>
      <c r="B767" s="4" t="s">
        <v>59</v>
      </c>
      <c r="C767" s="4" t="s">
        <v>62</v>
      </c>
      <c r="D767" s="4" t="s">
        <v>63</v>
      </c>
      <c r="E767" s="4" t="s">
        <v>142</v>
      </c>
      <c r="F767" s="4" t="s">
        <v>143</v>
      </c>
      <c r="G767" s="4" t="s">
        <v>144</v>
      </c>
      <c r="H767" s="4" t="s">
        <v>26</v>
      </c>
      <c r="I767" s="5">
        <v>90000000</v>
      </c>
      <c r="J767" s="5">
        <v>75000</v>
      </c>
      <c r="K767" s="5">
        <v>7500</v>
      </c>
      <c r="L767" s="4" t="s">
        <v>26</v>
      </c>
      <c r="M767" s="4" t="s">
        <v>26</v>
      </c>
      <c r="N767" s="3">
        <v>45881</v>
      </c>
      <c r="O767" s="4" t="s">
        <v>532</v>
      </c>
      <c r="P767" s="2">
        <v>1000</v>
      </c>
      <c r="Q767" s="2">
        <v>3293</v>
      </c>
      <c r="R767" s="4" t="s">
        <v>749</v>
      </c>
      <c r="S767" s="5">
        <v>83720070</v>
      </c>
    </row>
    <row r="768" spans="1:19" x14ac:dyDescent="0.25">
      <c r="A768" s="4" t="s">
        <v>61</v>
      </c>
      <c r="B768" s="4" t="s">
        <v>59</v>
      </c>
      <c r="C768" s="4" t="s">
        <v>62</v>
      </c>
      <c r="D768" s="4" t="s">
        <v>63</v>
      </c>
      <c r="E768" s="4" t="s">
        <v>111</v>
      </c>
      <c r="F768" s="4" t="s">
        <v>112</v>
      </c>
      <c r="G768" s="4" t="s">
        <v>81</v>
      </c>
      <c r="H768" s="4" t="s">
        <v>26</v>
      </c>
      <c r="I768" s="5">
        <v>65000000</v>
      </c>
      <c r="J768" s="5">
        <v>190000</v>
      </c>
      <c r="K768" s="5">
        <v>19000</v>
      </c>
      <c r="L768" s="4" t="s">
        <v>150</v>
      </c>
      <c r="M768" s="4" t="s">
        <v>151</v>
      </c>
      <c r="N768" s="3">
        <v>45878</v>
      </c>
      <c r="O768" s="4" t="s">
        <v>459</v>
      </c>
      <c r="P768" s="2">
        <v>1000</v>
      </c>
      <c r="Q768" s="2">
        <v>3299</v>
      </c>
      <c r="R768" s="4" t="s">
        <v>84</v>
      </c>
      <c r="S768" s="5">
        <v>61345000</v>
      </c>
    </row>
    <row r="769" spans="1:19" x14ac:dyDescent="0.25">
      <c r="A769" s="4" t="s">
        <v>61</v>
      </c>
      <c r="B769" s="4" t="s">
        <v>59</v>
      </c>
      <c r="C769" s="4" t="s">
        <v>62</v>
      </c>
      <c r="D769" s="4" t="s">
        <v>63</v>
      </c>
      <c r="E769" s="4" t="s">
        <v>160</v>
      </c>
      <c r="F769" s="4" t="s">
        <v>161</v>
      </c>
      <c r="G769" s="4" t="s">
        <v>115</v>
      </c>
      <c r="H769" s="4" t="s">
        <v>26</v>
      </c>
      <c r="I769" s="5">
        <v>65000000</v>
      </c>
      <c r="J769" s="5">
        <v>34000</v>
      </c>
      <c r="K769" s="5">
        <v>3400</v>
      </c>
      <c r="L769" s="4" t="s">
        <v>162</v>
      </c>
      <c r="M769" s="4" t="s">
        <v>163</v>
      </c>
      <c r="N769" s="3">
        <v>45883</v>
      </c>
      <c r="O769" s="4" t="s">
        <v>283</v>
      </c>
      <c r="P769" s="2">
        <v>1000</v>
      </c>
      <c r="Q769" s="2">
        <v>3305</v>
      </c>
      <c r="R769" s="4" t="s">
        <v>26</v>
      </c>
      <c r="S769" s="5">
        <v>64250650</v>
      </c>
    </row>
    <row r="770" spans="1:19" x14ac:dyDescent="0.25">
      <c r="A770" s="4" t="s">
        <v>61</v>
      </c>
      <c r="B770" s="4" t="s">
        <v>59</v>
      </c>
      <c r="C770" s="4" t="s">
        <v>62</v>
      </c>
      <c r="D770" s="4" t="s">
        <v>63</v>
      </c>
      <c r="E770" s="4" t="s">
        <v>359</v>
      </c>
      <c r="F770" s="4" t="s">
        <v>360</v>
      </c>
      <c r="G770" s="4" t="s">
        <v>50</v>
      </c>
      <c r="H770" s="4" t="s">
        <v>26</v>
      </c>
      <c r="I770" s="5">
        <v>65000000</v>
      </c>
      <c r="J770" s="5">
        <v>70400</v>
      </c>
      <c r="K770" s="5">
        <v>7040</v>
      </c>
      <c r="L770" s="4" t="s">
        <v>361</v>
      </c>
      <c r="M770" s="4" t="s">
        <v>362</v>
      </c>
      <c r="N770" s="3">
        <v>45883</v>
      </c>
      <c r="O770" s="4" t="s">
        <v>283</v>
      </c>
      <c r="P770" s="2">
        <v>1000</v>
      </c>
      <c r="Q770" s="2">
        <v>3306</v>
      </c>
      <c r="R770" s="4" t="s">
        <v>755</v>
      </c>
      <c r="S770" s="5">
        <v>60590420</v>
      </c>
    </row>
    <row r="771" spans="1:19" x14ac:dyDescent="0.25">
      <c r="A771" s="4" t="s">
        <v>61</v>
      </c>
      <c r="B771" s="4" t="s">
        <v>59</v>
      </c>
      <c r="C771" s="4" t="s">
        <v>62</v>
      </c>
      <c r="D771" s="4" t="s">
        <v>63</v>
      </c>
      <c r="E771" s="4" t="s">
        <v>417</v>
      </c>
      <c r="F771" s="4" t="s">
        <v>418</v>
      </c>
      <c r="G771" s="4" t="s">
        <v>419</v>
      </c>
      <c r="H771" s="4" t="s">
        <v>26</v>
      </c>
      <c r="I771" s="5">
        <v>155000000</v>
      </c>
      <c r="J771" s="5">
        <v>64600</v>
      </c>
      <c r="K771" s="5">
        <v>6460</v>
      </c>
      <c r="L771" s="4" t="s">
        <v>420</v>
      </c>
      <c r="M771" s="4" t="s">
        <v>421</v>
      </c>
      <c r="N771" s="3">
        <v>45882</v>
      </c>
      <c r="O771" s="4" t="s">
        <v>432</v>
      </c>
      <c r="P771" s="2">
        <v>1000</v>
      </c>
      <c r="Q771" s="2">
        <v>3307</v>
      </c>
      <c r="R771" s="4" t="s">
        <v>26</v>
      </c>
      <c r="S771" s="5">
        <v>132256450</v>
      </c>
    </row>
    <row r="772" spans="1:19" x14ac:dyDescent="0.25">
      <c r="A772" s="4" t="s">
        <v>61</v>
      </c>
      <c r="B772" s="4" t="s">
        <v>59</v>
      </c>
      <c r="C772" s="4" t="s">
        <v>62</v>
      </c>
      <c r="D772" s="4" t="s">
        <v>63</v>
      </c>
      <c r="E772" s="4" t="s">
        <v>417</v>
      </c>
      <c r="F772" s="4" t="s">
        <v>418</v>
      </c>
      <c r="G772" s="4" t="s">
        <v>419</v>
      </c>
      <c r="H772" s="4" t="s">
        <v>26</v>
      </c>
      <c r="I772" s="5">
        <v>155000000</v>
      </c>
      <c r="J772" s="5">
        <v>79900</v>
      </c>
      <c r="K772" s="5">
        <v>7990</v>
      </c>
      <c r="L772" s="4" t="s">
        <v>420</v>
      </c>
      <c r="M772" s="4" t="s">
        <v>421</v>
      </c>
      <c r="N772" s="3">
        <v>45882</v>
      </c>
      <c r="O772" s="4" t="s">
        <v>432</v>
      </c>
      <c r="P772" s="2">
        <v>2000</v>
      </c>
      <c r="Q772" s="2">
        <v>3307</v>
      </c>
      <c r="R772" s="4" t="s">
        <v>26</v>
      </c>
      <c r="S772" s="5">
        <v>132256450</v>
      </c>
    </row>
    <row r="773" spans="1:19" x14ac:dyDescent="0.25">
      <c r="A773" s="4" t="s">
        <v>61</v>
      </c>
      <c r="B773" s="4" t="s">
        <v>59</v>
      </c>
      <c r="C773" s="4" t="s">
        <v>62</v>
      </c>
      <c r="D773" s="4" t="s">
        <v>63</v>
      </c>
      <c r="E773" s="4" t="s">
        <v>417</v>
      </c>
      <c r="F773" s="4" t="s">
        <v>418</v>
      </c>
      <c r="G773" s="4" t="s">
        <v>419</v>
      </c>
      <c r="H773" s="4" t="s">
        <v>26</v>
      </c>
      <c r="I773" s="5">
        <v>155000000</v>
      </c>
      <c r="J773" s="5">
        <v>4250</v>
      </c>
      <c r="K773" s="5">
        <v>425</v>
      </c>
      <c r="L773" s="4" t="s">
        <v>420</v>
      </c>
      <c r="M773" s="4" t="s">
        <v>421</v>
      </c>
      <c r="N773" s="3">
        <v>45882</v>
      </c>
      <c r="O773" s="4" t="s">
        <v>432</v>
      </c>
      <c r="P773" s="2">
        <v>3000</v>
      </c>
      <c r="Q773" s="2">
        <v>3307</v>
      </c>
      <c r="R773" s="4" t="s">
        <v>26</v>
      </c>
      <c r="S773" s="5">
        <v>132256450</v>
      </c>
    </row>
    <row r="774" spans="1:19" x14ac:dyDescent="0.25">
      <c r="A774" s="4" t="s">
        <v>61</v>
      </c>
      <c r="B774" s="4" t="s">
        <v>59</v>
      </c>
      <c r="C774" s="4" t="s">
        <v>62</v>
      </c>
      <c r="D774" s="4" t="s">
        <v>63</v>
      </c>
      <c r="E774" s="4" t="s">
        <v>206</v>
      </c>
      <c r="F774" s="4" t="s">
        <v>207</v>
      </c>
      <c r="G774" s="4" t="s">
        <v>97</v>
      </c>
      <c r="H774" s="4" t="s">
        <v>26</v>
      </c>
      <c r="I774" s="5">
        <v>155000000</v>
      </c>
      <c r="J774" s="5">
        <v>690000</v>
      </c>
      <c r="K774" s="5">
        <v>69000</v>
      </c>
      <c r="L774" s="4" t="s">
        <v>208</v>
      </c>
      <c r="M774" s="4" t="s">
        <v>209</v>
      </c>
      <c r="N774" s="3">
        <v>45897</v>
      </c>
      <c r="O774" s="4" t="s">
        <v>605</v>
      </c>
      <c r="P774" s="2">
        <v>1000</v>
      </c>
      <c r="Q774" s="2">
        <v>3316</v>
      </c>
      <c r="R774" s="4" t="s">
        <v>759</v>
      </c>
      <c r="S774" s="5">
        <v>153252100</v>
      </c>
    </row>
    <row r="775" spans="1:19" x14ac:dyDescent="0.25">
      <c r="A775" s="4" t="s">
        <v>61</v>
      </c>
      <c r="B775" s="4" t="s">
        <v>59</v>
      </c>
      <c r="C775" s="4" t="s">
        <v>62</v>
      </c>
      <c r="D775" s="4" t="s">
        <v>63</v>
      </c>
      <c r="E775" s="4" t="s">
        <v>206</v>
      </c>
      <c r="F775" s="4" t="s">
        <v>207</v>
      </c>
      <c r="G775" s="4" t="s">
        <v>97</v>
      </c>
      <c r="H775" s="4" t="s">
        <v>26</v>
      </c>
      <c r="I775" s="5">
        <v>155000000</v>
      </c>
      <c r="J775" s="5">
        <v>490000</v>
      </c>
      <c r="K775" s="5">
        <v>49000</v>
      </c>
      <c r="L775" s="4" t="s">
        <v>208</v>
      </c>
      <c r="M775" s="4" t="s">
        <v>209</v>
      </c>
      <c r="N775" s="3">
        <v>45897</v>
      </c>
      <c r="O775" s="4" t="s">
        <v>605</v>
      </c>
      <c r="P775" s="2">
        <v>2000</v>
      </c>
      <c r="Q775" s="2">
        <v>3316</v>
      </c>
      <c r="R775" s="4" t="s">
        <v>759</v>
      </c>
      <c r="S775" s="5">
        <v>153252100</v>
      </c>
    </row>
    <row r="776" spans="1:19" x14ac:dyDescent="0.25">
      <c r="A776" s="4" t="s">
        <v>61</v>
      </c>
      <c r="B776" s="4" t="s">
        <v>59</v>
      </c>
      <c r="C776" s="4" t="s">
        <v>62</v>
      </c>
      <c r="D776" s="4" t="s">
        <v>63</v>
      </c>
      <c r="E776" s="4" t="s">
        <v>310</v>
      </c>
      <c r="F776" s="4" t="s">
        <v>311</v>
      </c>
      <c r="G776" s="4" t="s">
        <v>190</v>
      </c>
      <c r="H776" s="4" t="s">
        <v>26</v>
      </c>
      <c r="I776" s="5">
        <v>90000000</v>
      </c>
      <c r="J776" s="5">
        <v>45000</v>
      </c>
      <c r="K776" s="5">
        <v>4500</v>
      </c>
      <c r="L776" s="4" t="s">
        <v>312</v>
      </c>
      <c r="M776" s="4" t="s">
        <v>313</v>
      </c>
      <c r="N776" s="3">
        <v>45878</v>
      </c>
      <c r="O776" s="4" t="s">
        <v>459</v>
      </c>
      <c r="P776" s="2">
        <v>1000</v>
      </c>
      <c r="Q776" s="2">
        <v>3317</v>
      </c>
      <c r="R776" s="4" t="s">
        <v>26</v>
      </c>
      <c r="S776" s="5">
        <v>86184030</v>
      </c>
    </row>
    <row r="777" spans="1:19" x14ac:dyDescent="0.25">
      <c r="A777" s="4" t="s">
        <v>61</v>
      </c>
      <c r="B777" s="4" t="s">
        <v>59</v>
      </c>
      <c r="C777" s="4" t="s">
        <v>62</v>
      </c>
      <c r="D777" s="4" t="s">
        <v>63</v>
      </c>
      <c r="E777" s="4" t="s">
        <v>188</v>
      </c>
      <c r="F777" s="4" t="s">
        <v>189</v>
      </c>
      <c r="G777" s="4" t="s">
        <v>190</v>
      </c>
      <c r="H777" s="4" t="s">
        <v>26</v>
      </c>
      <c r="I777" s="5">
        <v>90000000</v>
      </c>
      <c r="J777" s="5">
        <v>70550</v>
      </c>
      <c r="K777" s="5">
        <v>7055</v>
      </c>
      <c r="L777" s="4" t="s">
        <v>191</v>
      </c>
      <c r="M777" s="4" t="s">
        <v>192</v>
      </c>
      <c r="N777" s="3">
        <v>45882</v>
      </c>
      <c r="O777" s="4" t="s">
        <v>432</v>
      </c>
      <c r="P777" s="2">
        <v>1000</v>
      </c>
      <c r="Q777" s="2">
        <v>3349</v>
      </c>
      <c r="R777" s="4" t="s">
        <v>755</v>
      </c>
      <c r="S777" s="5">
        <v>87040690</v>
      </c>
    </row>
    <row r="778" spans="1:19" x14ac:dyDescent="0.25">
      <c r="A778" s="4" t="s">
        <v>61</v>
      </c>
      <c r="B778" s="4" t="s">
        <v>59</v>
      </c>
      <c r="C778" s="4" t="s">
        <v>62</v>
      </c>
      <c r="D778" s="4" t="s">
        <v>63</v>
      </c>
      <c r="E778" s="4" t="s">
        <v>188</v>
      </c>
      <c r="F778" s="4" t="s">
        <v>189</v>
      </c>
      <c r="G778" s="4" t="s">
        <v>190</v>
      </c>
      <c r="H778" s="4" t="s">
        <v>26</v>
      </c>
      <c r="I778" s="5">
        <v>90000000</v>
      </c>
      <c r="J778" s="5">
        <v>79900</v>
      </c>
      <c r="K778" s="5">
        <v>7990</v>
      </c>
      <c r="L778" s="4" t="s">
        <v>191</v>
      </c>
      <c r="M778" s="4" t="s">
        <v>192</v>
      </c>
      <c r="N778" s="3">
        <v>45882</v>
      </c>
      <c r="O778" s="4" t="s">
        <v>432</v>
      </c>
      <c r="P778" s="2">
        <v>2000</v>
      </c>
      <c r="Q778" s="2">
        <v>3349</v>
      </c>
      <c r="R778" s="4" t="s">
        <v>755</v>
      </c>
      <c r="S778" s="5">
        <v>87040690</v>
      </c>
    </row>
    <row r="779" spans="1:19" x14ac:dyDescent="0.25">
      <c r="A779" s="4" t="s">
        <v>61</v>
      </c>
      <c r="B779" s="4" t="s">
        <v>59</v>
      </c>
      <c r="C779" s="4" t="s">
        <v>62</v>
      </c>
      <c r="D779" s="4" t="s">
        <v>63</v>
      </c>
      <c r="E779" s="4" t="s">
        <v>188</v>
      </c>
      <c r="F779" s="4" t="s">
        <v>189</v>
      </c>
      <c r="G779" s="4" t="s">
        <v>190</v>
      </c>
      <c r="H779" s="4" t="s">
        <v>26</v>
      </c>
      <c r="I779" s="5">
        <v>90000000</v>
      </c>
      <c r="J779" s="5">
        <v>28050</v>
      </c>
      <c r="K779" s="5">
        <v>2805</v>
      </c>
      <c r="L779" s="4" t="s">
        <v>191</v>
      </c>
      <c r="M779" s="4" t="s">
        <v>192</v>
      </c>
      <c r="N779" s="3">
        <v>45882</v>
      </c>
      <c r="O779" s="4" t="s">
        <v>432</v>
      </c>
      <c r="P779" s="2">
        <v>3000</v>
      </c>
      <c r="Q779" s="2">
        <v>3349</v>
      </c>
      <c r="R779" s="4" t="s">
        <v>755</v>
      </c>
      <c r="S779" s="5">
        <v>87040690</v>
      </c>
    </row>
    <row r="780" spans="1:19" x14ac:dyDescent="0.25">
      <c r="A780" s="4" t="s">
        <v>61</v>
      </c>
      <c r="B780" s="4" t="s">
        <v>59</v>
      </c>
      <c r="C780" s="4" t="s">
        <v>62</v>
      </c>
      <c r="D780" s="4" t="s">
        <v>63</v>
      </c>
      <c r="E780" s="4" t="s">
        <v>103</v>
      </c>
      <c r="F780" s="4" t="s">
        <v>104</v>
      </c>
      <c r="G780" s="4" t="s">
        <v>105</v>
      </c>
      <c r="H780" s="4" t="s">
        <v>26</v>
      </c>
      <c r="I780" s="5">
        <v>155000000</v>
      </c>
      <c r="J780" s="5">
        <v>39200</v>
      </c>
      <c r="K780" s="5">
        <v>3920</v>
      </c>
      <c r="L780" s="4" t="s">
        <v>26</v>
      </c>
      <c r="M780" s="4" t="s">
        <v>26</v>
      </c>
      <c r="N780" s="3">
        <v>45878</v>
      </c>
      <c r="O780" s="4" t="s">
        <v>51</v>
      </c>
      <c r="P780" s="2">
        <v>1000</v>
      </c>
      <c r="Q780" s="2">
        <v>3356</v>
      </c>
      <c r="R780" s="4" t="s">
        <v>749</v>
      </c>
      <c r="S780" s="5">
        <v>150234500</v>
      </c>
    </row>
    <row r="781" spans="1:19" x14ac:dyDescent="0.25">
      <c r="A781" s="4" t="s">
        <v>61</v>
      </c>
      <c r="B781" s="4" t="s">
        <v>59</v>
      </c>
      <c r="C781" s="4" t="s">
        <v>62</v>
      </c>
      <c r="D781" s="4" t="s">
        <v>63</v>
      </c>
      <c r="E781" s="4" t="s">
        <v>118</v>
      </c>
      <c r="F781" s="4" t="s">
        <v>119</v>
      </c>
      <c r="G781" s="4" t="s">
        <v>100</v>
      </c>
      <c r="H781" s="4" t="s">
        <v>26</v>
      </c>
      <c r="I781" s="5">
        <v>65000000</v>
      </c>
      <c r="J781" s="5">
        <v>115200</v>
      </c>
      <c r="K781" s="5">
        <v>11520</v>
      </c>
      <c r="L781" s="4" t="s">
        <v>120</v>
      </c>
      <c r="M781" s="4" t="s">
        <v>121</v>
      </c>
      <c r="N781" s="3">
        <v>45882</v>
      </c>
      <c r="O781" s="4" t="s">
        <v>532</v>
      </c>
      <c r="P781" s="2">
        <v>1000</v>
      </c>
      <c r="Q781" s="2">
        <v>3357</v>
      </c>
      <c r="R781" s="4" t="s">
        <v>749</v>
      </c>
      <c r="S781" s="5">
        <v>63851150</v>
      </c>
    </row>
    <row r="782" spans="1:19" x14ac:dyDescent="0.25">
      <c r="A782" s="4" t="s">
        <v>61</v>
      </c>
      <c r="B782" s="4" t="s">
        <v>59</v>
      </c>
      <c r="C782" s="4" t="s">
        <v>62</v>
      </c>
      <c r="D782" s="4" t="s">
        <v>63</v>
      </c>
      <c r="E782" s="4" t="s">
        <v>122</v>
      </c>
      <c r="F782" s="4" t="s">
        <v>123</v>
      </c>
      <c r="G782" s="4" t="s">
        <v>124</v>
      </c>
      <c r="H782" s="4" t="s">
        <v>26</v>
      </c>
      <c r="I782" s="5">
        <v>65000000</v>
      </c>
      <c r="J782" s="5">
        <v>1570410</v>
      </c>
      <c r="K782" s="5">
        <v>157041</v>
      </c>
      <c r="L782" s="4" t="s">
        <v>72</v>
      </c>
      <c r="M782" s="4" t="s">
        <v>73</v>
      </c>
      <c r="N782" s="3">
        <v>45889</v>
      </c>
      <c r="O782" s="4" t="s">
        <v>642</v>
      </c>
      <c r="P782" s="2">
        <v>1000</v>
      </c>
      <c r="Q782" s="2">
        <v>3357</v>
      </c>
      <c r="R782" s="4" t="s">
        <v>774</v>
      </c>
      <c r="S782" s="5">
        <v>54042090</v>
      </c>
    </row>
    <row r="783" spans="1:19" x14ac:dyDescent="0.25">
      <c r="A783" s="4" t="s">
        <v>61</v>
      </c>
      <c r="B783" s="4" t="s">
        <v>59</v>
      </c>
      <c r="C783" s="4" t="s">
        <v>62</v>
      </c>
      <c r="D783" s="4" t="s">
        <v>63</v>
      </c>
      <c r="E783" s="4" t="s">
        <v>118</v>
      </c>
      <c r="F783" s="4" t="s">
        <v>119</v>
      </c>
      <c r="G783" s="4" t="s">
        <v>100</v>
      </c>
      <c r="H783" s="4" t="s">
        <v>26</v>
      </c>
      <c r="I783" s="5">
        <v>65000000</v>
      </c>
      <c r="J783" s="5">
        <v>97200</v>
      </c>
      <c r="K783" s="5">
        <v>9720</v>
      </c>
      <c r="L783" s="4" t="s">
        <v>120</v>
      </c>
      <c r="M783" s="4" t="s">
        <v>121</v>
      </c>
      <c r="N783" s="3">
        <v>45882</v>
      </c>
      <c r="O783" s="4" t="s">
        <v>532</v>
      </c>
      <c r="P783" s="2">
        <v>2000</v>
      </c>
      <c r="Q783" s="2">
        <v>3357</v>
      </c>
      <c r="R783" s="4" t="s">
        <v>749</v>
      </c>
      <c r="S783" s="5">
        <v>63851150</v>
      </c>
    </row>
    <row r="784" spans="1:19" x14ac:dyDescent="0.25">
      <c r="A784" s="4" t="s">
        <v>61</v>
      </c>
      <c r="B784" s="4" t="s">
        <v>59</v>
      </c>
      <c r="C784" s="4" t="s">
        <v>62</v>
      </c>
      <c r="D784" s="4" t="s">
        <v>63</v>
      </c>
      <c r="E784" s="4" t="s">
        <v>474</v>
      </c>
      <c r="F784" s="4" t="s">
        <v>475</v>
      </c>
      <c r="G784" s="4" t="s">
        <v>81</v>
      </c>
      <c r="H784" s="4" t="s">
        <v>26</v>
      </c>
      <c r="I784" s="5">
        <v>65000000</v>
      </c>
      <c r="J784" s="5">
        <v>574770</v>
      </c>
      <c r="K784" s="5">
        <v>57477</v>
      </c>
      <c r="L784" s="4" t="s">
        <v>26</v>
      </c>
      <c r="M784" s="4" t="s">
        <v>26</v>
      </c>
      <c r="N784" s="3">
        <v>45898</v>
      </c>
      <c r="O784" s="4" t="s">
        <v>605</v>
      </c>
      <c r="P784" s="2">
        <v>1000</v>
      </c>
      <c r="Q784" s="2">
        <v>3366</v>
      </c>
      <c r="R784" s="4" t="s">
        <v>753</v>
      </c>
      <c r="S784" s="5">
        <v>64312830</v>
      </c>
    </row>
    <row r="785" spans="1:19" x14ac:dyDescent="0.25">
      <c r="A785" s="4" t="s">
        <v>61</v>
      </c>
      <c r="B785" s="4" t="s">
        <v>59</v>
      </c>
      <c r="C785" s="4" t="s">
        <v>62</v>
      </c>
      <c r="D785" s="4" t="s">
        <v>63</v>
      </c>
      <c r="E785" s="4" t="s">
        <v>139</v>
      </c>
      <c r="F785" s="4" t="s">
        <v>140</v>
      </c>
      <c r="G785" s="4" t="s">
        <v>141</v>
      </c>
      <c r="H785" s="4" t="s">
        <v>26</v>
      </c>
      <c r="I785" s="5">
        <v>65000000</v>
      </c>
      <c r="J785" s="5">
        <v>51000</v>
      </c>
      <c r="K785" s="5">
        <v>5100</v>
      </c>
      <c r="L785" s="4" t="s">
        <v>182</v>
      </c>
      <c r="M785" s="4" t="s">
        <v>183</v>
      </c>
      <c r="N785" s="3">
        <v>45876</v>
      </c>
      <c r="O785" s="4" t="s">
        <v>154</v>
      </c>
      <c r="P785" s="2">
        <v>1000</v>
      </c>
      <c r="Q785" s="2">
        <v>3373</v>
      </c>
      <c r="R785" s="4" t="s">
        <v>84</v>
      </c>
      <c r="S785" s="5">
        <v>64247200</v>
      </c>
    </row>
    <row r="786" spans="1:19" x14ac:dyDescent="0.25">
      <c r="A786" s="4" t="s">
        <v>61</v>
      </c>
      <c r="B786" s="4" t="s">
        <v>59</v>
      </c>
      <c r="C786" s="4" t="s">
        <v>62</v>
      </c>
      <c r="D786" s="4" t="s">
        <v>63</v>
      </c>
      <c r="E786" s="4" t="s">
        <v>139</v>
      </c>
      <c r="F786" s="4" t="s">
        <v>140</v>
      </c>
      <c r="G786" s="4" t="s">
        <v>141</v>
      </c>
      <c r="H786" s="4" t="s">
        <v>26</v>
      </c>
      <c r="I786" s="5">
        <v>65000000</v>
      </c>
      <c r="J786" s="5">
        <v>18000</v>
      </c>
      <c r="K786" s="5">
        <v>1800</v>
      </c>
      <c r="L786" s="4" t="s">
        <v>182</v>
      </c>
      <c r="M786" s="4" t="s">
        <v>183</v>
      </c>
      <c r="N786" s="3">
        <v>45876</v>
      </c>
      <c r="O786" s="4" t="s">
        <v>154</v>
      </c>
      <c r="P786" s="2">
        <v>2000</v>
      </c>
      <c r="Q786" s="2">
        <v>3373</v>
      </c>
      <c r="R786" s="4" t="s">
        <v>84</v>
      </c>
      <c r="S786" s="5">
        <v>64247200</v>
      </c>
    </row>
    <row r="787" spans="1:19" x14ac:dyDescent="0.25">
      <c r="A787" s="4" t="s">
        <v>61</v>
      </c>
      <c r="B787" s="4" t="s">
        <v>59</v>
      </c>
      <c r="C787" s="4" t="s">
        <v>62</v>
      </c>
      <c r="D787" s="4" t="s">
        <v>63</v>
      </c>
      <c r="E787" s="4" t="s">
        <v>202</v>
      </c>
      <c r="F787" s="4" t="s">
        <v>203</v>
      </c>
      <c r="G787" s="4" t="s">
        <v>100</v>
      </c>
      <c r="H787" s="4" t="s">
        <v>26</v>
      </c>
      <c r="I787" s="5">
        <v>65000000</v>
      </c>
      <c r="J787" s="5">
        <v>72000</v>
      </c>
      <c r="K787" s="5">
        <v>7200</v>
      </c>
      <c r="L787" s="4" t="s">
        <v>320</v>
      </c>
      <c r="M787" s="4" t="s">
        <v>321</v>
      </c>
      <c r="N787" s="3">
        <v>45898</v>
      </c>
      <c r="O787" s="4" t="s">
        <v>605</v>
      </c>
      <c r="P787" s="2">
        <v>1000</v>
      </c>
      <c r="Q787" s="2">
        <v>3382</v>
      </c>
      <c r="R787" s="4" t="s">
        <v>26</v>
      </c>
      <c r="S787" s="5">
        <v>63226550</v>
      </c>
    </row>
    <row r="788" spans="1:19" x14ac:dyDescent="0.25">
      <c r="A788" s="4" t="s">
        <v>61</v>
      </c>
      <c r="B788" s="4" t="s">
        <v>59</v>
      </c>
      <c r="C788" s="4" t="s">
        <v>62</v>
      </c>
      <c r="D788" s="4" t="s">
        <v>63</v>
      </c>
      <c r="E788" s="4" t="s">
        <v>113</v>
      </c>
      <c r="F788" s="4" t="s">
        <v>114</v>
      </c>
      <c r="G788" s="4" t="s">
        <v>115</v>
      </c>
      <c r="H788" s="4" t="s">
        <v>26</v>
      </c>
      <c r="I788" s="5">
        <v>65000000</v>
      </c>
      <c r="J788" s="5">
        <v>145600</v>
      </c>
      <c r="K788" s="5">
        <v>14560</v>
      </c>
      <c r="L788" s="4" t="s">
        <v>26</v>
      </c>
      <c r="M788" s="4" t="s">
        <v>26</v>
      </c>
      <c r="N788" s="3">
        <v>45884</v>
      </c>
      <c r="O788" s="4" t="s">
        <v>283</v>
      </c>
      <c r="P788" s="2">
        <v>1000</v>
      </c>
      <c r="Q788" s="2">
        <v>3385</v>
      </c>
      <c r="R788" s="4" t="s">
        <v>755</v>
      </c>
      <c r="S788" s="5">
        <v>64684400</v>
      </c>
    </row>
    <row r="789" spans="1:19" x14ac:dyDescent="0.25">
      <c r="A789" s="4" t="s">
        <v>61</v>
      </c>
      <c r="B789" s="4" t="s">
        <v>59</v>
      </c>
      <c r="C789" s="4" t="s">
        <v>62</v>
      </c>
      <c r="D789" s="4" t="s">
        <v>63</v>
      </c>
      <c r="E789" s="4" t="s">
        <v>330</v>
      </c>
      <c r="F789" s="4" t="s">
        <v>331</v>
      </c>
      <c r="G789" s="4" t="s">
        <v>124</v>
      </c>
      <c r="H789" s="4" t="s">
        <v>26</v>
      </c>
      <c r="I789" s="5">
        <v>65000000</v>
      </c>
      <c r="J789" s="5">
        <v>63000</v>
      </c>
      <c r="K789" s="5">
        <v>6300</v>
      </c>
      <c r="L789" s="4" t="s">
        <v>26</v>
      </c>
      <c r="M789" s="4" t="s">
        <v>26</v>
      </c>
      <c r="N789" s="3">
        <v>45878</v>
      </c>
      <c r="O789" s="4" t="s">
        <v>459</v>
      </c>
      <c r="P789" s="2">
        <v>1000</v>
      </c>
      <c r="Q789" s="2">
        <v>3389</v>
      </c>
      <c r="R789" s="4" t="s">
        <v>747</v>
      </c>
      <c r="S789" s="5">
        <v>62496720</v>
      </c>
    </row>
    <row r="790" spans="1:19" x14ac:dyDescent="0.25">
      <c r="A790" s="4" t="s">
        <v>61</v>
      </c>
      <c r="B790" s="4" t="s">
        <v>59</v>
      </c>
      <c r="C790" s="4" t="s">
        <v>62</v>
      </c>
      <c r="D790" s="4" t="s">
        <v>63</v>
      </c>
      <c r="E790" s="4" t="s">
        <v>502</v>
      </c>
      <c r="F790" s="4" t="s">
        <v>503</v>
      </c>
      <c r="G790" s="4" t="s">
        <v>81</v>
      </c>
      <c r="H790" s="4" t="s">
        <v>26</v>
      </c>
      <c r="I790" s="5">
        <v>65000000</v>
      </c>
      <c r="J790" s="5">
        <v>50000</v>
      </c>
      <c r="K790" s="5">
        <v>5000</v>
      </c>
      <c r="L790" s="4" t="s">
        <v>26</v>
      </c>
      <c r="M790" s="4" t="s">
        <v>26</v>
      </c>
      <c r="N790" s="3">
        <v>45878</v>
      </c>
      <c r="O790" s="4" t="s">
        <v>459</v>
      </c>
      <c r="P790" s="2">
        <v>1000</v>
      </c>
      <c r="Q790" s="2">
        <v>3390</v>
      </c>
      <c r="R790" s="4" t="s">
        <v>84</v>
      </c>
      <c r="S790" s="5">
        <v>61995300</v>
      </c>
    </row>
    <row r="791" spans="1:19" x14ac:dyDescent="0.25">
      <c r="A791" s="4" t="s">
        <v>61</v>
      </c>
      <c r="B791" s="4" t="s">
        <v>59</v>
      </c>
      <c r="C791" s="4" t="s">
        <v>62</v>
      </c>
      <c r="D791" s="4" t="s">
        <v>63</v>
      </c>
      <c r="E791" s="4" t="s">
        <v>277</v>
      </c>
      <c r="F791" s="4" t="s">
        <v>278</v>
      </c>
      <c r="G791" s="4" t="s">
        <v>50</v>
      </c>
      <c r="H791" s="4" t="s">
        <v>26</v>
      </c>
      <c r="I791" s="5">
        <v>65000000</v>
      </c>
      <c r="J791" s="5">
        <v>76500</v>
      </c>
      <c r="K791" s="5">
        <v>7650</v>
      </c>
      <c r="L791" s="4" t="s">
        <v>26</v>
      </c>
      <c r="M791" s="4" t="s">
        <v>26</v>
      </c>
      <c r="N791" s="3">
        <v>45879</v>
      </c>
      <c r="O791" s="4" t="s">
        <v>565</v>
      </c>
      <c r="P791" s="2">
        <v>1000</v>
      </c>
      <c r="Q791" s="2">
        <v>3393</v>
      </c>
      <c r="R791" s="4" t="s">
        <v>749</v>
      </c>
      <c r="S791" s="5">
        <v>64145800</v>
      </c>
    </row>
    <row r="792" spans="1:19" x14ac:dyDescent="0.25">
      <c r="A792" s="4" t="s">
        <v>61</v>
      </c>
      <c r="B792" s="4" t="s">
        <v>59</v>
      </c>
      <c r="C792" s="4" t="s">
        <v>62</v>
      </c>
      <c r="D792" s="4" t="s">
        <v>63</v>
      </c>
      <c r="E792" s="4" t="s">
        <v>277</v>
      </c>
      <c r="F792" s="4" t="s">
        <v>278</v>
      </c>
      <c r="G792" s="4" t="s">
        <v>50</v>
      </c>
      <c r="H792" s="4" t="s">
        <v>26</v>
      </c>
      <c r="I792" s="5">
        <v>65000000</v>
      </c>
      <c r="J792" s="5">
        <v>63000</v>
      </c>
      <c r="K792" s="5">
        <v>6300</v>
      </c>
      <c r="L792" s="4" t="s">
        <v>26</v>
      </c>
      <c r="M792" s="4" t="s">
        <v>26</v>
      </c>
      <c r="N792" s="3">
        <v>45879</v>
      </c>
      <c r="O792" s="4" t="s">
        <v>565</v>
      </c>
      <c r="P792" s="2">
        <v>2000</v>
      </c>
      <c r="Q792" s="2">
        <v>3393</v>
      </c>
      <c r="R792" s="4" t="s">
        <v>749</v>
      </c>
      <c r="S792" s="5">
        <v>64145800</v>
      </c>
    </row>
    <row r="793" spans="1:19" x14ac:dyDescent="0.25">
      <c r="A793" s="4" t="s">
        <v>61</v>
      </c>
      <c r="B793" s="4" t="s">
        <v>59</v>
      </c>
      <c r="C793" s="4" t="s">
        <v>62</v>
      </c>
      <c r="D793" s="4" t="s">
        <v>63</v>
      </c>
      <c r="E793" s="4" t="s">
        <v>204</v>
      </c>
      <c r="F793" s="4" t="s">
        <v>205</v>
      </c>
      <c r="G793" s="4" t="s">
        <v>144</v>
      </c>
      <c r="H793" s="4" t="s">
        <v>26</v>
      </c>
      <c r="I793" s="5">
        <v>90000000</v>
      </c>
      <c r="J793" s="5">
        <v>6900000</v>
      </c>
      <c r="K793" s="5">
        <v>690000</v>
      </c>
      <c r="L793" s="4" t="s">
        <v>588</v>
      </c>
      <c r="M793" s="4" t="s">
        <v>589</v>
      </c>
      <c r="N793" s="3">
        <v>45883</v>
      </c>
      <c r="O793" s="4" t="s">
        <v>657</v>
      </c>
      <c r="P793" s="2">
        <v>1000</v>
      </c>
      <c r="Q793" s="2">
        <v>3397</v>
      </c>
      <c r="R793" s="4" t="s">
        <v>746</v>
      </c>
      <c r="S793" s="5">
        <v>80677900</v>
      </c>
    </row>
    <row r="794" spans="1:19" x14ac:dyDescent="0.25">
      <c r="A794" s="4" t="s">
        <v>61</v>
      </c>
      <c r="B794" s="4" t="s">
        <v>59</v>
      </c>
      <c r="C794" s="4" t="s">
        <v>62</v>
      </c>
      <c r="D794" s="4" t="s">
        <v>63</v>
      </c>
      <c r="E794" s="4" t="s">
        <v>618</v>
      </c>
      <c r="F794" s="4" t="s">
        <v>619</v>
      </c>
      <c r="G794" s="4" t="s">
        <v>381</v>
      </c>
      <c r="H794" s="4" t="s">
        <v>26</v>
      </c>
      <c r="I794" s="5">
        <v>90000000</v>
      </c>
      <c r="J794" s="5">
        <v>360000</v>
      </c>
      <c r="K794" s="5">
        <v>36000</v>
      </c>
      <c r="L794" s="4" t="s">
        <v>322</v>
      </c>
      <c r="M794" s="4" t="s">
        <v>323</v>
      </c>
      <c r="N794" s="3">
        <v>45898</v>
      </c>
      <c r="O794" s="4" t="s">
        <v>605</v>
      </c>
      <c r="P794" s="2">
        <v>1000</v>
      </c>
      <c r="Q794" s="2">
        <v>3404</v>
      </c>
      <c r="R794" s="4" t="s">
        <v>756</v>
      </c>
      <c r="S794" s="5">
        <v>88531800</v>
      </c>
    </row>
    <row r="795" spans="1:19" x14ac:dyDescent="0.25">
      <c r="A795" s="4" t="s">
        <v>61</v>
      </c>
      <c r="B795" s="4" t="s">
        <v>59</v>
      </c>
      <c r="C795" s="4" t="s">
        <v>62</v>
      </c>
      <c r="D795" s="4" t="s">
        <v>63</v>
      </c>
      <c r="E795" s="4" t="s">
        <v>618</v>
      </c>
      <c r="F795" s="4" t="s">
        <v>619</v>
      </c>
      <c r="G795" s="4" t="s">
        <v>381</v>
      </c>
      <c r="H795" s="4" t="s">
        <v>26</v>
      </c>
      <c r="I795" s="5">
        <v>90000000</v>
      </c>
      <c r="J795" s="5">
        <v>360000</v>
      </c>
      <c r="K795" s="5">
        <v>36000</v>
      </c>
      <c r="L795" s="4" t="s">
        <v>322</v>
      </c>
      <c r="M795" s="4" t="s">
        <v>323</v>
      </c>
      <c r="N795" s="3">
        <v>45898</v>
      </c>
      <c r="O795" s="4" t="s">
        <v>605</v>
      </c>
      <c r="P795" s="2">
        <v>2000</v>
      </c>
      <c r="Q795" s="2">
        <v>3404</v>
      </c>
      <c r="R795" s="4" t="s">
        <v>756</v>
      </c>
      <c r="S795" s="5">
        <v>88531800</v>
      </c>
    </row>
    <row r="796" spans="1:19" x14ac:dyDescent="0.25">
      <c r="A796" s="4" t="s">
        <v>61</v>
      </c>
      <c r="B796" s="4" t="s">
        <v>59</v>
      </c>
      <c r="C796" s="4" t="s">
        <v>62</v>
      </c>
      <c r="D796" s="4" t="s">
        <v>63</v>
      </c>
      <c r="E796" s="4" t="s">
        <v>618</v>
      </c>
      <c r="F796" s="4" t="s">
        <v>619</v>
      </c>
      <c r="G796" s="4" t="s">
        <v>381</v>
      </c>
      <c r="H796" s="4" t="s">
        <v>26</v>
      </c>
      <c r="I796" s="5">
        <v>90000000</v>
      </c>
      <c r="J796" s="5">
        <v>290000</v>
      </c>
      <c r="K796" s="5">
        <v>29000</v>
      </c>
      <c r="L796" s="4" t="s">
        <v>322</v>
      </c>
      <c r="M796" s="4" t="s">
        <v>323</v>
      </c>
      <c r="N796" s="3">
        <v>45898</v>
      </c>
      <c r="O796" s="4" t="s">
        <v>605</v>
      </c>
      <c r="P796" s="2">
        <v>3000</v>
      </c>
      <c r="Q796" s="2">
        <v>3404</v>
      </c>
      <c r="R796" s="4" t="s">
        <v>756</v>
      </c>
      <c r="S796" s="5">
        <v>88531800</v>
      </c>
    </row>
    <row r="797" spans="1:19" x14ac:dyDescent="0.25">
      <c r="A797" s="4" t="s">
        <v>61</v>
      </c>
      <c r="B797" s="4" t="s">
        <v>59</v>
      </c>
      <c r="C797" s="4" t="s">
        <v>62</v>
      </c>
      <c r="D797" s="4" t="s">
        <v>63</v>
      </c>
      <c r="E797" s="4" t="s">
        <v>498</v>
      </c>
      <c r="F797" s="4" t="s">
        <v>499</v>
      </c>
      <c r="G797" s="4" t="s">
        <v>144</v>
      </c>
      <c r="H797" s="4" t="s">
        <v>26</v>
      </c>
      <c r="I797" s="5">
        <v>90000000</v>
      </c>
      <c r="J797" s="5">
        <v>367500</v>
      </c>
      <c r="K797" s="5">
        <v>36750</v>
      </c>
      <c r="L797" s="4" t="s">
        <v>500</v>
      </c>
      <c r="M797" s="4" t="s">
        <v>501</v>
      </c>
      <c r="N797" s="3">
        <v>45882</v>
      </c>
      <c r="O797" s="4" t="s">
        <v>532</v>
      </c>
      <c r="P797" s="2">
        <v>1000</v>
      </c>
      <c r="Q797" s="2">
        <v>3409</v>
      </c>
      <c r="R797" s="4" t="s">
        <v>26</v>
      </c>
      <c r="S797" s="5">
        <v>84861850</v>
      </c>
    </row>
    <row r="798" spans="1:19" x14ac:dyDescent="0.25">
      <c r="A798" s="4" t="s">
        <v>61</v>
      </c>
      <c r="B798" s="4" t="s">
        <v>59</v>
      </c>
      <c r="C798" s="4" t="s">
        <v>62</v>
      </c>
      <c r="D798" s="4" t="s">
        <v>63</v>
      </c>
      <c r="E798" s="4" t="s">
        <v>85</v>
      </c>
      <c r="F798" s="4" t="s">
        <v>86</v>
      </c>
      <c r="G798" s="4" t="s">
        <v>50</v>
      </c>
      <c r="H798" s="4" t="s">
        <v>26</v>
      </c>
      <c r="I798" s="5">
        <v>65000000</v>
      </c>
      <c r="J798" s="5">
        <v>675000</v>
      </c>
      <c r="K798" s="5">
        <v>67500</v>
      </c>
      <c r="L798" s="4" t="s">
        <v>87</v>
      </c>
      <c r="M798" s="4" t="s">
        <v>88</v>
      </c>
      <c r="N798" s="3">
        <v>45879</v>
      </c>
      <c r="O798" s="4" t="s">
        <v>719</v>
      </c>
      <c r="P798" s="2">
        <v>1000</v>
      </c>
      <c r="Q798" s="2">
        <v>3452</v>
      </c>
      <c r="R798" s="4" t="s">
        <v>775</v>
      </c>
      <c r="S798" s="5">
        <v>63946000</v>
      </c>
    </row>
    <row r="799" spans="1:19" x14ac:dyDescent="0.25">
      <c r="A799" s="4" t="s">
        <v>61</v>
      </c>
      <c r="B799" s="4" t="s">
        <v>59</v>
      </c>
      <c r="C799" s="4" t="s">
        <v>62</v>
      </c>
      <c r="D799" s="4" t="s">
        <v>63</v>
      </c>
      <c r="E799" s="4" t="s">
        <v>255</v>
      </c>
      <c r="F799" s="4" t="s">
        <v>256</v>
      </c>
      <c r="G799" s="4" t="s">
        <v>144</v>
      </c>
      <c r="H799" s="4" t="s">
        <v>26</v>
      </c>
      <c r="I799" s="5">
        <v>90000000</v>
      </c>
      <c r="J799" s="5">
        <v>390000</v>
      </c>
      <c r="K799" s="5">
        <v>39000</v>
      </c>
      <c r="L799" s="4" t="s">
        <v>26</v>
      </c>
      <c r="M799" s="4" t="s">
        <v>26</v>
      </c>
      <c r="N799" s="3">
        <v>45890</v>
      </c>
      <c r="O799" s="4" t="s">
        <v>587</v>
      </c>
      <c r="P799" s="2">
        <v>1000</v>
      </c>
      <c r="Q799" s="2">
        <v>3453</v>
      </c>
      <c r="R799" s="4" t="s">
        <v>756</v>
      </c>
      <c r="S799" s="5">
        <v>81505500</v>
      </c>
    </row>
    <row r="800" spans="1:19" x14ac:dyDescent="0.25">
      <c r="A800" s="4" t="s">
        <v>61</v>
      </c>
      <c r="B800" s="4" t="s">
        <v>59</v>
      </c>
      <c r="C800" s="4" t="s">
        <v>62</v>
      </c>
      <c r="D800" s="4" t="s">
        <v>63</v>
      </c>
      <c r="E800" s="4" t="s">
        <v>170</v>
      </c>
      <c r="F800" s="4" t="s">
        <v>171</v>
      </c>
      <c r="G800" s="4" t="s">
        <v>50</v>
      </c>
      <c r="H800" s="4" t="s">
        <v>26</v>
      </c>
      <c r="I800" s="5">
        <v>65000000</v>
      </c>
      <c r="J800" s="5">
        <v>2293000</v>
      </c>
      <c r="K800" s="5">
        <v>229300</v>
      </c>
      <c r="L800" s="4" t="s">
        <v>26</v>
      </c>
      <c r="M800" s="4" t="s">
        <v>26</v>
      </c>
      <c r="N800" s="3">
        <v>45896</v>
      </c>
      <c r="O800" s="4" t="s">
        <v>626</v>
      </c>
      <c r="P800" s="2">
        <v>1000</v>
      </c>
      <c r="Q800" s="2">
        <v>3463</v>
      </c>
      <c r="R800" s="4" t="s">
        <v>753</v>
      </c>
      <c r="S800" s="5">
        <v>59051100</v>
      </c>
    </row>
    <row r="801" spans="1:19" x14ac:dyDescent="0.25">
      <c r="A801" s="4" t="s">
        <v>61</v>
      </c>
      <c r="B801" s="4" t="s">
        <v>59</v>
      </c>
      <c r="C801" s="4" t="s">
        <v>62</v>
      </c>
      <c r="D801" s="4" t="s">
        <v>63</v>
      </c>
      <c r="E801" s="4" t="s">
        <v>326</v>
      </c>
      <c r="F801" s="4" t="s">
        <v>327</v>
      </c>
      <c r="G801" s="4" t="s">
        <v>81</v>
      </c>
      <c r="H801" s="4" t="s">
        <v>26</v>
      </c>
      <c r="I801" s="5">
        <v>65000000</v>
      </c>
      <c r="J801" s="5">
        <v>112000</v>
      </c>
      <c r="K801" s="5">
        <v>11200</v>
      </c>
      <c r="L801" s="4" t="s">
        <v>328</v>
      </c>
      <c r="M801" s="4" t="s">
        <v>329</v>
      </c>
      <c r="N801" s="3">
        <v>45884</v>
      </c>
      <c r="O801" s="4" t="s">
        <v>283</v>
      </c>
      <c r="P801" s="2">
        <v>1000</v>
      </c>
      <c r="Q801" s="2">
        <v>3467</v>
      </c>
      <c r="R801" s="4" t="s">
        <v>755</v>
      </c>
      <c r="S801" s="5">
        <v>64818700</v>
      </c>
    </row>
    <row r="802" spans="1:19" x14ac:dyDescent="0.25">
      <c r="A802" s="4" t="s">
        <v>61</v>
      </c>
      <c r="B802" s="4" t="s">
        <v>59</v>
      </c>
      <c r="C802" s="4" t="s">
        <v>62</v>
      </c>
      <c r="D802" s="4" t="s">
        <v>63</v>
      </c>
      <c r="E802" s="4" t="s">
        <v>259</v>
      </c>
      <c r="F802" s="4" t="s">
        <v>260</v>
      </c>
      <c r="G802" s="4" t="s">
        <v>144</v>
      </c>
      <c r="H802" s="4" t="s">
        <v>26</v>
      </c>
      <c r="I802" s="5">
        <v>90000000</v>
      </c>
      <c r="J802" s="5">
        <v>574770</v>
      </c>
      <c r="K802" s="5">
        <v>57477</v>
      </c>
      <c r="L802" s="4" t="s">
        <v>261</v>
      </c>
      <c r="M802" s="4" t="s">
        <v>262</v>
      </c>
      <c r="N802" s="3">
        <v>45898</v>
      </c>
      <c r="O802" s="4" t="s">
        <v>605</v>
      </c>
      <c r="P802" s="2">
        <v>1000</v>
      </c>
      <c r="Q802" s="2">
        <v>3469</v>
      </c>
      <c r="R802" s="4" t="s">
        <v>753</v>
      </c>
      <c r="S802" s="5">
        <v>86406230</v>
      </c>
    </row>
    <row r="803" spans="1:19" x14ac:dyDescent="0.25">
      <c r="A803" s="4" t="s">
        <v>61</v>
      </c>
      <c r="B803" s="4" t="s">
        <v>59</v>
      </c>
      <c r="C803" s="4" t="s">
        <v>62</v>
      </c>
      <c r="D803" s="4" t="s">
        <v>63</v>
      </c>
      <c r="E803" s="4" t="s">
        <v>178</v>
      </c>
      <c r="F803" s="4" t="s">
        <v>179</v>
      </c>
      <c r="G803" s="4" t="s">
        <v>124</v>
      </c>
      <c r="H803" s="4" t="s">
        <v>26</v>
      </c>
      <c r="I803" s="5">
        <v>65000000</v>
      </c>
      <c r="J803" s="5">
        <v>30000</v>
      </c>
      <c r="K803" s="5">
        <v>3000</v>
      </c>
      <c r="L803" s="4" t="s">
        <v>26</v>
      </c>
      <c r="M803" s="4" t="s">
        <v>26</v>
      </c>
      <c r="N803" s="3">
        <v>45884</v>
      </c>
      <c r="O803" s="4" t="s">
        <v>283</v>
      </c>
      <c r="P803" s="2">
        <v>1000</v>
      </c>
      <c r="Q803" s="2">
        <v>3477</v>
      </c>
      <c r="R803" s="4" t="s">
        <v>84</v>
      </c>
      <c r="S803" s="5">
        <v>54146650</v>
      </c>
    </row>
    <row r="804" spans="1:19" x14ac:dyDescent="0.25">
      <c r="A804" s="4" t="s">
        <v>61</v>
      </c>
      <c r="B804" s="4" t="s">
        <v>59</v>
      </c>
      <c r="C804" s="4" t="s">
        <v>62</v>
      </c>
      <c r="D804" s="4" t="s">
        <v>63</v>
      </c>
      <c r="E804" s="4" t="s">
        <v>305</v>
      </c>
      <c r="F804" s="4" t="s">
        <v>306</v>
      </c>
      <c r="G804" s="4" t="s">
        <v>100</v>
      </c>
      <c r="H804" s="4" t="s">
        <v>26</v>
      </c>
      <c r="I804" s="5">
        <v>65000000</v>
      </c>
      <c r="J804" s="5">
        <v>158400</v>
      </c>
      <c r="K804" s="5">
        <v>15840</v>
      </c>
      <c r="L804" s="4" t="s">
        <v>363</v>
      </c>
      <c r="M804" s="4" t="s">
        <v>364</v>
      </c>
      <c r="N804" s="3">
        <v>45884</v>
      </c>
      <c r="O804" s="4" t="s">
        <v>283</v>
      </c>
      <c r="P804" s="2">
        <v>1000</v>
      </c>
      <c r="Q804" s="2">
        <v>3483</v>
      </c>
      <c r="R804" s="4" t="s">
        <v>755</v>
      </c>
      <c r="S804" s="5">
        <v>64365100</v>
      </c>
    </row>
    <row r="805" spans="1:19" x14ac:dyDescent="0.25">
      <c r="A805" s="4" t="s">
        <v>61</v>
      </c>
      <c r="B805" s="4" t="s">
        <v>59</v>
      </c>
      <c r="C805" s="4" t="s">
        <v>62</v>
      </c>
      <c r="D805" s="4" t="s">
        <v>63</v>
      </c>
      <c r="E805" s="4" t="s">
        <v>305</v>
      </c>
      <c r="F805" s="4" t="s">
        <v>306</v>
      </c>
      <c r="G805" s="4" t="s">
        <v>100</v>
      </c>
      <c r="H805" s="4" t="s">
        <v>26</v>
      </c>
      <c r="I805" s="5">
        <v>65000000</v>
      </c>
      <c r="J805" s="5">
        <v>138600</v>
      </c>
      <c r="K805" s="5">
        <v>13860</v>
      </c>
      <c r="L805" s="4" t="s">
        <v>363</v>
      </c>
      <c r="M805" s="4" t="s">
        <v>364</v>
      </c>
      <c r="N805" s="3">
        <v>45884</v>
      </c>
      <c r="O805" s="4" t="s">
        <v>283</v>
      </c>
      <c r="P805" s="2">
        <v>2000</v>
      </c>
      <c r="Q805" s="2">
        <v>3483</v>
      </c>
      <c r="R805" s="4" t="s">
        <v>755</v>
      </c>
      <c r="S805" s="5">
        <v>64365100</v>
      </c>
    </row>
    <row r="806" spans="1:19" x14ac:dyDescent="0.25">
      <c r="A806" s="4" t="s">
        <v>61</v>
      </c>
      <c r="B806" s="4" t="s">
        <v>59</v>
      </c>
      <c r="C806" s="4" t="s">
        <v>62</v>
      </c>
      <c r="D806" s="4" t="s">
        <v>63</v>
      </c>
      <c r="E806" s="4" t="s">
        <v>365</v>
      </c>
      <c r="F806" s="4" t="s">
        <v>366</v>
      </c>
      <c r="G806" s="4" t="s">
        <v>50</v>
      </c>
      <c r="H806" s="4" t="s">
        <v>26</v>
      </c>
      <c r="I806" s="5">
        <v>65000000</v>
      </c>
      <c r="J806" s="5">
        <v>75000</v>
      </c>
      <c r="K806" s="5">
        <v>7500</v>
      </c>
      <c r="L806" s="4" t="s">
        <v>352</v>
      </c>
      <c r="M806" s="4" t="s">
        <v>353</v>
      </c>
      <c r="N806" s="3">
        <v>45900</v>
      </c>
      <c r="O806" s="4" t="s">
        <v>733</v>
      </c>
      <c r="P806" s="2">
        <v>1000</v>
      </c>
      <c r="Q806" s="2">
        <v>3488</v>
      </c>
      <c r="R806" s="4" t="s">
        <v>756</v>
      </c>
      <c r="S806" s="5">
        <v>64509900</v>
      </c>
    </row>
    <row r="807" spans="1:19" x14ac:dyDescent="0.25">
      <c r="A807" s="4" t="s">
        <v>61</v>
      </c>
      <c r="B807" s="4" t="s">
        <v>59</v>
      </c>
      <c r="C807" s="4" t="s">
        <v>62</v>
      </c>
      <c r="D807" s="4" t="s">
        <v>63</v>
      </c>
      <c r="E807" s="4" t="s">
        <v>365</v>
      </c>
      <c r="F807" s="4" t="s">
        <v>366</v>
      </c>
      <c r="G807" s="4" t="s">
        <v>50</v>
      </c>
      <c r="H807" s="4" t="s">
        <v>26</v>
      </c>
      <c r="I807" s="5">
        <v>65000000</v>
      </c>
      <c r="J807" s="5">
        <v>75000</v>
      </c>
      <c r="K807" s="5">
        <v>7500</v>
      </c>
      <c r="L807" s="4" t="s">
        <v>352</v>
      </c>
      <c r="M807" s="4" t="s">
        <v>353</v>
      </c>
      <c r="N807" s="3">
        <v>45900</v>
      </c>
      <c r="O807" s="4" t="s">
        <v>733</v>
      </c>
      <c r="P807" s="2">
        <v>2000</v>
      </c>
      <c r="Q807" s="2">
        <v>3488</v>
      </c>
      <c r="R807" s="4" t="s">
        <v>756</v>
      </c>
      <c r="S807" s="5">
        <v>64509900</v>
      </c>
    </row>
    <row r="808" spans="1:19" x14ac:dyDescent="0.25">
      <c r="A808" s="4" t="s">
        <v>61</v>
      </c>
      <c r="B808" s="4" t="s">
        <v>59</v>
      </c>
      <c r="C808" s="4" t="s">
        <v>62</v>
      </c>
      <c r="D808" s="4" t="s">
        <v>63</v>
      </c>
      <c r="E808" s="4" t="s">
        <v>365</v>
      </c>
      <c r="F808" s="4" t="s">
        <v>366</v>
      </c>
      <c r="G808" s="4" t="s">
        <v>50</v>
      </c>
      <c r="H808" s="4" t="s">
        <v>26</v>
      </c>
      <c r="I808" s="5">
        <v>65000000</v>
      </c>
      <c r="J808" s="5">
        <v>84000</v>
      </c>
      <c r="K808" s="5">
        <v>8400</v>
      </c>
      <c r="L808" s="4" t="s">
        <v>352</v>
      </c>
      <c r="M808" s="4" t="s">
        <v>353</v>
      </c>
      <c r="N808" s="3">
        <v>45900</v>
      </c>
      <c r="O808" s="4" t="s">
        <v>733</v>
      </c>
      <c r="P808" s="2">
        <v>3000</v>
      </c>
      <c r="Q808" s="2">
        <v>3488</v>
      </c>
      <c r="R808" s="4" t="s">
        <v>26</v>
      </c>
      <c r="S808" s="5">
        <v>64509900</v>
      </c>
    </row>
    <row r="809" spans="1:19" x14ac:dyDescent="0.25">
      <c r="A809" s="4" t="s">
        <v>61</v>
      </c>
      <c r="B809" s="4" t="s">
        <v>59</v>
      </c>
      <c r="C809" s="4" t="s">
        <v>62</v>
      </c>
      <c r="D809" s="4" t="s">
        <v>63</v>
      </c>
      <c r="E809" s="4" t="s">
        <v>365</v>
      </c>
      <c r="F809" s="4" t="s">
        <v>366</v>
      </c>
      <c r="G809" s="4" t="s">
        <v>50</v>
      </c>
      <c r="H809" s="4" t="s">
        <v>26</v>
      </c>
      <c r="I809" s="5">
        <v>65000000</v>
      </c>
      <c r="J809" s="5">
        <v>84000</v>
      </c>
      <c r="K809" s="5">
        <v>8400</v>
      </c>
      <c r="L809" s="4" t="s">
        <v>352</v>
      </c>
      <c r="M809" s="4" t="s">
        <v>353</v>
      </c>
      <c r="N809" s="3">
        <v>45900</v>
      </c>
      <c r="O809" s="4" t="s">
        <v>733</v>
      </c>
      <c r="P809" s="2">
        <v>4000</v>
      </c>
      <c r="Q809" s="2">
        <v>3488</v>
      </c>
      <c r="R809" s="4" t="s">
        <v>604</v>
      </c>
      <c r="S809" s="5">
        <v>64509900</v>
      </c>
    </row>
    <row r="810" spans="1:19" x14ac:dyDescent="0.25">
      <c r="A810" s="4" t="s">
        <v>61</v>
      </c>
      <c r="B810" s="4" t="s">
        <v>59</v>
      </c>
      <c r="C810" s="4" t="s">
        <v>62</v>
      </c>
      <c r="D810" s="4" t="s">
        <v>63</v>
      </c>
      <c r="E810" s="4" t="s">
        <v>365</v>
      </c>
      <c r="F810" s="4" t="s">
        <v>366</v>
      </c>
      <c r="G810" s="4" t="s">
        <v>50</v>
      </c>
      <c r="H810" s="4" t="s">
        <v>26</v>
      </c>
      <c r="I810" s="5">
        <v>65000000</v>
      </c>
      <c r="J810" s="5">
        <v>72000</v>
      </c>
      <c r="K810" s="5">
        <v>7200</v>
      </c>
      <c r="L810" s="4" t="s">
        <v>352</v>
      </c>
      <c r="M810" s="4" t="s">
        <v>353</v>
      </c>
      <c r="N810" s="3">
        <v>45900</v>
      </c>
      <c r="O810" s="4" t="s">
        <v>733</v>
      </c>
      <c r="P810" s="2">
        <v>5000</v>
      </c>
      <c r="Q810" s="2">
        <v>3488</v>
      </c>
      <c r="R810" s="4" t="s">
        <v>604</v>
      </c>
      <c r="S810" s="5">
        <v>64509900</v>
      </c>
    </row>
    <row r="811" spans="1:19" x14ac:dyDescent="0.25">
      <c r="A811" s="4" t="s">
        <v>61</v>
      </c>
      <c r="B811" s="4" t="s">
        <v>59</v>
      </c>
      <c r="C811" s="4" t="s">
        <v>62</v>
      </c>
      <c r="D811" s="4" t="s">
        <v>63</v>
      </c>
      <c r="E811" s="4" t="s">
        <v>255</v>
      </c>
      <c r="F811" s="4" t="s">
        <v>256</v>
      </c>
      <c r="G811" s="4" t="s">
        <v>144</v>
      </c>
      <c r="H811" s="4" t="s">
        <v>26</v>
      </c>
      <c r="I811" s="5">
        <v>90000000</v>
      </c>
      <c r="J811" s="5">
        <v>135000</v>
      </c>
      <c r="K811" s="5">
        <v>13500</v>
      </c>
      <c r="L811" s="4" t="s">
        <v>281</v>
      </c>
      <c r="M811" s="4" t="s">
        <v>282</v>
      </c>
      <c r="N811" s="3">
        <v>45900</v>
      </c>
      <c r="O811" s="4" t="s">
        <v>733</v>
      </c>
      <c r="P811" s="2">
        <v>1000</v>
      </c>
      <c r="Q811" s="2">
        <v>3495</v>
      </c>
      <c r="R811" s="4" t="s">
        <v>604</v>
      </c>
      <c r="S811" s="5">
        <v>81505500</v>
      </c>
    </row>
    <row r="812" spans="1:19" x14ac:dyDescent="0.25">
      <c r="A812" s="4" t="s">
        <v>61</v>
      </c>
      <c r="B812" s="4" t="s">
        <v>59</v>
      </c>
      <c r="C812" s="4" t="s">
        <v>62</v>
      </c>
      <c r="D812" s="4" t="s">
        <v>63</v>
      </c>
      <c r="E812" s="4" t="s">
        <v>334</v>
      </c>
      <c r="F812" s="4" t="s">
        <v>335</v>
      </c>
      <c r="G812" s="4" t="s">
        <v>222</v>
      </c>
      <c r="H812" s="4" t="s">
        <v>26</v>
      </c>
      <c r="I812" s="5">
        <v>110000000</v>
      </c>
      <c r="J812" s="5">
        <v>126650</v>
      </c>
      <c r="K812" s="5">
        <v>12665</v>
      </c>
      <c r="L812" s="4" t="s">
        <v>336</v>
      </c>
      <c r="M812" s="4" t="s">
        <v>337</v>
      </c>
      <c r="N812" s="3">
        <v>45879</v>
      </c>
      <c r="O812" s="4" t="s">
        <v>719</v>
      </c>
      <c r="P812" s="2">
        <v>1000</v>
      </c>
      <c r="Q812" s="2">
        <v>3502</v>
      </c>
      <c r="R812" s="4" t="s">
        <v>758</v>
      </c>
      <c r="S812" s="5">
        <v>101184670</v>
      </c>
    </row>
    <row r="813" spans="1:19" x14ac:dyDescent="0.25">
      <c r="A813" s="4" t="s">
        <v>61</v>
      </c>
      <c r="B813" s="4" t="s">
        <v>59</v>
      </c>
      <c r="C813" s="4" t="s">
        <v>62</v>
      </c>
      <c r="D813" s="4" t="s">
        <v>63</v>
      </c>
      <c r="E813" s="4" t="s">
        <v>334</v>
      </c>
      <c r="F813" s="4" t="s">
        <v>335</v>
      </c>
      <c r="G813" s="4" t="s">
        <v>222</v>
      </c>
      <c r="H813" s="4" t="s">
        <v>26</v>
      </c>
      <c r="I813" s="5">
        <v>110000000</v>
      </c>
      <c r="J813" s="5">
        <v>126650</v>
      </c>
      <c r="K813" s="5">
        <v>12665</v>
      </c>
      <c r="L813" s="4" t="s">
        <v>492</v>
      </c>
      <c r="M813" s="4" t="s">
        <v>493</v>
      </c>
      <c r="N813" s="3">
        <v>45879</v>
      </c>
      <c r="O813" s="4" t="s">
        <v>719</v>
      </c>
      <c r="P813" s="2">
        <v>1000</v>
      </c>
      <c r="Q813" s="2">
        <v>3504</v>
      </c>
      <c r="R813" s="4" t="s">
        <v>758</v>
      </c>
      <c r="S813" s="5">
        <v>101184670</v>
      </c>
    </row>
    <row r="814" spans="1:19" x14ac:dyDescent="0.25">
      <c r="A814" s="4" t="s">
        <v>61</v>
      </c>
      <c r="B814" s="4" t="s">
        <v>59</v>
      </c>
      <c r="C814" s="4" t="s">
        <v>62</v>
      </c>
      <c r="D814" s="4" t="s">
        <v>63</v>
      </c>
      <c r="E814" s="4" t="s">
        <v>334</v>
      </c>
      <c r="F814" s="4" t="s">
        <v>335</v>
      </c>
      <c r="G814" s="4" t="s">
        <v>222</v>
      </c>
      <c r="H814" s="4" t="s">
        <v>26</v>
      </c>
      <c r="I814" s="5">
        <v>110000000</v>
      </c>
      <c r="J814" s="5">
        <v>126650</v>
      </c>
      <c r="K814" s="5">
        <v>12665</v>
      </c>
      <c r="L814" s="4" t="s">
        <v>492</v>
      </c>
      <c r="M814" s="4" t="s">
        <v>493</v>
      </c>
      <c r="N814" s="3">
        <v>45879</v>
      </c>
      <c r="O814" s="4" t="s">
        <v>719</v>
      </c>
      <c r="P814" s="2">
        <v>1000</v>
      </c>
      <c r="Q814" s="2">
        <v>3505</v>
      </c>
      <c r="R814" s="4" t="s">
        <v>758</v>
      </c>
      <c r="S814" s="5">
        <v>101184670</v>
      </c>
    </row>
    <row r="815" spans="1:19" x14ac:dyDescent="0.25">
      <c r="A815" s="4" t="s">
        <v>61</v>
      </c>
      <c r="B815" s="4" t="s">
        <v>59</v>
      </c>
      <c r="C815" s="4" t="s">
        <v>62</v>
      </c>
      <c r="D815" s="4" t="s">
        <v>63</v>
      </c>
      <c r="E815" s="4" t="s">
        <v>103</v>
      </c>
      <c r="F815" s="4" t="s">
        <v>104</v>
      </c>
      <c r="G815" s="4" t="s">
        <v>105</v>
      </c>
      <c r="H815" s="4" t="s">
        <v>26</v>
      </c>
      <c r="I815" s="5">
        <v>155000000</v>
      </c>
      <c r="J815" s="5">
        <v>166500</v>
      </c>
      <c r="K815" s="5">
        <v>16650</v>
      </c>
      <c r="L815" s="4" t="s">
        <v>26</v>
      </c>
      <c r="M815" s="4" t="s">
        <v>26</v>
      </c>
      <c r="N815" s="3">
        <v>45883</v>
      </c>
      <c r="O815" s="4" t="s">
        <v>432</v>
      </c>
      <c r="P815" s="2">
        <v>1000</v>
      </c>
      <c r="Q815" s="2">
        <v>3509</v>
      </c>
      <c r="R815" s="4" t="s">
        <v>755</v>
      </c>
      <c r="S815" s="5">
        <v>150234500</v>
      </c>
    </row>
    <row r="816" spans="1:19" x14ac:dyDescent="0.25">
      <c r="A816" s="4" t="s">
        <v>61</v>
      </c>
      <c r="B816" s="4" t="s">
        <v>59</v>
      </c>
      <c r="C816" s="4" t="s">
        <v>62</v>
      </c>
      <c r="D816" s="4" t="s">
        <v>63</v>
      </c>
      <c r="E816" s="4" t="s">
        <v>394</v>
      </c>
      <c r="F816" s="4" t="s">
        <v>395</v>
      </c>
      <c r="G816" s="4" t="s">
        <v>50</v>
      </c>
      <c r="H816" s="4" t="s">
        <v>26</v>
      </c>
      <c r="I816" s="5">
        <v>65000000</v>
      </c>
      <c r="J816" s="5">
        <v>410000</v>
      </c>
      <c r="K816" s="5">
        <v>41000</v>
      </c>
      <c r="L816" s="4" t="s">
        <v>396</v>
      </c>
      <c r="M816" s="4" t="s">
        <v>397</v>
      </c>
      <c r="N816" s="3">
        <v>45894</v>
      </c>
      <c r="O816" s="4" t="s">
        <v>732</v>
      </c>
      <c r="P816" s="2">
        <v>1000</v>
      </c>
      <c r="Q816" s="2">
        <v>3509</v>
      </c>
      <c r="R816" s="4" t="s">
        <v>758</v>
      </c>
      <c r="S816" s="5">
        <v>54375310</v>
      </c>
    </row>
    <row r="817" spans="1:19" x14ac:dyDescent="0.25">
      <c r="A817" s="4" t="s">
        <v>61</v>
      </c>
      <c r="B817" s="4" t="s">
        <v>59</v>
      </c>
      <c r="C817" s="4" t="s">
        <v>62</v>
      </c>
      <c r="D817" s="4" t="s">
        <v>63</v>
      </c>
      <c r="E817" s="4" t="s">
        <v>103</v>
      </c>
      <c r="F817" s="4" t="s">
        <v>104</v>
      </c>
      <c r="G817" s="4" t="s">
        <v>105</v>
      </c>
      <c r="H817" s="4" t="s">
        <v>26</v>
      </c>
      <c r="I817" s="5">
        <v>155000000</v>
      </c>
      <c r="J817" s="5">
        <v>2700</v>
      </c>
      <c r="K817" s="5">
        <v>270</v>
      </c>
      <c r="L817" s="4" t="s">
        <v>26</v>
      </c>
      <c r="M817" s="4" t="s">
        <v>26</v>
      </c>
      <c r="N817" s="3">
        <v>45883</v>
      </c>
      <c r="O817" s="4" t="s">
        <v>432</v>
      </c>
      <c r="P817" s="2">
        <v>2000</v>
      </c>
      <c r="Q817" s="2">
        <v>3509</v>
      </c>
      <c r="R817" s="4" t="s">
        <v>755</v>
      </c>
      <c r="S817" s="5">
        <v>150234500</v>
      </c>
    </row>
    <row r="818" spans="1:19" x14ac:dyDescent="0.25">
      <c r="A818" s="4" t="s">
        <v>61</v>
      </c>
      <c r="B818" s="4" t="s">
        <v>59</v>
      </c>
      <c r="C818" s="4" t="s">
        <v>62</v>
      </c>
      <c r="D818" s="4" t="s">
        <v>63</v>
      </c>
      <c r="E818" s="4" t="s">
        <v>394</v>
      </c>
      <c r="F818" s="4" t="s">
        <v>395</v>
      </c>
      <c r="G818" s="4" t="s">
        <v>50</v>
      </c>
      <c r="H818" s="4" t="s">
        <v>26</v>
      </c>
      <c r="I818" s="5">
        <v>65000000</v>
      </c>
      <c r="J818" s="5">
        <v>351000</v>
      </c>
      <c r="K818" s="5">
        <v>35100</v>
      </c>
      <c r="L818" s="4" t="s">
        <v>396</v>
      </c>
      <c r="M818" s="4" t="s">
        <v>397</v>
      </c>
      <c r="N818" s="3">
        <v>45894</v>
      </c>
      <c r="O818" s="4" t="s">
        <v>732</v>
      </c>
      <c r="P818" s="2">
        <v>2000</v>
      </c>
      <c r="Q818" s="2">
        <v>3509</v>
      </c>
      <c r="R818" s="4" t="s">
        <v>758</v>
      </c>
      <c r="S818" s="5">
        <v>54375310</v>
      </c>
    </row>
    <row r="819" spans="1:19" x14ac:dyDescent="0.25">
      <c r="A819" s="4" t="s">
        <v>61</v>
      </c>
      <c r="B819" s="4" t="s">
        <v>59</v>
      </c>
      <c r="C819" s="4" t="s">
        <v>62</v>
      </c>
      <c r="D819" s="4" t="s">
        <v>63</v>
      </c>
      <c r="E819" s="4" t="s">
        <v>394</v>
      </c>
      <c r="F819" s="4" t="s">
        <v>395</v>
      </c>
      <c r="G819" s="4" t="s">
        <v>50</v>
      </c>
      <c r="H819" s="4" t="s">
        <v>26</v>
      </c>
      <c r="I819" s="5">
        <v>65000000</v>
      </c>
      <c r="J819" s="5">
        <v>43290</v>
      </c>
      <c r="K819" s="5">
        <v>4329</v>
      </c>
      <c r="L819" s="4" t="s">
        <v>396</v>
      </c>
      <c r="M819" s="4" t="s">
        <v>397</v>
      </c>
      <c r="N819" s="3">
        <v>45894</v>
      </c>
      <c r="O819" s="4" t="s">
        <v>732</v>
      </c>
      <c r="P819" s="2">
        <v>3000</v>
      </c>
      <c r="Q819" s="2">
        <v>3509</v>
      </c>
      <c r="R819" s="4" t="s">
        <v>26</v>
      </c>
      <c r="S819" s="5">
        <v>54375310</v>
      </c>
    </row>
    <row r="820" spans="1:19" x14ac:dyDescent="0.25">
      <c r="A820" s="4" t="s">
        <v>61</v>
      </c>
      <c r="B820" s="4" t="s">
        <v>59</v>
      </c>
      <c r="C820" s="4" t="s">
        <v>62</v>
      </c>
      <c r="D820" s="4" t="s">
        <v>63</v>
      </c>
      <c r="E820" s="4" t="s">
        <v>394</v>
      </c>
      <c r="F820" s="4" t="s">
        <v>395</v>
      </c>
      <c r="G820" s="4" t="s">
        <v>50</v>
      </c>
      <c r="H820" s="4" t="s">
        <v>26</v>
      </c>
      <c r="I820" s="5">
        <v>65000000</v>
      </c>
      <c r="J820" s="5">
        <v>203230</v>
      </c>
      <c r="K820" s="5">
        <v>20323</v>
      </c>
      <c r="L820" s="4" t="s">
        <v>396</v>
      </c>
      <c r="M820" s="4" t="s">
        <v>397</v>
      </c>
      <c r="N820" s="3">
        <v>45894</v>
      </c>
      <c r="O820" s="4" t="s">
        <v>732</v>
      </c>
      <c r="P820" s="2">
        <v>4000</v>
      </c>
      <c r="Q820" s="2">
        <v>3509</v>
      </c>
      <c r="R820" s="4" t="s">
        <v>758</v>
      </c>
      <c r="S820" s="5">
        <v>54375310</v>
      </c>
    </row>
    <row r="821" spans="1:19" x14ac:dyDescent="0.25">
      <c r="A821" s="4" t="s">
        <v>61</v>
      </c>
      <c r="B821" s="4" t="s">
        <v>59</v>
      </c>
      <c r="C821" s="4" t="s">
        <v>62</v>
      </c>
      <c r="D821" s="4" t="s">
        <v>63</v>
      </c>
      <c r="E821" s="4" t="s">
        <v>394</v>
      </c>
      <c r="F821" s="4" t="s">
        <v>395</v>
      </c>
      <c r="G821" s="4" t="s">
        <v>50</v>
      </c>
      <c r="H821" s="4" t="s">
        <v>26</v>
      </c>
      <c r="I821" s="5">
        <v>65000000</v>
      </c>
      <c r="J821" s="5">
        <v>275000</v>
      </c>
      <c r="K821" s="5">
        <v>27500</v>
      </c>
      <c r="L821" s="4" t="s">
        <v>396</v>
      </c>
      <c r="M821" s="4" t="s">
        <v>397</v>
      </c>
      <c r="N821" s="3">
        <v>45894</v>
      </c>
      <c r="O821" s="4" t="s">
        <v>732</v>
      </c>
      <c r="P821" s="2">
        <v>5000</v>
      </c>
      <c r="Q821" s="2">
        <v>3509</v>
      </c>
      <c r="R821" s="4" t="s">
        <v>758</v>
      </c>
      <c r="S821" s="5">
        <v>54375310</v>
      </c>
    </row>
    <row r="822" spans="1:19" x14ac:dyDescent="0.25">
      <c r="A822" s="4" t="s">
        <v>61</v>
      </c>
      <c r="B822" s="4" t="s">
        <v>59</v>
      </c>
      <c r="C822" s="4" t="s">
        <v>62</v>
      </c>
      <c r="D822" s="4" t="s">
        <v>63</v>
      </c>
      <c r="E822" s="4" t="s">
        <v>394</v>
      </c>
      <c r="F822" s="4" t="s">
        <v>395</v>
      </c>
      <c r="G822" s="4" t="s">
        <v>50</v>
      </c>
      <c r="H822" s="4" t="s">
        <v>26</v>
      </c>
      <c r="I822" s="5">
        <v>65000000</v>
      </c>
      <c r="J822" s="5">
        <v>6127000</v>
      </c>
      <c r="K822" s="5">
        <v>612700</v>
      </c>
      <c r="L822" s="4" t="s">
        <v>396</v>
      </c>
      <c r="M822" s="4" t="s">
        <v>397</v>
      </c>
      <c r="N822" s="3">
        <v>45894</v>
      </c>
      <c r="O822" s="4" t="s">
        <v>732</v>
      </c>
      <c r="P822" s="2">
        <v>6000</v>
      </c>
      <c r="Q822" s="2">
        <v>3509</v>
      </c>
      <c r="R822" s="4" t="s">
        <v>758</v>
      </c>
      <c r="S822" s="5">
        <v>54375310</v>
      </c>
    </row>
    <row r="823" spans="1:19" x14ac:dyDescent="0.25">
      <c r="A823" s="4" t="s">
        <v>61</v>
      </c>
      <c r="B823" s="4" t="s">
        <v>59</v>
      </c>
      <c r="C823" s="4" t="s">
        <v>62</v>
      </c>
      <c r="D823" s="4" t="s">
        <v>63</v>
      </c>
      <c r="E823" s="4" t="s">
        <v>365</v>
      </c>
      <c r="F823" s="4" t="s">
        <v>366</v>
      </c>
      <c r="G823" s="4" t="s">
        <v>50</v>
      </c>
      <c r="H823" s="4" t="s">
        <v>26</v>
      </c>
      <c r="I823" s="5">
        <v>65000000</v>
      </c>
      <c r="J823" s="5">
        <v>38500</v>
      </c>
      <c r="K823" s="5">
        <v>3850</v>
      </c>
      <c r="L823" s="4" t="s">
        <v>26</v>
      </c>
      <c r="M823" s="4" t="s">
        <v>26</v>
      </c>
      <c r="N823" s="3">
        <v>45884</v>
      </c>
      <c r="O823" s="4" t="s">
        <v>283</v>
      </c>
      <c r="P823" s="2">
        <v>1000</v>
      </c>
      <c r="Q823" s="2">
        <v>3524</v>
      </c>
      <c r="R823" s="4" t="s">
        <v>755</v>
      </c>
      <c r="S823" s="5">
        <v>64509900</v>
      </c>
    </row>
    <row r="824" spans="1:19" x14ac:dyDescent="0.25">
      <c r="A824" s="4" t="s">
        <v>61</v>
      </c>
      <c r="B824" s="4" t="s">
        <v>59</v>
      </c>
      <c r="C824" s="4" t="s">
        <v>62</v>
      </c>
      <c r="D824" s="4" t="s">
        <v>63</v>
      </c>
      <c r="E824" s="4" t="s">
        <v>365</v>
      </c>
      <c r="F824" s="4" t="s">
        <v>366</v>
      </c>
      <c r="G824" s="4" t="s">
        <v>50</v>
      </c>
      <c r="H824" s="4" t="s">
        <v>26</v>
      </c>
      <c r="I824" s="5">
        <v>65000000</v>
      </c>
      <c r="J824" s="5">
        <v>15400</v>
      </c>
      <c r="K824" s="5">
        <v>1540</v>
      </c>
      <c r="L824" s="4" t="s">
        <v>26</v>
      </c>
      <c r="M824" s="4" t="s">
        <v>26</v>
      </c>
      <c r="N824" s="3">
        <v>45884</v>
      </c>
      <c r="O824" s="4" t="s">
        <v>283</v>
      </c>
      <c r="P824" s="2">
        <v>2000</v>
      </c>
      <c r="Q824" s="2">
        <v>3524</v>
      </c>
      <c r="R824" s="4" t="s">
        <v>755</v>
      </c>
      <c r="S824" s="5">
        <v>64509900</v>
      </c>
    </row>
    <row r="825" spans="1:19" x14ac:dyDescent="0.25">
      <c r="A825" s="4" t="s">
        <v>61</v>
      </c>
      <c r="B825" s="4" t="s">
        <v>59</v>
      </c>
      <c r="C825" s="4" t="s">
        <v>62</v>
      </c>
      <c r="D825" s="4" t="s">
        <v>63</v>
      </c>
      <c r="E825" s="4" t="s">
        <v>338</v>
      </c>
      <c r="F825" s="4" t="s">
        <v>339</v>
      </c>
      <c r="G825" s="4" t="s">
        <v>100</v>
      </c>
      <c r="H825" s="4" t="s">
        <v>26</v>
      </c>
      <c r="I825" s="5">
        <v>65000000</v>
      </c>
      <c r="J825" s="5">
        <v>70400</v>
      </c>
      <c r="K825" s="5">
        <v>7040</v>
      </c>
      <c r="L825" s="4" t="s">
        <v>26</v>
      </c>
      <c r="M825" s="4" t="s">
        <v>26</v>
      </c>
      <c r="N825" s="3">
        <v>45883</v>
      </c>
      <c r="O825" s="4" t="s">
        <v>432</v>
      </c>
      <c r="P825" s="2">
        <v>1000</v>
      </c>
      <c r="Q825" s="2">
        <v>3532</v>
      </c>
      <c r="R825" s="4" t="s">
        <v>755</v>
      </c>
      <c r="S825" s="5">
        <v>61189450</v>
      </c>
    </row>
    <row r="826" spans="1:19" x14ac:dyDescent="0.25">
      <c r="A826" s="4" t="s">
        <v>61</v>
      </c>
      <c r="B826" s="4" t="s">
        <v>59</v>
      </c>
      <c r="C826" s="4" t="s">
        <v>62</v>
      </c>
      <c r="D826" s="4" t="s">
        <v>63</v>
      </c>
      <c r="E826" s="4" t="s">
        <v>338</v>
      </c>
      <c r="F826" s="4" t="s">
        <v>339</v>
      </c>
      <c r="G826" s="4" t="s">
        <v>100</v>
      </c>
      <c r="H826" s="4" t="s">
        <v>26</v>
      </c>
      <c r="I826" s="5">
        <v>65000000</v>
      </c>
      <c r="J826" s="5">
        <v>30000</v>
      </c>
      <c r="K826" s="5">
        <v>3000</v>
      </c>
      <c r="L826" s="4" t="s">
        <v>26</v>
      </c>
      <c r="M826" s="4" t="s">
        <v>26</v>
      </c>
      <c r="N826" s="3">
        <v>45883</v>
      </c>
      <c r="O826" s="4" t="s">
        <v>432</v>
      </c>
      <c r="P826" s="2">
        <v>2000</v>
      </c>
      <c r="Q826" s="2">
        <v>3532</v>
      </c>
      <c r="R826" s="4" t="s">
        <v>84</v>
      </c>
      <c r="S826" s="5">
        <v>61189450</v>
      </c>
    </row>
    <row r="827" spans="1:19" x14ac:dyDescent="0.25">
      <c r="A827" s="4" t="s">
        <v>61</v>
      </c>
      <c r="B827" s="4" t="s">
        <v>59</v>
      </c>
      <c r="C827" s="4" t="s">
        <v>62</v>
      </c>
      <c r="D827" s="4" t="s">
        <v>63</v>
      </c>
      <c r="E827" s="4" t="s">
        <v>464</v>
      </c>
      <c r="F827" s="4" t="s">
        <v>465</v>
      </c>
      <c r="G827" s="4" t="s">
        <v>190</v>
      </c>
      <c r="H827" s="4" t="s">
        <v>26</v>
      </c>
      <c r="I827" s="5">
        <v>90000000</v>
      </c>
      <c r="J827" s="5">
        <v>235000</v>
      </c>
      <c r="K827" s="5">
        <v>23500</v>
      </c>
      <c r="L827" s="4" t="s">
        <v>707</v>
      </c>
      <c r="M827" s="4" t="s">
        <v>708</v>
      </c>
      <c r="N827" s="3">
        <v>45897</v>
      </c>
      <c r="O827" s="4" t="s">
        <v>698</v>
      </c>
      <c r="P827" s="2">
        <v>1000</v>
      </c>
      <c r="Q827" s="2">
        <v>3538</v>
      </c>
      <c r="R827" s="4" t="s">
        <v>758</v>
      </c>
      <c r="S827" s="5">
        <v>81637020</v>
      </c>
    </row>
    <row r="828" spans="1:19" x14ac:dyDescent="0.25">
      <c r="A828" s="4" t="s">
        <v>61</v>
      </c>
      <c r="B828" s="4" t="s">
        <v>59</v>
      </c>
      <c r="C828" s="4" t="s">
        <v>62</v>
      </c>
      <c r="D828" s="4" t="s">
        <v>63</v>
      </c>
      <c r="E828" s="4" t="s">
        <v>464</v>
      </c>
      <c r="F828" s="4" t="s">
        <v>465</v>
      </c>
      <c r="G828" s="4" t="s">
        <v>190</v>
      </c>
      <c r="H828" s="4" t="s">
        <v>26</v>
      </c>
      <c r="I828" s="5">
        <v>90000000</v>
      </c>
      <c r="J828" s="5">
        <v>175200</v>
      </c>
      <c r="K828" s="5">
        <v>17520</v>
      </c>
      <c r="L828" s="4" t="s">
        <v>707</v>
      </c>
      <c r="M828" s="4" t="s">
        <v>708</v>
      </c>
      <c r="N828" s="3">
        <v>45897</v>
      </c>
      <c r="O828" s="4" t="s">
        <v>698</v>
      </c>
      <c r="P828" s="2">
        <v>2000</v>
      </c>
      <c r="Q828" s="2">
        <v>3538</v>
      </c>
      <c r="R828" s="4" t="s">
        <v>758</v>
      </c>
      <c r="S828" s="5">
        <v>81637020</v>
      </c>
    </row>
    <row r="829" spans="1:19" x14ac:dyDescent="0.25">
      <c r="A829" s="4" t="s">
        <v>61</v>
      </c>
      <c r="B829" s="4" t="s">
        <v>59</v>
      </c>
      <c r="C829" s="4" t="s">
        <v>62</v>
      </c>
      <c r="D829" s="4" t="s">
        <v>63</v>
      </c>
      <c r="E829" s="4" t="s">
        <v>464</v>
      </c>
      <c r="F829" s="4" t="s">
        <v>465</v>
      </c>
      <c r="G829" s="4" t="s">
        <v>190</v>
      </c>
      <c r="H829" s="4" t="s">
        <v>26</v>
      </c>
      <c r="I829" s="5">
        <v>90000000</v>
      </c>
      <c r="J829" s="5">
        <v>156000</v>
      </c>
      <c r="K829" s="5">
        <v>15600</v>
      </c>
      <c r="L829" s="4" t="s">
        <v>707</v>
      </c>
      <c r="M829" s="4" t="s">
        <v>708</v>
      </c>
      <c r="N829" s="3">
        <v>45897</v>
      </c>
      <c r="O829" s="4" t="s">
        <v>698</v>
      </c>
      <c r="P829" s="2">
        <v>3000</v>
      </c>
      <c r="Q829" s="2">
        <v>3538</v>
      </c>
      <c r="R829" s="4" t="s">
        <v>758</v>
      </c>
      <c r="S829" s="5">
        <v>81637020</v>
      </c>
    </row>
    <row r="830" spans="1:19" x14ac:dyDescent="0.25">
      <c r="A830" s="4" t="s">
        <v>61</v>
      </c>
      <c r="B830" s="4" t="s">
        <v>59</v>
      </c>
      <c r="C830" s="4" t="s">
        <v>62</v>
      </c>
      <c r="D830" s="4" t="s">
        <v>63</v>
      </c>
      <c r="E830" s="4" t="s">
        <v>135</v>
      </c>
      <c r="F830" s="4" t="s">
        <v>136</v>
      </c>
      <c r="G830" s="4" t="s">
        <v>50</v>
      </c>
      <c r="H830" s="4" t="s">
        <v>26</v>
      </c>
      <c r="I830" s="5">
        <v>65000000</v>
      </c>
      <c r="J830" s="5">
        <v>79200</v>
      </c>
      <c r="K830" s="5">
        <v>7920</v>
      </c>
      <c r="L830" s="4" t="s">
        <v>137</v>
      </c>
      <c r="M830" s="4" t="s">
        <v>138</v>
      </c>
      <c r="N830" s="3">
        <v>45884</v>
      </c>
      <c r="O830" s="4" t="s">
        <v>283</v>
      </c>
      <c r="P830" s="2">
        <v>1000</v>
      </c>
      <c r="Q830" s="2">
        <v>3555</v>
      </c>
      <c r="R830" s="4" t="s">
        <v>755</v>
      </c>
      <c r="S830" s="5">
        <v>64643700</v>
      </c>
    </row>
    <row r="831" spans="1:19" x14ac:dyDescent="0.25">
      <c r="A831" s="4" t="s">
        <v>61</v>
      </c>
      <c r="B831" s="4" t="s">
        <v>59</v>
      </c>
      <c r="C831" s="4" t="s">
        <v>62</v>
      </c>
      <c r="D831" s="4" t="s">
        <v>63</v>
      </c>
      <c r="E831" s="4" t="s">
        <v>620</v>
      </c>
      <c r="F831" s="4" t="s">
        <v>621</v>
      </c>
      <c r="G831" s="4" t="s">
        <v>115</v>
      </c>
      <c r="H831" s="4" t="s">
        <v>26</v>
      </c>
      <c r="I831" s="5">
        <v>65000000</v>
      </c>
      <c r="J831" s="5">
        <v>72000</v>
      </c>
      <c r="K831" s="5">
        <v>7200</v>
      </c>
      <c r="L831" s="4" t="s">
        <v>320</v>
      </c>
      <c r="M831" s="4" t="s">
        <v>321</v>
      </c>
      <c r="N831" s="3">
        <v>45899</v>
      </c>
      <c r="O831" s="4" t="s">
        <v>605</v>
      </c>
      <c r="P831" s="2">
        <v>1000</v>
      </c>
      <c r="Q831" s="2">
        <v>3580</v>
      </c>
      <c r="R831" s="4" t="s">
        <v>756</v>
      </c>
      <c r="S831" s="5">
        <v>64856000</v>
      </c>
    </row>
    <row r="832" spans="1:19" x14ac:dyDescent="0.25">
      <c r="A832" s="4" t="s">
        <v>61</v>
      </c>
      <c r="B832" s="4" t="s">
        <v>59</v>
      </c>
      <c r="C832" s="4" t="s">
        <v>62</v>
      </c>
      <c r="D832" s="4" t="s">
        <v>63</v>
      </c>
      <c r="E832" s="4" t="s">
        <v>620</v>
      </c>
      <c r="F832" s="4" t="s">
        <v>621</v>
      </c>
      <c r="G832" s="4" t="s">
        <v>115</v>
      </c>
      <c r="H832" s="4" t="s">
        <v>26</v>
      </c>
      <c r="I832" s="5">
        <v>65000000</v>
      </c>
      <c r="J832" s="5">
        <v>72000</v>
      </c>
      <c r="K832" s="5">
        <v>7200</v>
      </c>
      <c r="L832" s="4" t="s">
        <v>320</v>
      </c>
      <c r="M832" s="4" t="s">
        <v>321</v>
      </c>
      <c r="N832" s="3">
        <v>45899</v>
      </c>
      <c r="O832" s="4" t="s">
        <v>605</v>
      </c>
      <c r="P832" s="2">
        <v>2000</v>
      </c>
      <c r="Q832" s="2">
        <v>3580</v>
      </c>
      <c r="R832" s="4" t="s">
        <v>756</v>
      </c>
      <c r="S832" s="5">
        <v>64856000</v>
      </c>
    </row>
    <row r="833" spans="1:19" x14ac:dyDescent="0.25">
      <c r="A833" s="4" t="s">
        <v>61</v>
      </c>
      <c r="B833" s="4" t="s">
        <v>59</v>
      </c>
      <c r="C833" s="4" t="s">
        <v>62</v>
      </c>
      <c r="D833" s="4" t="s">
        <v>63</v>
      </c>
      <c r="E833" s="4" t="s">
        <v>197</v>
      </c>
      <c r="F833" s="4" t="s">
        <v>198</v>
      </c>
      <c r="G833" s="4" t="s">
        <v>199</v>
      </c>
      <c r="H833" s="4" t="s">
        <v>26</v>
      </c>
      <c r="I833" s="5">
        <v>65000000</v>
      </c>
      <c r="J833" s="5">
        <v>100000</v>
      </c>
      <c r="K833" s="5">
        <v>10000</v>
      </c>
      <c r="L833" s="4" t="s">
        <v>200</v>
      </c>
      <c r="M833" s="4" t="s">
        <v>201</v>
      </c>
      <c r="N833" s="3">
        <v>45877</v>
      </c>
      <c r="O833" s="4" t="s">
        <v>154</v>
      </c>
      <c r="P833" s="2">
        <v>1000</v>
      </c>
      <c r="Q833" s="2">
        <v>3586</v>
      </c>
      <c r="R833" s="4" t="s">
        <v>84</v>
      </c>
      <c r="S833" s="5">
        <v>64626000</v>
      </c>
    </row>
    <row r="834" spans="1:19" x14ac:dyDescent="0.25">
      <c r="A834" s="4" t="s">
        <v>61</v>
      </c>
      <c r="B834" s="4" t="s">
        <v>59</v>
      </c>
      <c r="C834" s="4" t="s">
        <v>62</v>
      </c>
      <c r="D834" s="4" t="s">
        <v>63</v>
      </c>
      <c r="E834" s="4" t="s">
        <v>216</v>
      </c>
      <c r="F834" s="4" t="s">
        <v>217</v>
      </c>
      <c r="G834" s="4" t="s">
        <v>97</v>
      </c>
      <c r="H834" s="4" t="s">
        <v>26</v>
      </c>
      <c r="I834" s="5">
        <v>155000000</v>
      </c>
      <c r="J834" s="5">
        <v>600000</v>
      </c>
      <c r="K834" s="5">
        <v>60000</v>
      </c>
      <c r="L834" s="4" t="s">
        <v>26</v>
      </c>
      <c r="M834" s="4" t="s">
        <v>26</v>
      </c>
      <c r="N834" s="3">
        <v>45879</v>
      </c>
      <c r="O834" s="4" t="s">
        <v>716</v>
      </c>
      <c r="P834" s="2">
        <v>1000</v>
      </c>
      <c r="Q834" s="2">
        <v>3604</v>
      </c>
      <c r="R834" s="4" t="s">
        <v>775</v>
      </c>
      <c r="S834" s="5">
        <v>152389300</v>
      </c>
    </row>
    <row r="835" spans="1:19" x14ac:dyDescent="0.25">
      <c r="A835" s="4" t="s">
        <v>61</v>
      </c>
      <c r="B835" s="4" t="s">
        <v>59</v>
      </c>
      <c r="C835" s="4" t="s">
        <v>62</v>
      </c>
      <c r="D835" s="4" t="s">
        <v>63</v>
      </c>
      <c r="E835" s="4" t="s">
        <v>334</v>
      </c>
      <c r="F835" s="4" t="s">
        <v>335</v>
      </c>
      <c r="G835" s="4" t="s">
        <v>222</v>
      </c>
      <c r="H835" s="4" t="s">
        <v>26</v>
      </c>
      <c r="I835" s="5">
        <v>110000000</v>
      </c>
      <c r="J835" s="5">
        <v>-126650</v>
      </c>
      <c r="K835" s="5">
        <v>-12665</v>
      </c>
      <c r="L835" s="4" t="s">
        <v>336</v>
      </c>
      <c r="M835" s="4" t="s">
        <v>337</v>
      </c>
      <c r="N835" s="3">
        <v>45879</v>
      </c>
      <c r="O835" s="4" t="s">
        <v>719</v>
      </c>
      <c r="P835" s="2">
        <v>1000</v>
      </c>
      <c r="Q835" s="2">
        <v>3631</v>
      </c>
      <c r="R835" s="4" t="s">
        <v>758</v>
      </c>
      <c r="S835" s="5">
        <v>101184670</v>
      </c>
    </row>
    <row r="836" spans="1:19" x14ac:dyDescent="0.25">
      <c r="A836" s="4" t="s">
        <v>61</v>
      </c>
      <c r="B836" s="4" t="s">
        <v>59</v>
      </c>
      <c r="C836" s="4" t="s">
        <v>62</v>
      </c>
      <c r="D836" s="4" t="s">
        <v>63</v>
      </c>
      <c r="E836" s="4" t="s">
        <v>139</v>
      </c>
      <c r="F836" s="4" t="s">
        <v>140</v>
      </c>
      <c r="G836" s="4" t="s">
        <v>141</v>
      </c>
      <c r="H836" s="4" t="s">
        <v>26</v>
      </c>
      <c r="I836" s="5">
        <v>65000000</v>
      </c>
      <c r="J836" s="5">
        <v>54000</v>
      </c>
      <c r="K836" s="5">
        <v>5400</v>
      </c>
      <c r="L836" s="4" t="s">
        <v>182</v>
      </c>
      <c r="M836" s="4" t="s">
        <v>183</v>
      </c>
      <c r="N836" s="3">
        <v>45879</v>
      </c>
      <c r="O836" s="4" t="s">
        <v>459</v>
      </c>
      <c r="P836" s="2">
        <v>1000</v>
      </c>
      <c r="Q836" s="2">
        <v>3639</v>
      </c>
      <c r="R836" s="4" t="s">
        <v>747</v>
      </c>
      <c r="S836" s="5">
        <v>64247200</v>
      </c>
    </row>
    <row r="837" spans="1:19" x14ac:dyDescent="0.25">
      <c r="A837" s="4" t="s">
        <v>61</v>
      </c>
      <c r="B837" s="4" t="s">
        <v>59</v>
      </c>
      <c r="C837" s="4" t="s">
        <v>62</v>
      </c>
      <c r="D837" s="4" t="s">
        <v>63</v>
      </c>
      <c r="E837" s="4" t="s">
        <v>188</v>
      </c>
      <c r="F837" s="4" t="s">
        <v>189</v>
      </c>
      <c r="G837" s="4" t="s">
        <v>190</v>
      </c>
      <c r="H837" s="4" t="s">
        <v>26</v>
      </c>
      <c r="I837" s="5">
        <v>90000000</v>
      </c>
      <c r="J837" s="5">
        <v>38500</v>
      </c>
      <c r="K837" s="5">
        <v>3850</v>
      </c>
      <c r="L837" s="4" t="s">
        <v>191</v>
      </c>
      <c r="M837" s="4" t="s">
        <v>192</v>
      </c>
      <c r="N837" s="3">
        <v>45885</v>
      </c>
      <c r="O837" s="4" t="s">
        <v>283</v>
      </c>
      <c r="P837" s="2">
        <v>1000</v>
      </c>
      <c r="Q837" s="2">
        <v>3649</v>
      </c>
      <c r="R837" s="4" t="s">
        <v>755</v>
      </c>
      <c r="S837" s="5">
        <v>87040690</v>
      </c>
    </row>
    <row r="838" spans="1:19" x14ac:dyDescent="0.25">
      <c r="A838" s="4" t="s">
        <v>61</v>
      </c>
      <c r="B838" s="4" t="s">
        <v>59</v>
      </c>
      <c r="C838" s="4" t="s">
        <v>62</v>
      </c>
      <c r="D838" s="4" t="s">
        <v>63</v>
      </c>
      <c r="E838" s="4" t="s">
        <v>188</v>
      </c>
      <c r="F838" s="4" t="s">
        <v>189</v>
      </c>
      <c r="G838" s="4" t="s">
        <v>190</v>
      </c>
      <c r="H838" s="4" t="s">
        <v>26</v>
      </c>
      <c r="I838" s="5">
        <v>90000000</v>
      </c>
      <c r="J838" s="5">
        <v>46200</v>
      </c>
      <c r="K838" s="5">
        <v>4620</v>
      </c>
      <c r="L838" s="4" t="s">
        <v>191</v>
      </c>
      <c r="M838" s="4" t="s">
        <v>192</v>
      </c>
      <c r="N838" s="3">
        <v>45885</v>
      </c>
      <c r="O838" s="4" t="s">
        <v>283</v>
      </c>
      <c r="P838" s="2">
        <v>2000</v>
      </c>
      <c r="Q838" s="2">
        <v>3649</v>
      </c>
      <c r="R838" s="4" t="s">
        <v>755</v>
      </c>
      <c r="S838" s="5">
        <v>87040690</v>
      </c>
    </row>
    <row r="839" spans="1:19" x14ac:dyDescent="0.25">
      <c r="A839" s="4" t="s">
        <v>61</v>
      </c>
      <c r="B839" s="4" t="s">
        <v>59</v>
      </c>
      <c r="C839" s="4" t="s">
        <v>62</v>
      </c>
      <c r="D839" s="4" t="s">
        <v>63</v>
      </c>
      <c r="E839" s="4" t="s">
        <v>229</v>
      </c>
      <c r="F839" s="4" t="s">
        <v>230</v>
      </c>
      <c r="G839" s="4" t="s">
        <v>231</v>
      </c>
      <c r="H839" s="4" t="s">
        <v>26</v>
      </c>
      <c r="I839" s="5">
        <v>110000000</v>
      </c>
      <c r="J839" s="5">
        <v>275000</v>
      </c>
      <c r="K839" s="5">
        <v>27500</v>
      </c>
      <c r="L839" s="4" t="s">
        <v>26</v>
      </c>
      <c r="M839" s="4" t="s">
        <v>26</v>
      </c>
      <c r="N839" s="3">
        <v>45897</v>
      </c>
      <c r="O839" s="4" t="s">
        <v>732</v>
      </c>
      <c r="P839" s="2">
        <v>1000</v>
      </c>
      <c r="Q839" s="2">
        <v>3651</v>
      </c>
      <c r="R839" s="4" t="s">
        <v>769</v>
      </c>
      <c r="S839" s="5">
        <v>108567750</v>
      </c>
    </row>
    <row r="840" spans="1:19" x14ac:dyDescent="0.25">
      <c r="A840" s="4" t="s">
        <v>61</v>
      </c>
      <c r="B840" s="4" t="s">
        <v>59</v>
      </c>
      <c r="C840" s="4" t="s">
        <v>62</v>
      </c>
      <c r="D840" s="4" t="s">
        <v>63</v>
      </c>
      <c r="E840" s="4" t="s">
        <v>197</v>
      </c>
      <c r="F840" s="4" t="s">
        <v>198</v>
      </c>
      <c r="G840" s="4" t="s">
        <v>199</v>
      </c>
      <c r="H840" s="4" t="s">
        <v>26</v>
      </c>
      <c r="I840" s="5">
        <v>65000000</v>
      </c>
      <c r="J840" s="5">
        <v>30000</v>
      </c>
      <c r="K840" s="5">
        <v>3000</v>
      </c>
      <c r="L840" s="4" t="s">
        <v>26</v>
      </c>
      <c r="M840" s="4" t="s">
        <v>26</v>
      </c>
      <c r="N840" s="3">
        <v>45885</v>
      </c>
      <c r="O840" s="4" t="s">
        <v>283</v>
      </c>
      <c r="P840" s="2">
        <v>1000</v>
      </c>
      <c r="Q840" s="2">
        <v>3661</v>
      </c>
      <c r="R840" s="4" t="s">
        <v>84</v>
      </c>
      <c r="S840" s="5">
        <v>64626000</v>
      </c>
    </row>
    <row r="841" spans="1:19" x14ac:dyDescent="0.25">
      <c r="A841" s="4" t="s">
        <v>61</v>
      </c>
      <c r="B841" s="4" t="s">
        <v>59</v>
      </c>
      <c r="C841" s="4" t="s">
        <v>62</v>
      </c>
      <c r="D841" s="4" t="s">
        <v>63</v>
      </c>
      <c r="E841" s="4" t="s">
        <v>197</v>
      </c>
      <c r="F841" s="4" t="s">
        <v>198</v>
      </c>
      <c r="G841" s="4" t="s">
        <v>199</v>
      </c>
      <c r="H841" s="4" t="s">
        <v>26</v>
      </c>
      <c r="I841" s="5">
        <v>65000000</v>
      </c>
      <c r="J841" s="5">
        <v>8000</v>
      </c>
      <c r="K841" s="5">
        <v>800</v>
      </c>
      <c r="L841" s="4" t="s">
        <v>26</v>
      </c>
      <c r="M841" s="4" t="s">
        <v>26</v>
      </c>
      <c r="N841" s="3">
        <v>45885</v>
      </c>
      <c r="O841" s="4" t="s">
        <v>283</v>
      </c>
      <c r="P841" s="2">
        <v>2000</v>
      </c>
      <c r="Q841" s="2">
        <v>3661</v>
      </c>
      <c r="R841" s="4" t="s">
        <v>84</v>
      </c>
      <c r="S841" s="5">
        <v>64626000</v>
      </c>
    </row>
    <row r="842" spans="1:19" x14ac:dyDescent="0.25">
      <c r="A842" s="4" t="s">
        <v>61</v>
      </c>
      <c r="B842" s="4" t="s">
        <v>59</v>
      </c>
      <c r="C842" s="4" t="s">
        <v>62</v>
      </c>
      <c r="D842" s="4" t="s">
        <v>63</v>
      </c>
      <c r="E842" s="4" t="s">
        <v>301</v>
      </c>
      <c r="F842" s="4" t="s">
        <v>302</v>
      </c>
      <c r="G842" s="4" t="s">
        <v>157</v>
      </c>
      <c r="H842" s="4" t="s">
        <v>26</v>
      </c>
      <c r="I842" s="5">
        <v>90000000</v>
      </c>
      <c r="J842" s="5">
        <v>940000</v>
      </c>
      <c r="K842" s="5">
        <v>94000</v>
      </c>
      <c r="L842" s="4" t="s">
        <v>594</v>
      </c>
      <c r="M842" s="4" t="s">
        <v>595</v>
      </c>
      <c r="N842" s="3">
        <v>45899</v>
      </c>
      <c r="O842" s="4" t="s">
        <v>605</v>
      </c>
      <c r="P842" s="2">
        <v>1000</v>
      </c>
      <c r="Q842" s="2">
        <v>3676</v>
      </c>
      <c r="R842" s="4" t="s">
        <v>26</v>
      </c>
      <c r="S842" s="5">
        <v>86019450</v>
      </c>
    </row>
    <row r="843" spans="1:19" x14ac:dyDescent="0.25">
      <c r="A843" s="4" t="s">
        <v>61</v>
      </c>
      <c r="B843" s="4" t="s">
        <v>59</v>
      </c>
      <c r="C843" s="4" t="s">
        <v>62</v>
      </c>
      <c r="D843" s="4" t="s">
        <v>63</v>
      </c>
      <c r="E843" s="4" t="s">
        <v>301</v>
      </c>
      <c r="F843" s="4" t="s">
        <v>302</v>
      </c>
      <c r="G843" s="4" t="s">
        <v>157</v>
      </c>
      <c r="H843" s="4" t="s">
        <v>26</v>
      </c>
      <c r="I843" s="5">
        <v>90000000</v>
      </c>
      <c r="J843" s="5">
        <v>600000</v>
      </c>
      <c r="K843" s="5">
        <v>60000</v>
      </c>
      <c r="L843" s="4" t="s">
        <v>594</v>
      </c>
      <c r="M843" s="4" t="s">
        <v>595</v>
      </c>
      <c r="N843" s="3">
        <v>45899</v>
      </c>
      <c r="O843" s="4" t="s">
        <v>605</v>
      </c>
      <c r="P843" s="2">
        <v>2000</v>
      </c>
      <c r="Q843" s="2">
        <v>3676</v>
      </c>
      <c r="R843" s="4" t="s">
        <v>26</v>
      </c>
      <c r="S843" s="5">
        <v>86019450</v>
      </c>
    </row>
    <row r="844" spans="1:19" x14ac:dyDescent="0.25">
      <c r="A844" s="4" t="s">
        <v>61</v>
      </c>
      <c r="B844" s="4" t="s">
        <v>59</v>
      </c>
      <c r="C844" s="4" t="s">
        <v>62</v>
      </c>
      <c r="D844" s="4" t="s">
        <v>63</v>
      </c>
      <c r="E844" s="4" t="s">
        <v>635</v>
      </c>
      <c r="F844" s="4" t="s">
        <v>636</v>
      </c>
      <c r="G844" s="4" t="s">
        <v>222</v>
      </c>
      <c r="H844" s="4" t="s">
        <v>26</v>
      </c>
      <c r="I844" s="5">
        <v>110000000</v>
      </c>
      <c r="J844" s="5">
        <v>599000</v>
      </c>
      <c r="K844" s="5">
        <v>59900</v>
      </c>
      <c r="L844" s="4" t="s">
        <v>637</v>
      </c>
      <c r="M844" s="4" t="s">
        <v>638</v>
      </c>
      <c r="N844" s="3">
        <v>45898</v>
      </c>
      <c r="O844" s="4" t="s">
        <v>626</v>
      </c>
      <c r="P844" s="2">
        <v>1000</v>
      </c>
      <c r="Q844" s="2">
        <v>3677</v>
      </c>
      <c r="R844" s="4" t="s">
        <v>753</v>
      </c>
      <c r="S844" s="5">
        <v>102037000</v>
      </c>
    </row>
    <row r="845" spans="1:19" x14ac:dyDescent="0.25">
      <c r="A845" s="4" t="s">
        <v>61</v>
      </c>
      <c r="B845" s="4" t="s">
        <v>59</v>
      </c>
      <c r="C845" s="4" t="s">
        <v>62</v>
      </c>
      <c r="D845" s="4" t="s">
        <v>63</v>
      </c>
      <c r="E845" s="4" t="s">
        <v>101</v>
      </c>
      <c r="F845" s="4" t="s">
        <v>102</v>
      </c>
      <c r="G845" s="4" t="s">
        <v>71</v>
      </c>
      <c r="H845" s="4" t="s">
        <v>26</v>
      </c>
      <c r="I845" s="5">
        <v>155000000</v>
      </c>
      <c r="J845" s="5">
        <v>99000</v>
      </c>
      <c r="K845" s="5">
        <v>9900</v>
      </c>
      <c r="L845" s="4" t="s">
        <v>26</v>
      </c>
      <c r="M845" s="4" t="s">
        <v>26</v>
      </c>
      <c r="N845" s="3">
        <v>45880</v>
      </c>
      <c r="O845" s="4" t="s">
        <v>565</v>
      </c>
      <c r="P845" s="2">
        <v>1000</v>
      </c>
      <c r="Q845" s="2">
        <v>3680</v>
      </c>
      <c r="R845" s="4" t="s">
        <v>749</v>
      </c>
      <c r="S845" s="5">
        <v>154309700</v>
      </c>
    </row>
    <row r="846" spans="1:19" x14ac:dyDescent="0.25">
      <c r="A846" s="4" t="s">
        <v>61</v>
      </c>
      <c r="B846" s="4" t="s">
        <v>59</v>
      </c>
      <c r="C846" s="4" t="s">
        <v>62</v>
      </c>
      <c r="D846" s="4" t="s">
        <v>63</v>
      </c>
      <c r="E846" s="4" t="s">
        <v>216</v>
      </c>
      <c r="F846" s="4" t="s">
        <v>217</v>
      </c>
      <c r="G846" s="4" t="s">
        <v>97</v>
      </c>
      <c r="H846" s="4" t="s">
        <v>26</v>
      </c>
      <c r="I846" s="5">
        <v>155000000</v>
      </c>
      <c r="J846" s="5">
        <v>1657500</v>
      </c>
      <c r="K846" s="5">
        <v>165750</v>
      </c>
      <c r="L846" s="4" t="s">
        <v>26</v>
      </c>
      <c r="M846" s="4" t="s">
        <v>26</v>
      </c>
      <c r="N846" s="3">
        <v>45898</v>
      </c>
      <c r="O846" s="4" t="s">
        <v>626</v>
      </c>
      <c r="P846" s="2">
        <v>1000</v>
      </c>
      <c r="Q846" s="2">
        <v>3685</v>
      </c>
      <c r="R846" s="4" t="s">
        <v>753</v>
      </c>
      <c r="S846" s="5">
        <v>152389300</v>
      </c>
    </row>
    <row r="847" spans="1:19" x14ac:dyDescent="0.25">
      <c r="A847" s="4" t="s">
        <v>61</v>
      </c>
      <c r="B847" s="4" t="s">
        <v>59</v>
      </c>
      <c r="C847" s="4" t="s">
        <v>62</v>
      </c>
      <c r="D847" s="4" t="s">
        <v>63</v>
      </c>
      <c r="E847" s="4" t="s">
        <v>155</v>
      </c>
      <c r="F847" s="4" t="s">
        <v>156</v>
      </c>
      <c r="G847" s="4" t="s">
        <v>157</v>
      </c>
      <c r="H847" s="4" t="s">
        <v>26</v>
      </c>
      <c r="I847" s="5">
        <v>90000000</v>
      </c>
      <c r="J847" s="5">
        <v>34000</v>
      </c>
      <c r="K847" s="5">
        <v>3400</v>
      </c>
      <c r="L847" s="4" t="s">
        <v>158</v>
      </c>
      <c r="M847" s="4" t="s">
        <v>159</v>
      </c>
      <c r="N847" s="3">
        <v>45885</v>
      </c>
      <c r="O847" s="4" t="s">
        <v>283</v>
      </c>
      <c r="P847" s="2">
        <v>1000</v>
      </c>
      <c r="Q847" s="2">
        <v>3702</v>
      </c>
      <c r="R847" s="4" t="s">
        <v>26</v>
      </c>
      <c r="S847" s="5">
        <v>87868500</v>
      </c>
    </row>
    <row r="848" spans="1:19" x14ac:dyDescent="0.25">
      <c r="A848" s="4" t="s">
        <v>61</v>
      </c>
      <c r="B848" s="4" t="s">
        <v>59</v>
      </c>
      <c r="C848" s="4" t="s">
        <v>62</v>
      </c>
      <c r="D848" s="4" t="s">
        <v>63</v>
      </c>
      <c r="E848" s="4" t="s">
        <v>178</v>
      </c>
      <c r="F848" s="4" t="s">
        <v>179</v>
      </c>
      <c r="G848" s="4" t="s">
        <v>124</v>
      </c>
      <c r="H848" s="4" t="s">
        <v>26</v>
      </c>
      <c r="I848" s="5">
        <v>65000000</v>
      </c>
      <c r="J848" s="5">
        <v>900000</v>
      </c>
      <c r="K848" s="5">
        <v>90000</v>
      </c>
      <c r="L848" s="4" t="s">
        <v>214</v>
      </c>
      <c r="M848" s="4" t="s">
        <v>215</v>
      </c>
      <c r="N848" s="3">
        <v>45898</v>
      </c>
      <c r="O848" s="4" t="s">
        <v>732</v>
      </c>
      <c r="P848" s="2">
        <v>1000</v>
      </c>
      <c r="Q848" s="2">
        <v>3713</v>
      </c>
      <c r="R848" s="4" t="s">
        <v>604</v>
      </c>
      <c r="S848" s="5">
        <v>54146650</v>
      </c>
    </row>
    <row r="849" spans="1:19" x14ac:dyDescent="0.25">
      <c r="A849" s="4" t="s">
        <v>61</v>
      </c>
      <c r="B849" s="4" t="s">
        <v>59</v>
      </c>
      <c r="C849" s="4" t="s">
        <v>62</v>
      </c>
      <c r="D849" s="4" t="s">
        <v>63</v>
      </c>
      <c r="E849" s="4" t="s">
        <v>178</v>
      </c>
      <c r="F849" s="4" t="s">
        <v>179</v>
      </c>
      <c r="G849" s="4" t="s">
        <v>124</v>
      </c>
      <c r="H849" s="4" t="s">
        <v>26</v>
      </c>
      <c r="I849" s="5">
        <v>65000000</v>
      </c>
      <c r="J849" s="5">
        <v>82500</v>
      </c>
      <c r="K849" s="5">
        <v>8250</v>
      </c>
      <c r="L849" s="4" t="s">
        <v>214</v>
      </c>
      <c r="M849" s="4" t="s">
        <v>215</v>
      </c>
      <c r="N849" s="3">
        <v>45898</v>
      </c>
      <c r="O849" s="4" t="s">
        <v>732</v>
      </c>
      <c r="P849" s="2">
        <v>2000</v>
      </c>
      <c r="Q849" s="2">
        <v>3713</v>
      </c>
      <c r="R849" s="4" t="s">
        <v>26</v>
      </c>
      <c r="S849" s="5">
        <v>54146650</v>
      </c>
    </row>
    <row r="850" spans="1:19" x14ac:dyDescent="0.25">
      <c r="A850" s="4" t="s">
        <v>61</v>
      </c>
      <c r="B850" s="4" t="s">
        <v>59</v>
      </c>
      <c r="C850" s="4" t="s">
        <v>62</v>
      </c>
      <c r="D850" s="4" t="s">
        <v>63</v>
      </c>
      <c r="E850" s="4" t="s">
        <v>263</v>
      </c>
      <c r="F850" s="4" t="s">
        <v>264</v>
      </c>
      <c r="G850" s="4" t="s">
        <v>81</v>
      </c>
      <c r="H850" s="4" t="s">
        <v>26</v>
      </c>
      <c r="I850" s="5">
        <v>65000000</v>
      </c>
      <c r="J850" s="5">
        <v>280000</v>
      </c>
      <c r="K850" s="5">
        <v>28000</v>
      </c>
      <c r="L850" s="4" t="s">
        <v>457</v>
      </c>
      <c r="M850" s="4" t="s">
        <v>458</v>
      </c>
      <c r="N850" s="3">
        <v>45899</v>
      </c>
      <c r="O850" s="4" t="s">
        <v>605</v>
      </c>
      <c r="P850" s="2">
        <v>1000</v>
      </c>
      <c r="Q850" s="2">
        <v>3730</v>
      </c>
      <c r="R850" s="4" t="s">
        <v>756</v>
      </c>
      <c r="S850" s="5">
        <v>54808900</v>
      </c>
    </row>
    <row r="851" spans="1:19" x14ac:dyDescent="0.25">
      <c r="A851" s="4" t="s">
        <v>61</v>
      </c>
      <c r="B851" s="4" t="s">
        <v>59</v>
      </c>
      <c r="C851" s="4" t="s">
        <v>62</v>
      </c>
      <c r="D851" s="4" t="s">
        <v>63</v>
      </c>
      <c r="E851" s="4" t="s">
        <v>443</v>
      </c>
      <c r="F851" s="4" t="s">
        <v>444</v>
      </c>
      <c r="G851" s="4" t="s">
        <v>157</v>
      </c>
      <c r="H851" s="4" t="s">
        <v>26</v>
      </c>
      <c r="I851" s="5">
        <v>90000000</v>
      </c>
      <c r="J851" s="5">
        <v>127500</v>
      </c>
      <c r="K851" s="5">
        <v>12750</v>
      </c>
      <c r="L851" s="4" t="s">
        <v>572</v>
      </c>
      <c r="M851" s="4" t="s">
        <v>573</v>
      </c>
      <c r="N851" s="3">
        <v>45892</v>
      </c>
      <c r="O851" s="4" t="s">
        <v>587</v>
      </c>
      <c r="P851" s="2">
        <v>1000</v>
      </c>
      <c r="Q851" s="2">
        <v>3733</v>
      </c>
      <c r="R851" s="4" t="s">
        <v>759</v>
      </c>
      <c r="S851" s="5">
        <v>86215260</v>
      </c>
    </row>
    <row r="852" spans="1:19" x14ac:dyDescent="0.25">
      <c r="A852" s="4" t="s">
        <v>61</v>
      </c>
      <c r="B852" s="4" t="s">
        <v>59</v>
      </c>
      <c r="C852" s="4" t="s">
        <v>62</v>
      </c>
      <c r="D852" s="4" t="s">
        <v>63</v>
      </c>
      <c r="E852" s="4" t="s">
        <v>443</v>
      </c>
      <c r="F852" s="4" t="s">
        <v>444</v>
      </c>
      <c r="G852" s="4" t="s">
        <v>157</v>
      </c>
      <c r="H852" s="4" t="s">
        <v>26</v>
      </c>
      <c r="I852" s="5">
        <v>90000000</v>
      </c>
      <c r="J852" s="5">
        <v>127500</v>
      </c>
      <c r="K852" s="5">
        <v>12750</v>
      </c>
      <c r="L852" s="4" t="s">
        <v>572</v>
      </c>
      <c r="M852" s="4" t="s">
        <v>573</v>
      </c>
      <c r="N852" s="3">
        <v>45892</v>
      </c>
      <c r="O852" s="4" t="s">
        <v>587</v>
      </c>
      <c r="P852" s="2">
        <v>2000</v>
      </c>
      <c r="Q852" s="2">
        <v>3733</v>
      </c>
      <c r="R852" s="4" t="s">
        <v>759</v>
      </c>
      <c r="S852" s="5">
        <v>86215260</v>
      </c>
    </row>
    <row r="853" spans="1:19" x14ac:dyDescent="0.25">
      <c r="A853" s="4" t="s">
        <v>61</v>
      </c>
      <c r="B853" s="4" t="s">
        <v>59</v>
      </c>
      <c r="C853" s="4" t="s">
        <v>62</v>
      </c>
      <c r="D853" s="4" t="s">
        <v>63</v>
      </c>
      <c r="E853" s="4" t="s">
        <v>263</v>
      </c>
      <c r="F853" s="4" t="s">
        <v>264</v>
      </c>
      <c r="G853" s="4" t="s">
        <v>81</v>
      </c>
      <c r="H853" s="4" t="s">
        <v>26</v>
      </c>
      <c r="I853" s="5">
        <v>65000000</v>
      </c>
      <c r="J853" s="5">
        <v>160000</v>
      </c>
      <c r="K853" s="5">
        <v>16000</v>
      </c>
      <c r="L853" s="4" t="s">
        <v>26</v>
      </c>
      <c r="M853" s="4" t="s">
        <v>26</v>
      </c>
      <c r="N853" s="3">
        <v>45899</v>
      </c>
      <c r="O853" s="4" t="s">
        <v>605</v>
      </c>
      <c r="P853" s="2">
        <v>1000</v>
      </c>
      <c r="Q853" s="2">
        <v>3739</v>
      </c>
      <c r="R853" s="4" t="s">
        <v>756</v>
      </c>
      <c r="S853" s="5">
        <v>54808900</v>
      </c>
    </row>
    <row r="854" spans="1:19" x14ac:dyDescent="0.25">
      <c r="A854" s="4" t="s">
        <v>61</v>
      </c>
      <c r="B854" s="4" t="s">
        <v>59</v>
      </c>
      <c r="C854" s="4" t="s">
        <v>62</v>
      </c>
      <c r="D854" s="4" t="s">
        <v>63</v>
      </c>
      <c r="E854" s="4" t="s">
        <v>651</v>
      </c>
      <c r="F854" s="4" t="s">
        <v>652</v>
      </c>
      <c r="G854" s="4" t="s">
        <v>157</v>
      </c>
      <c r="H854" s="4" t="s">
        <v>26</v>
      </c>
      <c r="I854" s="5">
        <v>90000000</v>
      </c>
      <c r="J854" s="5">
        <v>8450000</v>
      </c>
      <c r="K854" s="5">
        <v>845000</v>
      </c>
      <c r="L854" s="4" t="s">
        <v>653</v>
      </c>
      <c r="M854" s="4" t="s">
        <v>654</v>
      </c>
      <c r="N854" s="3">
        <v>45892</v>
      </c>
      <c r="O854" s="4" t="s">
        <v>642</v>
      </c>
      <c r="P854" s="2">
        <v>1000</v>
      </c>
      <c r="Q854" s="2">
        <v>3739</v>
      </c>
      <c r="R854" s="4" t="s">
        <v>26</v>
      </c>
      <c r="S854" s="5">
        <v>81550000</v>
      </c>
    </row>
    <row r="855" spans="1:19" x14ac:dyDescent="0.25">
      <c r="A855" s="4" t="s">
        <v>61</v>
      </c>
      <c r="B855" s="4" t="s">
        <v>59</v>
      </c>
      <c r="C855" s="4" t="s">
        <v>62</v>
      </c>
      <c r="D855" s="4" t="s">
        <v>63</v>
      </c>
      <c r="E855" s="4" t="s">
        <v>193</v>
      </c>
      <c r="F855" s="4" t="s">
        <v>194</v>
      </c>
      <c r="G855" s="4" t="s">
        <v>105</v>
      </c>
      <c r="H855" s="4" t="s">
        <v>26</v>
      </c>
      <c r="I855" s="5">
        <v>155000000</v>
      </c>
      <c r="J855" s="5">
        <v>49500</v>
      </c>
      <c r="K855" s="5">
        <v>4950</v>
      </c>
      <c r="L855" s="4" t="s">
        <v>195</v>
      </c>
      <c r="M855" s="4" t="s">
        <v>196</v>
      </c>
      <c r="N855" s="3">
        <v>45879</v>
      </c>
      <c r="O855" s="4" t="s">
        <v>459</v>
      </c>
      <c r="P855" s="2">
        <v>1000</v>
      </c>
      <c r="Q855" s="2">
        <v>3740</v>
      </c>
      <c r="R855" s="4" t="s">
        <v>747</v>
      </c>
      <c r="S855" s="5">
        <v>149540330</v>
      </c>
    </row>
    <row r="856" spans="1:19" x14ac:dyDescent="0.25">
      <c r="A856" s="4" t="s">
        <v>61</v>
      </c>
      <c r="B856" s="4" t="s">
        <v>59</v>
      </c>
      <c r="C856" s="4" t="s">
        <v>62</v>
      </c>
      <c r="D856" s="4" t="s">
        <v>63</v>
      </c>
      <c r="E856" s="4" t="s">
        <v>666</v>
      </c>
      <c r="F856" s="4" t="s">
        <v>667</v>
      </c>
      <c r="G856" s="4" t="s">
        <v>381</v>
      </c>
      <c r="H856" s="4" t="s">
        <v>26</v>
      </c>
      <c r="I856" s="5">
        <v>90000000</v>
      </c>
      <c r="J856" s="5">
        <v>619500</v>
      </c>
      <c r="K856" s="5">
        <v>61950</v>
      </c>
      <c r="L856" s="4" t="s">
        <v>668</v>
      </c>
      <c r="M856" s="4" t="s">
        <v>669</v>
      </c>
      <c r="N856" s="3">
        <v>45890</v>
      </c>
      <c r="O856" s="4" t="s">
        <v>663</v>
      </c>
      <c r="P856" s="2">
        <v>1000</v>
      </c>
      <c r="Q856" s="2">
        <v>3749</v>
      </c>
      <c r="R856" s="4" t="s">
        <v>776</v>
      </c>
      <c r="S856" s="5">
        <v>85260500</v>
      </c>
    </row>
    <row r="857" spans="1:19" x14ac:dyDescent="0.25">
      <c r="A857" s="4" t="s">
        <v>61</v>
      </c>
      <c r="B857" s="4" t="s">
        <v>59</v>
      </c>
      <c r="C857" s="4" t="s">
        <v>62</v>
      </c>
      <c r="D857" s="4" t="s">
        <v>63</v>
      </c>
      <c r="E857" s="4" t="s">
        <v>666</v>
      </c>
      <c r="F857" s="4" t="s">
        <v>667</v>
      </c>
      <c r="G857" s="4" t="s">
        <v>381</v>
      </c>
      <c r="H857" s="4" t="s">
        <v>26</v>
      </c>
      <c r="I857" s="5">
        <v>90000000</v>
      </c>
      <c r="J857" s="5">
        <v>2060000</v>
      </c>
      <c r="K857" s="5">
        <v>206000</v>
      </c>
      <c r="L857" s="4" t="s">
        <v>668</v>
      </c>
      <c r="M857" s="4" t="s">
        <v>669</v>
      </c>
      <c r="N857" s="3">
        <v>45890</v>
      </c>
      <c r="O857" s="4" t="s">
        <v>663</v>
      </c>
      <c r="P857" s="2">
        <v>2000</v>
      </c>
      <c r="Q857" s="2">
        <v>3749</v>
      </c>
      <c r="R857" s="4" t="s">
        <v>776</v>
      </c>
      <c r="S857" s="5">
        <v>85260500</v>
      </c>
    </row>
    <row r="858" spans="1:19" x14ac:dyDescent="0.25">
      <c r="A858" s="4" t="s">
        <v>61</v>
      </c>
      <c r="B858" s="4" t="s">
        <v>59</v>
      </c>
      <c r="C858" s="4" t="s">
        <v>62</v>
      </c>
      <c r="D858" s="4" t="s">
        <v>63</v>
      </c>
      <c r="E858" s="4" t="s">
        <v>666</v>
      </c>
      <c r="F858" s="4" t="s">
        <v>667</v>
      </c>
      <c r="G858" s="4" t="s">
        <v>381</v>
      </c>
      <c r="H858" s="4" t="s">
        <v>26</v>
      </c>
      <c r="I858" s="5">
        <v>90000000</v>
      </c>
      <c r="J858" s="5">
        <v>2060000</v>
      </c>
      <c r="K858" s="5">
        <v>206000</v>
      </c>
      <c r="L858" s="4" t="s">
        <v>668</v>
      </c>
      <c r="M858" s="4" t="s">
        <v>669</v>
      </c>
      <c r="N858" s="3">
        <v>45890</v>
      </c>
      <c r="O858" s="4" t="s">
        <v>663</v>
      </c>
      <c r="P858" s="2">
        <v>3000</v>
      </c>
      <c r="Q858" s="2">
        <v>3749</v>
      </c>
      <c r="R858" s="4" t="s">
        <v>776</v>
      </c>
      <c r="S858" s="5">
        <v>85260500</v>
      </c>
    </row>
    <row r="859" spans="1:19" x14ac:dyDescent="0.25">
      <c r="A859" s="4" t="s">
        <v>61</v>
      </c>
      <c r="B859" s="4" t="s">
        <v>59</v>
      </c>
      <c r="C859" s="4" t="s">
        <v>62</v>
      </c>
      <c r="D859" s="4" t="s">
        <v>63</v>
      </c>
      <c r="E859" s="4" t="s">
        <v>210</v>
      </c>
      <c r="F859" s="4" t="s">
        <v>211</v>
      </c>
      <c r="G859" s="4" t="s">
        <v>50</v>
      </c>
      <c r="H859" s="4" t="s">
        <v>26</v>
      </c>
      <c r="I859" s="5">
        <v>65000000</v>
      </c>
      <c r="J859" s="5">
        <v>175000</v>
      </c>
      <c r="K859" s="5">
        <v>17500</v>
      </c>
      <c r="L859" s="4" t="s">
        <v>26</v>
      </c>
      <c r="M859" s="4" t="s">
        <v>26</v>
      </c>
      <c r="N859" s="3">
        <v>45898</v>
      </c>
      <c r="O859" s="4" t="s">
        <v>732</v>
      </c>
      <c r="P859" s="2">
        <v>1000</v>
      </c>
      <c r="Q859" s="2">
        <v>3762</v>
      </c>
      <c r="R859" s="4" t="s">
        <v>604</v>
      </c>
      <c r="S859" s="5">
        <v>63482950</v>
      </c>
    </row>
    <row r="860" spans="1:19" x14ac:dyDescent="0.25">
      <c r="A860" s="4" t="s">
        <v>61</v>
      </c>
      <c r="B860" s="4" t="s">
        <v>59</v>
      </c>
      <c r="C860" s="4" t="s">
        <v>62</v>
      </c>
      <c r="D860" s="4" t="s">
        <v>63</v>
      </c>
      <c r="E860" s="4" t="s">
        <v>210</v>
      </c>
      <c r="F860" s="4" t="s">
        <v>211</v>
      </c>
      <c r="G860" s="4" t="s">
        <v>50</v>
      </c>
      <c r="H860" s="4" t="s">
        <v>26</v>
      </c>
      <c r="I860" s="5">
        <v>65000000</v>
      </c>
      <c r="J860" s="5">
        <v>85000</v>
      </c>
      <c r="K860" s="5">
        <v>8500</v>
      </c>
      <c r="L860" s="4" t="s">
        <v>186</v>
      </c>
      <c r="M860" s="4" t="s">
        <v>187</v>
      </c>
      <c r="N860" s="3">
        <v>45879</v>
      </c>
      <c r="O860" s="4" t="s">
        <v>459</v>
      </c>
      <c r="P860" s="2">
        <v>1000</v>
      </c>
      <c r="Q860" s="2">
        <v>3780</v>
      </c>
      <c r="R860" s="4" t="s">
        <v>84</v>
      </c>
      <c r="S860" s="5">
        <v>63482950</v>
      </c>
    </row>
    <row r="861" spans="1:19" x14ac:dyDescent="0.25">
      <c r="A861" s="4" t="s">
        <v>61</v>
      </c>
      <c r="B861" s="4" t="s">
        <v>59</v>
      </c>
      <c r="C861" s="4" t="s">
        <v>62</v>
      </c>
      <c r="D861" s="4" t="s">
        <v>63</v>
      </c>
      <c r="E861" s="4" t="s">
        <v>152</v>
      </c>
      <c r="F861" s="4" t="s">
        <v>153</v>
      </c>
      <c r="G861" s="4" t="s">
        <v>50</v>
      </c>
      <c r="H861" s="4" t="s">
        <v>26</v>
      </c>
      <c r="I861" s="5">
        <v>65000000</v>
      </c>
      <c r="J861" s="5">
        <v>50000</v>
      </c>
      <c r="K861" s="5">
        <v>5000</v>
      </c>
      <c r="L861" s="4" t="s">
        <v>26</v>
      </c>
      <c r="M861" s="4" t="s">
        <v>26</v>
      </c>
      <c r="N861" s="3">
        <v>45879</v>
      </c>
      <c r="O861" s="4" t="s">
        <v>416</v>
      </c>
      <c r="P861" s="2">
        <v>1000</v>
      </c>
      <c r="Q861" s="2">
        <v>3794</v>
      </c>
      <c r="R861" s="4" t="s">
        <v>84</v>
      </c>
      <c r="S861" s="5">
        <v>64141500</v>
      </c>
    </row>
    <row r="862" spans="1:19" x14ac:dyDescent="0.25">
      <c r="A862" s="4" t="s">
        <v>61</v>
      </c>
      <c r="B862" s="4" t="s">
        <v>59</v>
      </c>
      <c r="C862" s="4" t="s">
        <v>62</v>
      </c>
      <c r="D862" s="4" t="s">
        <v>63</v>
      </c>
      <c r="E862" s="4" t="s">
        <v>348</v>
      </c>
      <c r="F862" s="4" t="s">
        <v>349</v>
      </c>
      <c r="G862" s="4" t="s">
        <v>100</v>
      </c>
      <c r="H862" s="4" t="s">
        <v>26</v>
      </c>
      <c r="I862" s="5">
        <v>65000000</v>
      </c>
      <c r="J862" s="5">
        <v>72000</v>
      </c>
      <c r="K862" s="5">
        <v>7200</v>
      </c>
      <c r="L862" s="4" t="s">
        <v>453</v>
      </c>
      <c r="M862" s="4" t="s">
        <v>454</v>
      </c>
      <c r="N862" s="3">
        <v>45899</v>
      </c>
      <c r="O862" s="4" t="s">
        <v>605</v>
      </c>
      <c r="P862" s="2">
        <v>1000</v>
      </c>
      <c r="Q862" s="2">
        <v>3794</v>
      </c>
      <c r="R862" s="4" t="s">
        <v>756</v>
      </c>
      <c r="S862" s="5">
        <v>64076500</v>
      </c>
    </row>
    <row r="863" spans="1:19" x14ac:dyDescent="0.25">
      <c r="A863" s="4" t="s">
        <v>61</v>
      </c>
      <c r="B863" s="4" t="s">
        <v>59</v>
      </c>
      <c r="C863" s="4" t="s">
        <v>62</v>
      </c>
      <c r="D863" s="4" t="s">
        <v>63</v>
      </c>
      <c r="E863" s="4" t="s">
        <v>152</v>
      </c>
      <c r="F863" s="4" t="s">
        <v>153</v>
      </c>
      <c r="G863" s="4" t="s">
        <v>50</v>
      </c>
      <c r="H863" s="4" t="s">
        <v>26</v>
      </c>
      <c r="I863" s="5">
        <v>65000000</v>
      </c>
      <c r="J863" s="5">
        <v>8000</v>
      </c>
      <c r="K863" s="5">
        <v>800</v>
      </c>
      <c r="L863" s="4" t="s">
        <v>26</v>
      </c>
      <c r="M863" s="4" t="s">
        <v>26</v>
      </c>
      <c r="N863" s="3">
        <v>45879</v>
      </c>
      <c r="O863" s="4" t="s">
        <v>416</v>
      </c>
      <c r="P863" s="2">
        <v>2000</v>
      </c>
      <c r="Q863" s="2">
        <v>3794</v>
      </c>
      <c r="R863" s="4" t="s">
        <v>84</v>
      </c>
      <c r="S863" s="5">
        <v>64141500</v>
      </c>
    </row>
    <row r="864" spans="1:19" x14ac:dyDescent="0.25">
      <c r="A864" s="4" t="s">
        <v>61</v>
      </c>
      <c r="B864" s="4" t="s">
        <v>59</v>
      </c>
      <c r="C864" s="4" t="s">
        <v>62</v>
      </c>
      <c r="D864" s="4" t="s">
        <v>63</v>
      </c>
      <c r="E864" s="4" t="s">
        <v>348</v>
      </c>
      <c r="F864" s="4" t="s">
        <v>349</v>
      </c>
      <c r="G864" s="4" t="s">
        <v>100</v>
      </c>
      <c r="H864" s="4" t="s">
        <v>26</v>
      </c>
      <c r="I864" s="5">
        <v>65000000</v>
      </c>
      <c r="J864" s="5">
        <v>72000</v>
      </c>
      <c r="K864" s="5">
        <v>7200</v>
      </c>
      <c r="L864" s="4" t="s">
        <v>453</v>
      </c>
      <c r="M864" s="4" t="s">
        <v>454</v>
      </c>
      <c r="N864" s="3">
        <v>45899</v>
      </c>
      <c r="O864" s="4" t="s">
        <v>605</v>
      </c>
      <c r="P864" s="2">
        <v>2000</v>
      </c>
      <c r="Q864" s="2">
        <v>3794</v>
      </c>
      <c r="R864" s="4" t="s">
        <v>756</v>
      </c>
      <c r="S864" s="5">
        <v>64076500</v>
      </c>
    </row>
    <row r="865" spans="1:19" x14ac:dyDescent="0.25">
      <c r="A865" s="4" t="s">
        <v>61</v>
      </c>
      <c r="B865" s="4" t="s">
        <v>59</v>
      </c>
      <c r="C865" s="4" t="s">
        <v>62</v>
      </c>
      <c r="D865" s="4" t="s">
        <v>63</v>
      </c>
      <c r="E865" s="4" t="s">
        <v>202</v>
      </c>
      <c r="F865" s="4" t="s">
        <v>203</v>
      </c>
      <c r="G865" s="4" t="s">
        <v>100</v>
      </c>
      <c r="H865" s="4" t="s">
        <v>26</v>
      </c>
      <c r="I865" s="5">
        <v>65000000</v>
      </c>
      <c r="J865" s="5">
        <v>129000</v>
      </c>
      <c r="K865" s="5">
        <v>12900</v>
      </c>
      <c r="L865" s="4" t="s">
        <v>480</v>
      </c>
      <c r="M865" s="4" t="s">
        <v>481</v>
      </c>
      <c r="N865" s="3">
        <v>45899</v>
      </c>
      <c r="O865" s="4" t="s">
        <v>732</v>
      </c>
      <c r="P865" s="2">
        <v>1000</v>
      </c>
      <c r="Q865" s="2">
        <v>3800</v>
      </c>
      <c r="R865" s="4" t="s">
        <v>604</v>
      </c>
      <c r="S865" s="5">
        <v>63226550</v>
      </c>
    </row>
    <row r="866" spans="1:19" x14ac:dyDescent="0.25">
      <c r="A866" s="4" t="s">
        <v>61</v>
      </c>
      <c r="B866" s="4" t="s">
        <v>59</v>
      </c>
      <c r="C866" s="4" t="s">
        <v>62</v>
      </c>
      <c r="D866" s="4" t="s">
        <v>63</v>
      </c>
      <c r="E866" s="4" t="s">
        <v>178</v>
      </c>
      <c r="F866" s="4" t="s">
        <v>179</v>
      </c>
      <c r="G866" s="4" t="s">
        <v>124</v>
      </c>
      <c r="H866" s="4" t="s">
        <v>26</v>
      </c>
      <c r="I866" s="5">
        <v>65000000</v>
      </c>
      <c r="J866" s="5">
        <v>34000</v>
      </c>
      <c r="K866" s="5">
        <v>3400</v>
      </c>
      <c r="L866" s="4" t="s">
        <v>26</v>
      </c>
      <c r="M866" s="4" t="s">
        <v>26</v>
      </c>
      <c r="N866" s="3">
        <v>45877</v>
      </c>
      <c r="O866" s="4" t="s">
        <v>154</v>
      </c>
      <c r="P866" s="2">
        <v>1000</v>
      </c>
      <c r="Q866" s="2">
        <v>3848</v>
      </c>
      <c r="R866" s="4" t="s">
        <v>84</v>
      </c>
      <c r="S866" s="5">
        <v>54146650</v>
      </c>
    </row>
    <row r="867" spans="1:19" x14ac:dyDescent="0.25">
      <c r="A867" s="4" t="s">
        <v>61</v>
      </c>
      <c r="B867" s="4" t="s">
        <v>59</v>
      </c>
      <c r="C867" s="4" t="s">
        <v>62</v>
      </c>
      <c r="D867" s="4" t="s">
        <v>63</v>
      </c>
      <c r="E867" s="4" t="s">
        <v>174</v>
      </c>
      <c r="F867" s="4" t="s">
        <v>175</v>
      </c>
      <c r="G867" s="4" t="s">
        <v>50</v>
      </c>
      <c r="H867" s="4" t="s">
        <v>26</v>
      </c>
      <c r="I867" s="5">
        <v>65000000</v>
      </c>
      <c r="J867" s="5">
        <v>38500</v>
      </c>
      <c r="K867" s="5">
        <v>3850</v>
      </c>
      <c r="L867" s="4" t="s">
        <v>451</v>
      </c>
      <c r="M867" s="4" t="s">
        <v>452</v>
      </c>
      <c r="N867" s="3">
        <v>45879</v>
      </c>
      <c r="O867" s="4" t="s">
        <v>459</v>
      </c>
      <c r="P867" s="2">
        <v>1000</v>
      </c>
      <c r="Q867" s="2">
        <v>3871</v>
      </c>
      <c r="R867" s="4" t="s">
        <v>755</v>
      </c>
      <c r="S867" s="5">
        <v>63740700</v>
      </c>
    </row>
    <row r="868" spans="1:19" x14ac:dyDescent="0.25">
      <c r="A868" s="4" t="s">
        <v>61</v>
      </c>
      <c r="B868" s="4" t="s">
        <v>59</v>
      </c>
      <c r="C868" s="4" t="s">
        <v>62</v>
      </c>
      <c r="D868" s="4" t="s">
        <v>63</v>
      </c>
      <c r="E868" s="4" t="s">
        <v>174</v>
      </c>
      <c r="F868" s="4" t="s">
        <v>175</v>
      </c>
      <c r="G868" s="4" t="s">
        <v>50</v>
      </c>
      <c r="H868" s="4" t="s">
        <v>26</v>
      </c>
      <c r="I868" s="5">
        <v>65000000</v>
      </c>
      <c r="J868" s="5">
        <v>46200</v>
      </c>
      <c r="K868" s="5">
        <v>4620</v>
      </c>
      <c r="L868" s="4" t="s">
        <v>451</v>
      </c>
      <c r="M868" s="4" t="s">
        <v>452</v>
      </c>
      <c r="N868" s="3">
        <v>45879</v>
      </c>
      <c r="O868" s="4" t="s">
        <v>459</v>
      </c>
      <c r="P868" s="2">
        <v>2000</v>
      </c>
      <c r="Q868" s="2">
        <v>3871</v>
      </c>
      <c r="R868" s="4" t="s">
        <v>755</v>
      </c>
      <c r="S868" s="5">
        <v>63740700</v>
      </c>
    </row>
    <row r="869" spans="1:19" x14ac:dyDescent="0.25">
      <c r="A869" s="4" t="s">
        <v>61</v>
      </c>
      <c r="B869" s="4" t="s">
        <v>59</v>
      </c>
      <c r="C869" s="4" t="s">
        <v>62</v>
      </c>
      <c r="D869" s="4" t="s">
        <v>63</v>
      </c>
      <c r="E869" s="4" t="s">
        <v>174</v>
      </c>
      <c r="F869" s="4" t="s">
        <v>175</v>
      </c>
      <c r="G869" s="4" t="s">
        <v>50</v>
      </c>
      <c r="H869" s="4" t="s">
        <v>26</v>
      </c>
      <c r="I869" s="5">
        <v>65000000</v>
      </c>
      <c r="J869" s="5">
        <v>15400</v>
      </c>
      <c r="K869" s="5">
        <v>1540</v>
      </c>
      <c r="L869" s="4" t="s">
        <v>451</v>
      </c>
      <c r="M869" s="4" t="s">
        <v>452</v>
      </c>
      <c r="N869" s="3">
        <v>45879</v>
      </c>
      <c r="O869" s="4" t="s">
        <v>459</v>
      </c>
      <c r="P869" s="2">
        <v>3000</v>
      </c>
      <c r="Q869" s="2">
        <v>3871</v>
      </c>
      <c r="R869" s="4" t="s">
        <v>755</v>
      </c>
      <c r="S869" s="5">
        <v>63740700</v>
      </c>
    </row>
    <row r="870" spans="1:19" x14ac:dyDescent="0.25">
      <c r="A870" s="4" t="s">
        <v>61</v>
      </c>
      <c r="B870" s="4" t="s">
        <v>59</v>
      </c>
      <c r="C870" s="4" t="s">
        <v>62</v>
      </c>
      <c r="D870" s="4" t="s">
        <v>63</v>
      </c>
      <c r="E870" s="4" t="s">
        <v>174</v>
      </c>
      <c r="F870" s="4" t="s">
        <v>175</v>
      </c>
      <c r="G870" s="4" t="s">
        <v>50</v>
      </c>
      <c r="H870" s="4" t="s">
        <v>26</v>
      </c>
      <c r="I870" s="5">
        <v>65000000</v>
      </c>
      <c r="J870" s="5">
        <v>88000</v>
      </c>
      <c r="K870" s="5">
        <v>8800</v>
      </c>
      <c r="L870" s="4" t="s">
        <v>451</v>
      </c>
      <c r="M870" s="4" t="s">
        <v>452</v>
      </c>
      <c r="N870" s="3">
        <v>45879</v>
      </c>
      <c r="O870" s="4" t="s">
        <v>459</v>
      </c>
      <c r="P870" s="2">
        <v>4000</v>
      </c>
      <c r="Q870" s="2">
        <v>3871</v>
      </c>
      <c r="R870" s="4" t="s">
        <v>26</v>
      </c>
      <c r="S870" s="5">
        <v>63740700</v>
      </c>
    </row>
    <row r="871" spans="1:19" x14ac:dyDescent="0.25">
      <c r="A871" s="4" t="s">
        <v>61</v>
      </c>
      <c r="B871" s="4" t="s">
        <v>59</v>
      </c>
      <c r="C871" s="4" t="s">
        <v>62</v>
      </c>
      <c r="D871" s="4" t="s">
        <v>63</v>
      </c>
      <c r="E871" s="4" t="s">
        <v>127</v>
      </c>
      <c r="F871" s="4" t="s">
        <v>128</v>
      </c>
      <c r="G871" s="4" t="s">
        <v>50</v>
      </c>
      <c r="H871" s="4" t="s">
        <v>26</v>
      </c>
      <c r="I871" s="5">
        <v>65000000</v>
      </c>
      <c r="J871" s="5">
        <v>31000</v>
      </c>
      <c r="K871" s="5">
        <v>3100</v>
      </c>
      <c r="L871" s="4" t="s">
        <v>129</v>
      </c>
      <c r="M871" s="4" t="s">
        <v>130</v>
      </c>
      <c r="N871" s="3">
        <v>45884</v>
      </c>
      <c r="O871" s="4" t="s">
        <v>532</v>
      </c>
      <c r="P871" s="2">
        <v>1000</v>
      </c>
      <c r="Q871" s="2">
        <v>3875</v>
      </c>
      <c r="R871" s="4" t="s">
        <v>749</v>
      </c>
      <c r="S871" s="5">
        <v>60417600</v>
      </c>
    </row>
    <row r="872" spans="1:19" x14ac:dyDescent="0.25">
      <c r="A872" s="4" t="s">
        <v>61</v>
      </c>
      <c r="B872" s="4" t="s">
        <v>59</v>
      </c>
      <c r="C872" s="4" t="s">
        <v>62</v>
      </c>
      <c r="D872" s="4" t="s">
        <v>63</v>
      </c>
      <c r="E872" s="4" t="s">
        <v>127</v>
      </c>
      <c r="F872" s="4" t="s">
        <v>128</v>
      </c>
      <c r="G872" s="4" t="s">
        <v>50</v>
      </c>
      <c r="H872" s="4" t="s">
        <v>26</v>
      </c>
      <c r="I872" s="5">
        <v>65000000</v>
      </c>
      <c r="J872" s="5">
        <v>39000</v>
      </c>
      <c r="K872" s="5">
        <v>3900</v>
      </c>
      <c r="L872" s="4" t="s">
        <v>129</v>
      </c>
      <c r="M872" s="4" t="s">
        <v>130</v>
      </c>
      <c r="N872" s="3">
        <v>45884</v>
      </c>
      <c r="O872" s="4" t="s">
        <v>532</v>
      </c>
      <c r="P872" s="2">
        <v>2000</v>
      </c>
      <c r="Q872" s="2">
        <v>3875</v>
      </c>
      <c r="R872" s="4" t="s">
        <v>749</v>
      </c>
      <c r="S872" s="5">
        <v>60417600</v>
      </c>
    </row>
    <row r="873" spans="1:19" x14ac:dyDescent="0.25">
      <c r="A873" s="4" t="s">
        <v>61</v>
      </c>
      <c r="B873" s="4" t="s">
        <v>59</v>
      </c>
      <c r="C873" s="4" t="s">
        <v>62</v>
      </c>
      <c r="D873" s="4" t="s">
        <v>63</v>
      </c>
      <c r="E873" s="4" t="s">
        <v>202</v>
      </c>
      <c r="F873" s="4" t="s">
        <v>203</v>
      </c>
      <c r="G873" s="4" t="s">
        <v>100</v>
      </c>
      <c r="H873" s="4" t="s">
        <v>26</v>
      </c>
      <c r="I873" s="5">
        <v>65000000</v>
      </c>
      <c r="J873" s="5">
        <v>75000</v>
      </c>
      <c r="K873" s="5">
        <v>7500</v>
      </c>
      <c r="L873" s="4" t="s">
        <v>26</v>
      </c>
      <c r="M873" s="4" t="s">
        <v>26</v>
      </c>
      <c r="N873" s="3">
        <v>45877</v>
      </c>
      <c r="O873" s="4" t="s">
        <v>154</v>
      </c>
      <c r="P873" s="2">
        <v>1000</v>
      </c>
      <c r="Q873" s="2">
        <v>3877</v>
      </c>
      <c r="R873" s="4" t="s">
        <v>84</v>
      </c>
      <c r="S873" s="5">
        <v>63226550</v>
      </c>
    </row>
    <row r="874" spans="1:19" x14ac:dyDescent="0.25">
      <c r="A874" s="4" t="s">
        <v>61</v>
      </c>
      <c r="B874" s="4" t="s">
        <v>59</v>
      </c>
      <c r="C874" s="4" t="s">
        <v>62</v>
      </c>
      <c r="D874" s="4" t="s">
        <v>63</v>
      </c>
      <c r="E874" s="4" t="s">
        <v>95</v>
      </c>
      <c r="F874" s="4" t="s">
        <v>96</v>
      </c>
      <c r="G874" s="4" t="s">
        <v>97</v>
      </c>
      <c r="H874" s="4" t="s">
        <v>26</v>
      </c>
      <c r="I874" s="5">
        <v>155000000</v>
      </c>
      <c r="J874" s="5">
        <v>45000</v>
      </c>
      <c r="K874" s="5">
        <v>4500</v>
      </c>
      <c r="L874" s="4" t="s">
        <v>26</v>
      </c>
      <c r="M874" s="4" t="s">
        <v>26</v>
      </c>
      <c r="N874" s="3">
        <v>45885</v>
      </c>
      <c r="O874" s="4" t="s">
        <v>432</v>
      </c>
      <c r="P874" s="2">
        <v>1000</v>
      </c>
      <c r="Q874" s="2">
        <v>3878</v>
      </c>
      <c r="R874" s="4" t="s">
        <v>747</v>
      </c>
      <c r="S874" s="5">
        <v>154473500</v>
      </c>
    </row>
    <row r="875" spans="1:19" x14ac:dyDescent="0.25">
      <c r="A875" s="4" t="s">
        <v>61</v>
      </c>
      <c r="B875" s="4" t="s">
        <v>59</v>
      </c>
      <c r="C875" s="4" t="s">
        <v>62</v>
      </c>
      <c r="D875" s="4" t="s">
        <v>63</v>
      </c>
      <c r="E875" s="4" t="s">
        <v>265</v>
      </c>
      <c r="F875" s="4" t="s">
        <v>266</v>
      </c>
      <c r="G875" s="4" t="s">
        <v>71</v>
      </c>
      <c r="H875" s="4" t="s">
        <v>26</v>
      </c>
      <c r="I875" s="5">
        <v>155000000</v>
      </c>
      <c r="J875" s="5">
        <v>619000</v>
      </c>
      <c r="K875" s="5">
        <v>61900</v>
      </c>
      <c r="L875" s="4" t="s">
        <v>267</v>
      </c>
      <c r="M875" s="4" t="s">
        <v>268</v>
      </c>
      <c r="N875" s="3">
        <v>45880</v>
      </c>
      <c r="O875" s="4" t="s">
        <v>716</v>
      </c>
      <c r="P875" s="2">
        <v>1000</v>
      </c>
      <c r="Q875" s="2">
        <v>3878</v>
      </c>
      <c r="R875" s="4" t="s">
        <v>769</v>
      </c>
      <c r="S875" s="5">
        <v>151606650</v>
      </c>
    </row>
    <row r="876" spans="1:19" x14ac:dyDescent="0.25">
      <c r="A876" s="4" t="s">
        <v>61</v>
      </c>
      <c r="B876" s="4" t="s">
        <v>59</v>
      </c>
      <c r="C876" s="4" t="s">
        <v>62</v>
      </c>
      <c r="D876" s="4" t="s">
        <v>63</v>
      </c>
      <c r="E876" s="4" t="s">
        <v>127</v>
      </c>
      <c r="F876" s="4" t="s">
        <v>128</v>
      </c>
      <c r="G876" s="4" t="s">
        <v>50</v>
      </c>
      <c r="H876" s="4" t="s">
        <v>26</v>
      </c>
      <c r="I876" s="5">
        <v>65000000</v>
      </c>
      <c r="J876" s="5">
        <v>162000</v>
      </c>
      <c r="K876" s="5">
        <v>16200</v>
      </c>
      <c r="L876" s="4" t="s">
        <v>129</v>
      </c>
      <c r="M876" s="4" t="s">
        <v>130</v>
      </c>
      <c r="N876" s="3">
        <v>45884</v>
      </c>
      <c r="O876" s="4" t="s">
        <v>532</v>
      </c>
      <c r="P876" s="2">
        <v>1000</v>
      </c>
      <c r="Q876" s="2">
        <v>3880</v>
      </c>
      <c r="R876" s="4" t="s">
        <v>26</v>
      </c>
      <c r="S876" s="5">
        <v>60417600</v>
      </c>
    </row>
    <row r="877" spans="1:19" x14ac:dyDescent="0.25">
      <c r="A877" s="4" t="s">
        <v>61</v>
      </c>
      <c r="B877" s="4" t="s">
        <v>59</v>
      </c>
      <c r="C877" s="4" t="s">
        <v>62</v>
      </c>
      <c r="D877" s="4" t="s">
        <v>63</v>
      </c>
      <c r="E877" s="4" t="s">
        <v>127</v>
      </c>
      <c r="F877" s="4" t="s">
        <v>128</v>
      </c>
      <c r="G877" s="4" t="s">
        <v>50</v>
      </c>
      <c r="H877" s="4" t="s">
        <v>26</v>
      </c>
      <c r="I877" s="5">
        <v>65000000</v>
      </c>
      <c r="J877" s="5">
        <v>29450</v>
      </c>
      <c r="K877" s="5">
        <v>2945</v>
      </c>
      <c r="L877" s="4" t="s">
        <v>129</v>
      </c>
      <c r="M877" s="4" t="s">
        <v>130</v>
      </c>
      <c r="N877" s="3">
        <v>45884</v>
      </c>
      <c r="O877" s="4" t="s">
        <v>532</v>
      </c>
      <c r="P877" s="2">
        <v>2000</v>
      </c>
      <c r="Q877" s="2">
        <v>3880</v>
      </c>
      <c r="R877" s="4" t="s">
        <v>26</v>
      </c>
      <c r="S877" s="5">
        <v>60417600</v>
      </c>
    </row>
    <row r="878" spans="1:19" x14ac:dyDescent="0.25">
      <c r="A878" s="4" t="s">
        <v>61</v>
      </c>
      <c r="B878" s="4" t="s">
        <v>59</v>
      </c>
      <c r="C878" s="4" t="s">
        <v>62</v>
      </c>
      <c r="D878" s="4" t="s">
        <v>63</v>
      </c>
      <c r="E878" s="4" t="s">
        <v>160</v>
      </c>
      <c r="F878" s="4" t="s">
        <v>161</v>
      </c>
      <c r="G878" s="4" t="s">
        <v>115</v>
      </c>
      <c r="H878" s="4" t="s">
        <v>26</v>
      </c>
      <c r="I878" s="5">
        <v>65000000</v>
      </c>
      <c r="J878" s="5">
        <v>45000</v>
      </c>
      <c r="K878" s="5">
        <v>4500</v>
      </c>
      <c r="L878" s="4" t="s">
        <v>162</v>
      </c>
      <c r="M878" s="4" t="s">
        <v>163</v>
      </c>
      <c r="N878" s="3">
        <v>45879</v>
      </c>
      <c r="O878" s="4" t="s">
        <v>459</v>
      </c>
      <c r="P878" s="2">
        <v>1000</v>
      </c>
      <c r="Q878" s="2">
        <v>3891</v>
      </c>
      <c r="R878" s="4" t="s">
        <v>26</v>
      </c>
      <c r="S878" s="5">
        <v>64250650</v>
      </c>
    </row>
    <row r="879" spans="1:19" x14ac:dyDescent="0.25">
      <c r="A879" s="4" t="s">
        <v>61</v>
      </c>
      <c r="B879" s="4" t="s">
        <v>59</v>
      </c>
      <c r="C879" s="4" t="s">
        <v>62</v>
      </c>
      <c r="D879" s="4" t="s">
        <v>63</v>
      </c>
      <c r="E879" s="4" t="s">
        <v>618</v>
      </c>
      <c r="F879" s="4" t="s">
        <v>619</v>
      </c>
      <c r="G879" s="4" t="s">
        <v>381</v>
      </c>
      <c r="H879" s="4" t="s">
        <v>26</v>
      </c>
      <c r="I879" s="5">
        <v>90000000</v>
      </c>
      <c r="J879" s="5">
        <v>275000</v>
      </c>
      <c r="K879" s="5">
        <v>27500</v>
      </c>
      <c r="L879" s="4" t="s">
        <v>322</v>
      </c>
      <c r="M879" s="4" t="s">
        <v>323</v>
      </c>
      <c r="N879" s="3">
        <v>45900</v>
      </c>
      <c r="O879" s="4" t="s">
        <v>698</v>
      </c>
      <c r="P879" s="2">
        <v>1000</v>
      </c>
      <c r="Q879" s="2">
        <v>3891</v>
      </c>
      <c r="R879" s="4" t="s">
        <v>769</v>
      </c>
      <c r="S879" s="5">
        <v>88531800</v>
      </c>
    </row>
    <row r="880" spans="1:19" x14ac:dyDescent="0.25">
      <c r="A880" s="4" t="s">
        <v>61</v>
      </c>
      <c r="B880" s="4" t="s">
        <v>59</v>
      </c>
      <c r="C880" s="4" t="s">
        <v>62</v>
      </c>
      <c r="D880" s="4" t="s">
        <v>63</v>
      </c>
      <c r="E880" s="4" t="s">
        <v>263</v>
      </c>
      <c r="F880" s="4" t="s">
        <v>264</v>
      </c>
      <c r="G880" s="4" t="s">
        <v>81</v>
      </c>
      <c r="H880" s="4" t="s">
        <v>26</v>
      </c>
      <c r="I880" s="5">
        <v>65000000</v>
      </c>
      <c r="J880" s="5">
        <v>2000000</v>
      </c>
      <c r="K880" s="5">
        <v>200000</v>
      </c>
      <c r="L880" s="4" t="s">
        <v>26</v>
      </c>
      <c r="M880" s="4" t="s">
        <v>26</v>
      </c>
      <c r="N880" s="3">
        <v>45889</v>
      </c>
      <c r="O880" s="4" t="s">
        <v>662</v>
      </c>
      <c r="P880" s="2">
        <v>1000</v>
      </c>
      <c r="Q880" s="2">
        <v>3902</v>
      </c>
      <c r="R880" s="4" t="s">
        <v>746</v>
      </c>
      <c r="S880" s="5">
        <v>54808900</v>
      </c>
    </row>
    <row r="881" spans="1:19" x14ac:dyDescent="0.25">
      <c r="A881" s="4" t="s">
        <v>61</v>
      </c>
      <c r="B881" s="4" t="s">
        <v>59</v>
      </c>
      <c r="C881" s="4" t="s">
        <v>62</v>
      </c>
      <c r="D881" s="4" t="s">
        <v>63</v>
      </c>
      <c r="E881" s="4" t="s">
        <v>92</v>
      </c>
      <c r="F881" s="4" t="s">
        <v>93</v>
      </c>
      <c r="G881" s="4" t="s">
        <v>94</v>
      </c>
      <c r="H881" s="4" t="s">
        <v>26</v>
      </c>
      <c r="I881" s="5">
        <v>155000000</v>
      </c>
      <c r="J881" s="5">
        <v>31200</v>
      </c>
      <c r="K881" s="5">
        <v>3120</v>
      </c>
      <c r="L881" s="4" t="s">
        <v>26</v>
      </c>
      <c r="M881" s="4" t="s">
        <v>26</v>
      </c>
      <c r="N881" s="3">
        <v>45881</v>
      </c>
      <c r="O881" s="4" t="s">
        <v>565</v>
      </c>
      <c r="P881" s="2">
        <v>1000</v>
      </c>
      <c r="Q881" s="2">
        <v>3915</v>
      </c>
      <c r="R881" s="4" t="s">
        <v>749</v>
      </c>
      <c r="S881" s="5">
        <v>145558700</v>
      </c>
    </row>
    <row r="882" spans="1:19" x14ac:dyDescent="0.25">
      <c r="A882" s="4" t="s">
        <v>61</v>
      </c>
      <c r="B882" s="4" t="s">
        <v>59</v>
      </c>
      <c r="C882" s="4" t="s">
        <v>62</v>
      </c>
      <c r="D882" s="4" t="s">
        <v>63</v>
      </c>
      <c r="E882" s="4" t="s">
        <v>69</v>
      </c>
      <c r="F882" s="4" t="s">
        <v>70</v>
      </c>
      <c r="G882" s="4" t="s">
        <v>71</v>
      </c>
      <c r="H882" s="4" t="s">
        <v>26</v>
      </c>
      <c r="I882" s="5">
        <v>155000000</v>
      </c>
      <c r="J882" s="5">
        <v>29500</v>
      </c>
      <c r="K882" s="5">
        <v>2950</v>
      </c>
      <c r="L882" s="4" t="s">
        <v>72</v>
      </c>
      <c r="M882" s="4" t="s">
        <v>73</v>
      </c>
      <c r="N882" s="3">
        <v>45881</v>
      </c>
      <c r="O882" s="4" t="s">
        <v>565</v>
      </c>
      <c r="P882" s="2">
        <v>1000</v>
      </c>
      <c r="Q882" s="2">
        <v>3922</v>
      </c>
      <c r="R882" s="4" t="s">
        <v>26</v>
      </c>
      <c r="S882" s="5">
        <v>143018000</v>
      </c>
    </row>
    <row r="883" spans="1:19" x14ac:dyDescent="0.25">
      <c r="A883" s="4" t="s">
        <v>61</v>
      </c>
      <c r="B883" s="4" t="s">
        <v>59</v>
      </c>
      <c r="C883" s="4" t="s">
        <v>62</v>
      </c>
      <c r="D883" s="4" t="s">
        <v>63</v>
      </c>
      <c r="E883" s="4" t="s">
        <v>301</v>
      </c>
      <c r="F883" s="4" t="s">
        <v>302</v>
      </c>
      <c r="G883" s="4" t="s">
        <v>157</v>
      </c>
      <c r="H883" s="4" t="s">
        <v>26</v>
      </c>
      <c r="I883" s="5">
        <v>90000000</v>
      </c>
      <c r="J883" s="5">
        <v>720000</v>
      </c>
      <c r="K883" s="5">
        <v>72000</v>
      </c>
      <c r="L883" s="4" t="s">
        <v>257</v>
      </c>
      <c r="M883" s="4" t="s">
        <v>258</v>
      </c>
      <c r="N883" s="3">
        <v>45900</v>
      </c>
      <c r="O883" s="4" t="s">
        <v>605</v>
      </c>
      <c r="P883" s="2">
        <v>1000</v>
      </c>
      <c r="Q883" s="2">
        <v>3925</v>
      </c>
      <c r="R883" s="4" t="s">
        <v>756</v>
      </c>
      <c r="S883" s="5">
        <v>86019450</v>
      </c>
    </row>
    <row r="884" spans="1:19" x14ac:dyDescent="0.25">
      <c r="A884" s="4" t="s">
        <v>61</v>
      </c>
      <c r="B884" s="4" t="s">
        <v>59</v>
      </c>
      <c r="C884" s="4" t="s">
        <v>62</v>
      </c>
      <c r="D884" s="4" t="s">
        <v>63</v>
      </c>
      <c r="E884" s="4" t="s">
        <v>92</v>
      </c>
      <c r="F884" s="4" t="s">
        <v>93</v>
      </c>
      <c r="G884" s="4" t="s">
        <v>94</v>
      </c>
      <c r="H884" s="4" t="s">
        <v>26</v>
      </c>
      <c r="I884" s="5">
        <v>155000000</v>
      </c>
      <c r="J884" s="5">
        <v>31200</v>
      </c>
      <c r="K884" s="5">
        <v>3120</v>
      </c>
      <c r="L884" s="4" t="s">
        <v>26</v>
      </c>
      <c r="M884" s="4" t="s">
        <v>26</v>
      </c>
      <c r="N884" s="3">
        <v>45879</v>
      </c>
      <c r="O884" s="4" t="s">
        <v>51</v>
      </c>
      <c r="P884" s="2">
        <v>1000</v>
      </c>
      <c r="Q884" s="2">
        <v>3927</v>
      </c>
      <c r="R884" s="4" t="s">
        <v>749</v>
      </c>
      <c r="S884" s="5">
        <v>145558700</v>
      </c>
    </row>
    <row r="885" spans="1:19" x14ac:dyDescent="0.25">
      <c r="A885" s="4" t="s">
        <v>61</v>
      </c>
      <c r="B885" s="4" t="s">
        <v>59</v>
      </c>
      <c r="C885" s="4" t="s">
        <v>62</v>
      </c>
      <c r="D885" s="4" t="s">
        <v>63</v>
      </c>
      <c r="E885" s="4" t="s">
        <v>111</v>
      </c>
      <c r="F885" s="4" t="s">
        <v>112</v>
      </c>
      <c r="G885" s="4" t="s">
        <v>81</v>
      </c>
      <c r="H885" s="4" t="s">
        <v>26</v>
      </c>
      <c r="I885" s="5">
        <v>65000000</v>
      </c>
      <c r="J885" s="5">
        <v>96000</v>
      </c>
      <c r="K885" s="5">
        <v>9600</v>
      </c>
      <c r="L885" s="4" t="s">
        <v>242</v>
      </c>
      <c r="M885" s="4" t="s">
        <v>243</v>
      </c>
      <c r="N885" s="3">
        <v>45899</v>
      </c>
      <c r="O885" s="4" t="s">
        <v>732</v>
      </c>
      <c r="P885" s="2">
        <v>1000</v>
      </c>
      <c r="Q885" s="2">
        <v>3946</v>
      </c>
      <c r="R885" s="4" t="s">
        <v>604</v>
      </c>
      <c r="S885" s="5">
        <v>61345000</v>
      </c>
    </row>
    <row r="886" spans="1:19" x14ac:dyDescent="0.25">
      <c r="A886" s="4" t="s">
        <v>61</v>
      </c>
      <c r="B886" s="4" t="s">
        <v>59</v>
      </c>
      <c r="C886" s="4" t="s">
        <v>62</v>
      </c>
      <c r="D886" s="4" t="s">
        <v>63</v>
      </c>
      <c r="E886" s="4" t="s">
        <v>111</v>
      </c>
      <c r="F886" s="4" t="s">
        <v>112</v>
      </c>
      <c r="G886" s="4" t="s">
        <v>81</v>
      </c>
      <c r="H886" s="4" t="s">
        <v>26</v>
      </c>
      <c r="I886" s="5">
        <v>65000000</v>
      </c>
      <c r="J886" s="5">
        <v>196000</v>
      </c>
      <c r="K886" s="5">
        <v>19600</v>
      </c>
      <c r="L886" s="4" t="s">
        <v>242</v>
      </c>
      <c r="M886" s="4" t="s">
        <v>243</v>
      </c>
      <c r="N886" s="3">
        <v>45899</v>
      </c>
      <c r="O886" s="4" t="s">
        <v>732</v>
      </c>
      <c r="P886" s="2">
        <v>2000</v>
      </c>
      <c r="Q886" s="2">
        <v>3946</v>
      </c>
      <c r="R886" s="4" t="s">
        <v>604</v>
      </c>
      <c r="S886" s="5">
        <v>61345000</v>
      </c>
    </row>
    <row r="887" spans="1:19" x14ac:dyDescent="0.25">
      <c r="A887" s="4" t="s">
        <v>61</v>
      </c>
      <c r="B887" s="4" t="s">
        <v>59</v>
      </c>
      <c r="C887" s="4" t="s">
        <v>62</v>
      </c>
      <c r="D887" s="4" t="s">
        <v>63</v>
      </c>
      <c r="E887" s="4" t="s">
        <v>178</v>
      </c>
      <c r="F887" s="4" t="s">
        <v>179</v>
      </c>
      <c r="G887" s="4" t="s">
        <v>124</v>
      </c>
      <c r="H887" s="4" t="s">
        <v>26</v>
      </c>
      <c r="I887" s="5">
        <v>65000000</v>
      </c>
      <c r="J887" s="5">
        <v>167500</v>
      </c>
      <c r="K887" s="5">
        <v>16750</v>
      </c>
      <c r="L887" s="4" t="s">
        <v>214</v>
      </c>
      <c r="M887" s="4" t="s">
        <v>215</v>
      </c>
      <c r="N887" s="3">
        <v>45899</v>
      </c>
      <c r="O887" s="4" t="s">
        <v>732</v>
      </c>
      <c r="P887" s="2">
        <v>1000</v>
      </c>
      <c r="Q887" s="2">
        <v>3948</v>
      </c>
      <c r="R887" s="4" t="s">
        <v>756</v>
      </c>
      <c r="S887" s="5">
        <v>54146650</v>
      </c>
    </row>
    <row r="888" spans="1:19" x14ac:dyDescent="0.25">
      <c r="A888" s="4" t="s">
        <v>61</v>
      </c>
      <c r="B888" s="4" t="s">
        <v>59</v>
      </c>
      <c r="C888" s="4" t="s">
        <v>62</v>
      </c>
      <c r="D888" s="4" t="s">
        <v>63</v>
      </c>
      <c r="E888" s="4" t="s">
        <v>178</v>
      </c>
      <c r="F888" s="4" t="s">
        <v>179</v>
      </c>
      <c r="G888" s="4" t="s">
        <v>124</v>
      </c>
      <c r="H888" s="4" t="s">
        <v>26</v>
      </c>
      <c r="I888" s="5">
        <v>65000000</v>
      </c>
      <c r="J888" s="5">
        <v>97500</v>
      </c>
      <c r="K888" s="5">
        <v>9750</v>
      </c>
      <c r="L888" s="4" t="s">
        <v>214</v>
      </c>
      <c r="M888" s="4" t="s">
        <v>215</v>
      </c>
      <c r="N888" s="3">
        <v>45899</v>
      </c>
      <c r="O888" s="4" t="s">
        <v>732</v>
      </c>
      <c r="P888" s="2">
        <v>2000</v>
      </c>
      <c r="Q888" s="2">
        <v>3948</v>
      </c>
      <c r="R888" s="4" t="s">
        <v>756</v>
      </c>
      <c r="S888" s="5">
        <v>54146650</v>
      </c>
    </row>
    <row r="889" spans="1:19" x14ac:dyDescent="0.25">
      <c r="A889" s="4" t="s">
        <v>61</v>
      </c>
      <c r="B889" s="4" t="s">
        <v>59</v>
      </c>
      <c r="C889" s="4" t="s">
        <v>62</v>
      </c>
      <c r="D889" s="4" t="s">
        <v>63</v>
      </c>
      <c r="E889" s="4" t="s">
        <v>178</v>
      </c>
      <c r="F889" s="4" t="s">
        <v>179</v>
      </c>
      <c r="G889" s="4" t="s">
        <v>124</v>
      </c>
      <c r="H889" s="4" t="s">
        <v>26</v>
      </c>
      <c r="I889" s="5">
        <v>65000000</v>
      </c>
      <c r="J889" s="5">
        <v>196000</v>
      </c>
      <c r="K889" s="5">
        <v>19600</v>
      </c>
      <c r="L889" s="4" t="s">
        <v>214</v>
      </c>
      <c r="M889" s="4" t="s">
        <v>215</v>
      </c>
      <c r="N889" s="3">
        <v>45899</v>
      </c>
      <c r="O889" s="4" t="s">
        <v>732</v>
      </c>
      <c r="P889" s="2">
        <v>3000</v>
      </c>
      <c r="Q889" s="2">
        <v>3948</v>
      </c>
      <c r="R889" s="4" t="s">
        <v>604</v>
      </c>
      <c r="S889" s="5">
        <v>54146650</v>
      </c>
    </row>
    <row r="890" spans="1:19" x14ac:dyDescent="0.25">
      <c r="A890" s="4" t="s">
        <v>61</v>
      </c>
      <c r="B890" s="4" t="s">
        <v>59</v>
      </c>
      <c r="C890" s="4" t="s">
        <v>62</v>
      </c>
      <c r="D890" s="4" t="s">
        <v>63</v>
      </c>
      <c r="E890" s="4" t="s">
        <v>111</v>
      </c>
      <c r="F890" s="4" t="s">
        <v>112</v>
      </c>
      <c r="G890" s="4" t="s">
        <v>81</v>
      </c>
      <c r="H890" s="4" t="s">
        <v>26</v>
      </c>
      <c r="I890" s="5">
        <v>65000000</v>
      </c>
      <c r="J890" s="5">
        <v>75000</v>
      </c>
      <c r="K890" s="5">
        <v>7500</v>
      </c>
      <c r="L890" s="4" t="s">
        <v>242</v>
      </c>
      <c r="M890" s="4" t="s">
        <v>243</v>
      </c>
      <c r="N890" s="3">
        <v>45899</v>
      </c>
      <c r="O890" s="4" t="s">
        <v>732</v>
      </c>
      <c r="P890" s="2">
        <v>1000</v>
      </c>
      <c r="Q890" s="2">
        <v>3949</v>
      </c>
      <c r="R890" s="4" t="s">
        <v>604</v>
      </c>
      <c r="S890" s="5">
        <v>61345000</v>
      </c>
    </row>
    <row r="891" spans="1:19" x14ac:dyDescent="0.25">
      <c r="A891" s="4" t="s">
        <v>61</v>
      </c>
      <c r="B891" s="4" t="s">
        <v>59</v>
      </c>
      <c r="C891" s="4" t="s">
        <v>62</v>
      </c>
      <c r="D891" s="4" t="s">
        <v>63</v>
      </c>
      <c r="E891" s="4" t="s">
        <v>111</v>
      </c>
      <c r="F891" s="4" t="s">
        <v>112</v>
      </c>
      <c r="G891" s="4" t="s">
        <v>81</v>
      </c>
      <c r="H891" s="4" t="s">
        <v>26</v>
      </c>
      <c r="I891" s="5">
        <v>65000000</v>
      </c>
      <c r="J891" s="5">
        <v>75000</v>
      </c>
      <c r="K891" s="5">
        <v>7500</v>
      </c>
      <c r="L891" s="4" t="s">
        <v>242</v>
      </c>
      <c r="M891" s="4" t="s">
        <v>243</v>
      </c>
      <c r="N891" s="3">
        <v>45899</v>
      </c>
      <c r="O891" s="4" t="s">
        <v>732</v>
      </c>
      <c r="P891" s="2">
        <v>2000</v>
      </c>
      <c r="Q891" s="2">
        <v>3949</v>
      </c>
      <c r="R891" s="4" t="s">
        <v>604</v>
      </c>
      <c r="S891" s="5">
        <v>61345000</v>
      </c>
    </row>
    <row r="892" spans="1:19" x14ac:dyDescent="0.25">
      <c r="A892" s="4" t="s">
        <v>61</v>
      </c>
      <c r="B892" s="4" t="s">
        <v>59</v>
      </c>
      <c r="C892" s="4" t="s">
        <v>62</v>
      </c>
      <c r="D892" s="4" t="s">
        <v>63</v>
      </c>
      <c r="E892" s="4" t="s">
        <v>111</v>
      </c>
      <c r="F892" s="4" t="s">
        <v>112</v>
      </c>
      <c r="G892" s="4" t="s">
        <v>81</v>
      </c>
      <c r="H892" s="4" t="s">
        <v>26</v>
      </c>
      <c r="I892" s="5">
        <v>65000000</v>
      </c>
      <c r="J892" s="5">
        <v>82500</v>
      </c>
      <c r="K892" s="5">
        <v>8250</v>
      </c>
      <c r="L892" s="4" t="s">
        <v>242</v>
      </c>
      <c r="M892" s="4" t="s">
        <v>243</v>
      </c>
      <c r="N892" s="3">
        <v>45899</v>
      </c>
      <c r="O892" s="4" t="s">
        <v>732</v>
      </c>
      <c r="P892" s="2">
        <v>3000</v>
      </c>
      <c r="Q892" s="2">
        <v>3949</v>
      </c>
      <c r="R892" s="4" t="s">
        <v>604</v>
      </c>
      <c r="S892" s="5">
        <v>61345000</v>
      </c>
    </row>
    <row r="893" spans="1:19" x14ac:dyDescent="0.25">
      <c r="A893" s="4" t="s">
        <v>61</v>
      </c>
      <c r="B893" s="4" t="s">
        <v>59</v>
      </c>
      <c r="C893" s="4" t="s">
        <v>62</v>
      </c>
      <c r="D893" s="4" t="s">
        <v>63</v>
      </c>
      <c r="E893" s="4" t="s">
        <v>92</v>
      </c>
      <c r="F893" s="4" t="s">
        <v>93</v>
      </c>
      <c r="G893" s="4" t="s">
        <v>94</v>
      </c>
      <c r="H893" s="4" t="s">
        <v>26</v>
      </c>
      <c r="I893" s="5">
        <v>155000000</v>
      </c>
      <c r="J893" s="5">
        <v>115200</v>
      </c>
      <c r="K893" s="5">
        <v>11520</v>
      </c>
      <c r="L893" s="4" t="s">
        <v>26</v>
      </c>
      <c r="M893" s="4" t="s">
        <v>26</v>
      </c>
      <c r="N893" s="3">
        <v>45886</v>
      </c>
      <c r="O893" s="4" t="s">
        <v>283</v>
      </c>
      <c r="P893" s="2">
        <v>1000</v>
      </c>
      <c r="Q893" s="2">
        <v>3966</v>
      </c>
      <c r="R893" s="4" t="s">
        <v>755</v>
      </c>
      <c r="S893" s="5">
        <v>145558700</v>
      </c>
    </row>
    <row r="894" spans="1:19" x14ac:dyDescent="0.25">
      <c r="A894" s="4" t="s">
        <v>61</v>
      </c>
      <c r="B894" s="4" t="s">
        <v>59</v>
      </c>
      <c r="C894" s="4" t="s">
        <v>62</v>
      </c>
      <c r="D894" s="4" t="s">
        <v>63</v>
      </c>
      <c r="E894" s="4" t="s">
        <v>348</v>
      </c>
      <c r="F894" s="4" t="s">
        <v>349</v>
      </c>
      <c r="G894" s="4" t="s">
        <v>100</v>
      </c>
      <c r="H894" s="4" t="s">
        <v>26</v>
      </c>
      <c r="I894" s="5">
        <v>65000000</v>
      </c>
      <c r="J894" s="5">
        <v>75000</v>
      </c>
      <c r="K894" s="5">
        <v>7500</v>
      </c>
      <c r="L894" s="4" t="s">
        <v>566</v>
      </c>
      <c r="M894" s="4" t="s">
        <v>567</v>
      </c>
      <c r="N894" s="3">
        <v>45899</v>
      </c>
      <c r="O894" s="4" t="s">
        <v>732</v>
      </c>
      <c r="P894" s="2">
        <v>1000</v>
      </c>
      <c r="Q894" s="2">
        <v>3966</v>
      </c>
      <c r="R894" s="4" t="s">
        <v>604</v>
      </c>
      <c r="S894" s="5">
        <v>64076500</v>
      </c>
    </row>
    <row r="895" spans="1:19" x14ac:dyDescent="0.25">
      <c r="A895" s="4" t="s">
        <v>61</v>
      </c>
      <c r="B895" s="4" t="s">
        <v>59</v>
      </c>
      <c r="C895" s="4" t="s">
        <v>62</v>
      </c>
      <c r="D895" s="4" t="s">
        <v>63</v>
      </c>
      <c r="E895" s="4" t="s">
        <v>348</v>
      </c>
      <c r="F895" s="4" t="s">
        <v>349</v>
      </c>
      <c r="G895" s="4" t="s">
        <v>100</v>
      </c>
      <c r="H895" s="4" t="s">
        <v>26</v>
      </c>
      <c r="I895" s="5">
        <v>65000000</v>
      </c>
      <c r="J895" s="5">
        <v>75000</v>
      </c>
      <c r="K895" s="5">
        <v>7500</v>
      </c>
      <c r="L895" s="4" t="s">
        <v>566</v>
      </c>
      <c r="M895" s="4" t="s">
        <v>567</v>
      </c>
      <c r="N895" s="3">
        <v>45899</v>
      </c>
      <c r="O895" s="4" t="s">
        <v>732</v>
      </c>
      <c r="P895" s="2">
        <v>2000</v>
      </c>
      <c r="Q895" s="2">
        <v>3966</v>
      </c>
      <c r="R895" s="4" t="s">
        <v>604</v>
      </c>
      <c r="S895" s="5">
        <v>64076500</v>
      </c>
    </row>
    <row r="896" spans="1:19" x14ac:dyDescent="0.25">
      <c r="A896" s="4" t="s">
        <v>61</v>
      </c>
      <c r="B896" s="4" t="s">
        <v>59</v>
      </c>
      <c r="C896" s="4" t="s">
        <v>62</v>
      </c>
      <c r="D896" s="4" t="s">
        <v>63</v>
      </c>
      <c r="E896" s="4" t="s">
        <v>193</v>
      </c>
      <c r="F896" s="4" t="s">
        <v>194</v>
      </c>
      <c r="G896" s="4" t="s">
        <v>105</v>
      </c>
      <c r="H896" s="4" t="s">
        <v>26</v>
      </c>
      <c r="I896" s="5">
        <v>155000000</v>
      </c>
      <c r="J896" s="5">
        <v>61600</v>
      </c>
      <c r="K896" s="5">
        <v>6160</v>
      </c>
      <c r="L896" s="4" t="s">
        <v>195</v>
      </c>
      <c r="M896" s="4" t="s">
        <v>196</v>
      </c>
      <c r="N896" s="3">
        <v>45879</v>
      </c>
      <c r="O896" s="4" t="s">
        <v>459</v>
      </c>
      <c r="P896" s="2">
        <v>1000</v>
      </c>
      <c r="Q896" s="2">
        <v>3967</v>
      </c>
      <c r="R896" s="4" t="s">
        <v>26</v>
      </c>
      <c r="S896" s="5">
        <v>149540330</v>
      </c>
    </row>
    <row r="897" spans="1:19" x14ac:dyDescent="0.25">
      <c r="A897" s="4" t="s">
        <v>61</v>
      </c>
      <c r="B897" s="4" t="s">
        <v>59</v>
      </c>
      <c r="C897" s="4" t="s">
        <v>62</v>
      </c>
      <c r="D897" s="4" t="s">
        <v>63</v>
      </c>
      <c r="E897" s="4" t="s">
        <v>210</v>
      </c>
      <c r="F897" s="4" t="s">
        <v>211</v>
      </c>
      <c r="G897" s="4" t="s">
        <v>50</v>
      </c>
      <c r="H897" s="4" t="s">
        <v>26</v>
      </c>
      <c r="I897" s="5">
        <v>65000000</v>
      </c>
      <c r="J897" s="5">
        <v>47500</v>
      </c>
      <c r="K897" s="5">
        <v>4750</v>
      </c>
      <c r="L897" s="4" t="s">
        <v>566</v>
      </c>
      <c r="M897" s="4" t="s">
        <v>567</v>
      </c>
      <c r="N897" s="3">
        <v>45899</v>
      </c>
      <c r="O897" s="4" t="s">
        <v>732</v>
      </c>
      <c r="P897" s="2">
        <v>1000</v>
      </c>
      <c r="Q897" s="2">
        <v>3967</v>
      </c>
      <c r="R897" s="4" t="s">
        <v>26</v>
      </c>
      <c r="S897" s="5">
        <v>63482950</v>
      </c>
    </row>
    <row r="898" spans="1:19" x14ac:dyDescent="0.25">
      <c r="A898" s="4" t="s">
        <v>61</v>
      </c>
      <c r="B898" s="4" t="s">
        <v>59</v>
      </c>
      <c r="C898" s="4" t="s">
        <v>62</v>
      </c>
      <c r="D898" s="4" t="s">
        <v>63</v>
      </c>
      <c r="E898" s="4" t="s">
        <v>193</v>
      </c>
      <c r="F898" s="4" t="s">
        <v>194</v>
      </c>
      <c r="G898" s="4" t="s">
        <v>105</v>
      </c>
      <c r="H898" s="4" t="s">
        <v>26</v>
      </c>
      <c r="I898" s="5">
        <v>155000000</v>
      </c>
      <c r="J898" s="5">
        <v>14000</v>
      </c>
      <c r="K898" s="5">
        <v>1400</v>
      </c>
      <c r="L898" s="4" t="s">
        <v>195</v>
      </c>
      <c r="M898" s="4" t="s">
        <v>196</v>
      </c>
      <c r="N898" s="3">
        <v>45879</v>
      </c>
      <c r="O898" s="4" t="s">
        <v>459</v>
      </c>
      <c r="P898" s="2">
        <v>2000</v>
      </c>
      <c r="Q898" s="2">
        <v>3967</v>
      </c>
      <c r="R898" s="4" t="s">
        <v>26</v>
      </c>
      <c r="S898" s="5">
        <v>149540330</v>
      </c>
    </row>
    <row r="899" spans="1:19" x14ac:dyDescent="0.25">
      <c r="A899" s="4" t="s">
        <v>61</v>
      </c>
      <c r="B899" s="4" t="s">
        <v>59</v>
      </c>
      <c r="C899" s="4" t="s">
        <v>62</v>
      </c>
      <c r="D899" s="4" t="s">
        <v>63</v>
      </c>
      <c r="E899" s="4" t="s">
        <v>210</v>
      </c>
      <c r="F899" s="4" t="s">
        <v>211</v>
      </c>
      <c r="G899" s="4" t="s">
        <v>50</v>
      </c>
      <c r="H899" s="4" t="s">
        <v>26</v>
      </c>
      <c r="I899" s="5">
        <v>65000000</v>
      </c>
      <c r="J899" s="5">
        <v>47500</v>
      </c>
      <c r="K899" s="5">
        <v>4750</v>
      </c>
      <c r="L899" s="4" t="s">
        <v>566</v>
      </c>
      <c r="M899" s="4" t="s">
        <v>567</v>
      </c>
      <c r="N899" s="3">
        <v>45899</v>
      </c>
      <c r="O899" s="4" t="s">
        <v>732</v>
      </c>
      <c r="P899" s="2">
        <v>2000</v>
      </c>
      <c r="Q899" s="2">
        <v>3967</v>
      </c>
      <c r="R899" s="4" t="s">
        <v>26</v>
      </c>
      <c r="S899" s="5">
        <v>63482950</v>
      </c>
    </row>
    <row r="900" spans="1:19" x14ac:dyDescent="0.25">
      <c r="A900" s="4" t="s">
        <v>61</v>
      </c>
      <c r="B900" s="4" t="s">
        <v>59</v>
      </c>
      <c r="C900" s="4" t="s">
        <v>62</v>
      </c>
      <c r="D900" s="4" t="s">
        <v>63</v>
      </c>
      <c r="E900" s="4" t="s">
        <v>568</v>
      </c>
      <c r="F900" s="4" t="s">
        <v>569</v>
      </c>
      <c r="G900" s="4" t="s">
        <v>199</v>
      </c>
      <c r="H900" s="4" t="s">
        <v>26</v>
      </c>
      <c r="I900" s="5">
        <v>65000000</v>
      </c>
      <c r="J900" s="5">
        <v>70400</v>
      </c>
      <c r="K900" s="5">
        <v>7040</v>
      </c>
      <c r="L900" s="4" t="s">
        <v>26</v>
      </c>
      <c r="M900" s="4" t="s">
        <v>26</v>
      </c>
      <c r="N900" s="3">
        <v>45881</v>
      </c>
      <c r="O900" s="4" t="s">
        <v>565</v>
      </c>
      <c r="P900" s="2">
        <v>1000</v>
      </c>
      <c r="Q900" s="2">
        <v>3971</v>
      </c>
      <c r="R900" s="4" t="s">
        <v>747</v>
      </c>
      <c r="S900" s="5">
        <v>60252900</v>
      </c>
    </row>
    <row r="901" spans="1:19" x14ac:dyDescent="0.25">
      <c r="A901" s="4" t="s">
        <v>61</v>
      </c>
      <c r="B901" s="4" t="s">
        <v>59</v>
      </c>
      <c r="C901" s="4" t="s">
        <v>62</v>
      </c>
      <c r="D901" s="4" t="s">
        <v>63</v>
      </c>
      <c r="E901" s="4" t="s">
        <v>622</v>
      </c>
      <c r="F901" s="4" t="s">
        <v>623</v>
      </c>
      <c r="G901" s="4" t="s">
        <v>157</v>
      </c>
      <c r="H901" s="4" t="s">
        <v>26</v>
      </c>
      <c r="I901" s="5">
        <v>90000000</v>
      </c>
      <c r="J901" s="5">
        <v>480000</v>
      </c>
      <c r="K901" s="5">
        <v>48000</v>
      </c>
      <c r="L901" s="4" t="s">
        <v>624</v>
      </c>
      <c r="M901" s="4" t="s">
        <v>625</v>
      </c>
      <c r="N901" s="3">
        <v>45900</v>
      </c>
      <c r="O901" s="4" t="s">
        <v>605</v>
      </c>
      <c r="P901" s="2">
        <v>1000</v>
      </c>
      <c r="Q901" s="2">
        <v>3986</v>
      </c>
      <c r="R901" s="4" t="s">
        <v>756</v>
      </c>
      <c r="S901" s="5">
        <v>89520000</v>
      </c>
    </row>
    <row r="902" spans="1:19" x14ac:dyDescent="0.25">
      <c r="A902" s="4" t="s">
        <v>61</v>
      </c>
      <c r="B902" s="4" t="s">
        <v>59</v>
      </c>
      <c r="C902" s="4" t="s">
        <v>62</v>
      </c>
      <c r="D902" s="4" t="s">
        <v>63</v>
      </c>
      <c r="E902" s="4" t="s">
        <v>142</v>
      </c>
      <c r="F902" s="4" t="s">
        <v>143</v>
      </c>
      <c r="G902" s="4" t="s">
        <v>144</v>
      </c>
      <c r="H902" s="4" t="s">
        <v>26</v>
      </c>
      <c r="I902" s="5">
        <v>90000000</v>
      </c>
      <c r="J902" s="5">
        <v>82600</v>
      </c>
      <c r="K902" s="5">
        <v>8260</v>
      </c>
      <c r="L902" s="4" t="s">
        <v>72</v>
      </c>
      <c r="M902" s="4" t="s">
        <v>73</v>
      </c>
      <c r="N902" s="3">
        <v>45881</v>
      </c>
      <c r="O902" s="4" t="s">
        <v>565</v>
      </c>
      <c r="P902" s="2">
        <v>1000</v>
      </c>
      <c r="Q902" s="2">
        <v>4008</v>
      </c>
      <c r="R902" s="4" t="s">
        <v>749</v>
      </c>
      <c r="S902" s="5">
        <v>83720070</v>
      </c>
    </row>
    <row r="903" spans="1:19" x14ac:dyDescent="0.25">
      <c r="A903" s="4" t="s">
        <v>61</v>
      </c>
      <c r="B903" s="4" t="s">
        <v>59</v>
      </c>
      <c r="C903" s="4" t="s">
        <v>62</v>
      </c>
      <c r="D903" s="4" t="s">
        <v>63</v>
      </c>
      <c r="E903" s="4" t="s">
        <v>422</v>
      </c>
      <c r="F903" s="4" t="s">
        <v>423</v>
      </c>
      <c r="G903" s="4" t="s">
        <v>124</v>
      </c>
      <c r="H903" s="4" t="s">
        <v>26</v>
      </c>
      <c r="I903" s="5">
        <v>65000000</v>
      </c>
      <c r="J903" s="5">
        <v>40000</v>
      </c>
      <c r="K903" s="5">
        <v>4000</v>
      </c>
      <c r="L903" s="4" t="s">
        <v>26</v>
      </c>
      <c r="M903" s="4" t="s">
        <v>26</v>
      </c>
      <c r="N903" s="3">
        <v>45880</v>
      </c>
      <c r="O903" s="4" t="s">
        <v>416</v>
      </c>
      <c r="P903" s="2">
        <v>1000</v>
      </c>
      <c r="Q903" s="2">
        <v>4012</v>
      </c>
      <c r="R903" s="4" t="s">
        <v>84</v>
      </c>
      <c r="S903" s="5">
        <v>63183000</v>
      </c>
    </row>
    <row r="904" spans="1:19" x14ac:dyDescent="0.25">
      <c r="A904" s="4" t="s">
        <v>61</v>
      </c>
      <c r="B904" s="4" t="s">
        <v>59</v>
      </c>
      <c r="C904" s="4" t="s">
        <v>62</v>
      </c>
      <c r="D904" s="4" t="s">
        <v>63</v>
      </c>
      <c r="E904" s="4" t="s">
        <v>422</v>
      </c>
      <c r="F904" s="4" t="s">
        <v>423</v>
      </c>
      <c r="G904" s="4" t="s">
        <v>124</v>
      </c>
      <c r="H904" s="4" t="s">
        <v>26</v>
      </c>
      <c r="I904" s="5">
        <v>65000000</v>
      </c>
      <c r="J904" s="5">
        <v>40000</v>
      </c>
      <c r="K904" s="5">
        <v>4000</v>
      </c>
      <c r="L904" s="4" t="s">
        <v>26</v>
      </c>
      <c r="M904" s="4" t="s">
        <v>26</v>
      </c>
      <c r="N904" s="3">
        <v>45880</v>
      </c>
      <c r="O904" s="4" t="s">
        <v>416</v>
      </c>
      <c r="P904" s="2">
        <v>2000</v>
      </c>
      <c r="Q904" s="2">
        <v>4012</v>
      </c>
      <c r="R904" s="4" t="s">
        <v>747</v>
      </c>
      <c r="S904" s="5">
        <v>63183000</v>
      </c>
    </row>
    <row r="905" spans="1:19" x14ac:dyDescent="0.25">
      <c r="A905" s="4" t="s">
        <v>61</v>
      </c>
      <c r="B905" s="4" t="s">
        <v>59</v>
      </c>
      <c r="C905" s="4" t="s">
        <v>62</v>
      </c>
      <c r="D905" s="4" t="s">
        <v>63</v>
      </c>
      <c r="E905" s="4" t="s">
        <v>229</v>
      </c>
      <c r="F905" s="4" t="s">
        <v>230</v>
      </c>
      <c r="G905" s="4" t="s">
        <v>231</v>
      </c>
      <c r="H905" s="4" t="s">
        <v>26</v>
      </c>
      <c r="I905" s="5">
        <v>110000000</v>
      </c>
      <c r="J905" s="5">
        <v>270000</v>
      </c>
      <c r="K905" s="5">
        <v>27000</v>
      </c>
      <c r="L905" s="4" t="s">
        <v>435</v>
      </c>
      <c r="M905" s="4" t="s">
        <v>436</v>
      </c>
      <c r="N905" s="3">
        <v>45885</v>
      </c>
      <c r="O905" s="4" t="s">
        <v>432</v>
      </c>
      <c r="P905" s="2">
        <v>1000</v>
      </c>
      <c r="Q905" s="2">
        <v>4016</v>
      </c>
      <c r="R905" s="4" t="s">
        <v>26</v>
      </c>
      <c r="S905" s="5">
        <v>108567750</v>
      </c>
    </row>
    <row r="906" spans="1:19" x14ac:dyDescent="0.25">
      <c r="A906" s="4" t="s">
        <v>61</v>
      </c>
      <c r="B906" s="4" t="s">
        <v>59</v>
      </c>
      <c r="C906" s="4" t="s">
        <v>62</v>
      </c>
      <c r="D906" s="4" t="s">
        <v>63</v>
      </c>
      <c r="E906" s="4" t="s">
        <v>229</v>
      </c>
      <c r="F906" s="4" t="s">
        <v>230</v>
      </c>
      <c r="G906" s="4" t="s">
        <v>231</v>
      </c>
      <c r="H906" s="4" t="s">
        <v>26</v>
      </c>
      <c r="I906" s="5">
        <v>110000000</v>
      </c>
      <c r="J906" s="5">
        <v>50000</v>
      </c>
      <c r="K906" s="5">
        <v>5000</v>
      </c>
      <c r="L906" s="4" t="s">
        <v>435</v>
      </c>
      <c r="M906" s="4" t="s">
        <v>436</v>
      </c>
      <c r="N906" s="3">
        <v>45885</v>
      </c>
      <c r="O906" s="4" t="s">
        <v>432</v>
      </c>
      <c r="P906" s="2">
        <v>2000</v>
      </c>
      <c r="Q906" s="2">
        <v>4016</v>
      </c>
      <c r="R906" s="4" t="s">
        <v>26</v>
      </c>
      <c r="S906" s="5">
        <v>108567750</v>
      </c>
    </row>
    <row r="907" spans="1:19" x14ac:dyDescent="0.25">
      <c r="A907" s="4" t="s">
        <v>61</v>
      </c>
      <c r="B907" s="4" t="s">
        <v>59</v>
      </c>
      <c r="C907" s="4" t="s">
        <v>62</v>
      </c>
      <c r="D907" s="4" t="s">
        <v>63</v>
      </c>
      <c r="E907" s="4" t="s">
        <v>229</v>
      </c>
      <c r="F907" s="4" t="s">
        <v>230</v>
      </c>
      <c r="G907" s="4" t="s">
        <v>231</v>
      </c>
      <c r="H907" s="4" t="s">
        <v>26</v>
      </c>
      <c r="I907" s="5">
        <v>110000000</v>
      </c>
      <c r="J907" s="5">
        <v>45000</v>
      </c>
      <c r="K907" s="5">
        <v>4500</v>
      </c>
      <c r="L907" s="4" t="s">
        <v>435</v>
      </c>
      <c r="M907" s="4" t="s">
        <v>436</v>
      </c>
      <c r="N907" s="3">
        <v>45885</v>
      </c>
      <c r="O907" s="4" t="s">
        <v>432</v>
      </c>
      <c r="P907" s="2">
        <v>3000</v>
      </c>
      <c r="Q907" s="2">
        <v>4016</v>
      </c>
      <c r="R907" s="4" t="s">
        <v>747</v>
      </c>
      <c r="S907" s="5">
        <v>108567750</v>
      </c>
    </row>
    <row r="908" spans="1:19" x14ac:dyDescent="0.25">
      <c r="A908" s="4" t="s">
        <v>61</v>
      </c>
      <c r="B908" s="4" t="s">
        <v>59</v>
      </c>
      <c r="C908" s="4" t="s">
        <v>62</v>
      </c>
      <c r="D908" s="4" t="s">
        <v>63</v>
      </c>
      <c r="E908" s="4" t="s">
        <v>310</v>
      </c>
      <c r="F908" s="4" t="s">
        <v>311</v>
      </c>
      <c r="G908" s="4" t="s">
        <v>190</v>
      </c>
      <c r="H908" s="4" t="s">
        <v>26</v>
      </c>
      <c r="I908" s="5">
        <v>90000000</v>
      </c>
      <c r="J908" s="5">
        <v>45000</v>
      </c>
      <c r="K908" s="5">
        <v>4500</v>
      </c>
      <c r="L908" s="4" t="s">
        <v>312</v>
      </c>
      <c r="M908" s="4" t="s">
        <v>313</v>
      </c>
      <c r="N908" s="3">
        <v>45886</v>
      </c>
      <c r="O908" s="4" t="s">
        <v>283</v>
      </c>
      <c r="P908" s="2">
        <v>1000</v>
      </c>
      <c r="Q908" s="2">
        <v>4019</v>
      </c>
      <c r="R908" s="4" t="s">
        <v>84</v>
      </c>
      <c r="S908" s="5">
        <v>86184030</v>
      </c>
    </row>
    <row r="909" spans="1:19" x14ac:dyDescent="0.25">
      <c r="A909" s="4" t="s">
        <v>61</v>
      </c>
      <c r="B909" s="4" t="s">
        <v>59</v>
      </c>
      <c r="C909" s="4" t="s">
        <v>62</v>
      </c>
      <c r="D909" s="4" t="s">
        <v>63</v>
      </c>
      <c r="E909" s="4" t="s">
        <v>188</v>
      </c>
      <c r="F909" s="4" t="s">
        <v>189</v>
      </c>
      <c r="G909" s="4" t="s">
        <v>190</v>
      </c>
      <c r="H909" s="4" t="s">
        <v>26</v>
      </c>
      <c r="I909" s="5">
        <v>90000000</v>
      </c>
      <c r="J909" s="5">
        <v>199000</v>
      </c>
      <c r="K909" s="5">
        <v>19900</v>
      </c>
      <c r="L909" s="4" t="s">
        <v>191</v>
      </c>
      <c r="M909" s="4" t="s">
        <v>192</v>
      </c>
      <c r="N909" s="3">
        <v>45885</v>
      </c>
      <c r="O909" s="4" t="s">
        <v>532</v>
      </c>
      <c r="P909" s="2">
        <v>1000</v>
      </c>
      <c r="Q909" s="2">
        <v>4027</v>
      </c>
      <c r="R909" s="4" t="s">
        <v>749</v>
      </c>
      <c r="S909" s="5">
        <v>87040690</v>
      </c>
    </row>
    <row r="910" spans="1:19" x14ac:dyDescent="0.25">
      <c r="A910" s="4" t="s">
        <v>61</v>
      </c>
      <c r="B910" s="4" t="s">
        <v>59</v>
      </c>
      <c r="C910" s="4" t="s">
        <v>62</v>
      </c>
      <c r="D910" s="4" t="s">
        <v>63</v>
      </c>
      <c r="E910" s="4" t="s">
        <v>69</v>
      </c>
      <c r="F910" s="4" t="s">
        <v>70</v>
      </c>
      <c r="G910" s="4" t="s">
        <v>71</v>
      </c>
      <c r="H910" s="4" t="s">
        <v>26</v>
      </c>
      <c r="I910" s="5">
        <v>155000000</v>
      </c>
      <c r="J910" s="5">
        <v>82600</v>
      </c>
      <c r="K910" s="5">
        <v>8260</v>
      </c>
      <c r="L910" s="4" t="s">
        <v>72</v>
      </c>
      <c r="M910" s="4" t="s">
        <v>73</v>
      </c>
      <c r="N910" s="3">
        <v>45878</v>
      </c>
      <c r="O910" s="4" t="s">
        <v>154</v>
      </c>
      <c r="P910" s="2">
        <v>1000</v>
      </c>
      <c r="Q910" s="2">
        <v>4043</v>
      </c>
      <c r="R910" s="4" t="s">
        <v>749</v>
      </c>
      <c r="S910" s="5">
        <v>143018000</v>
      </c>
    </row>
    <row r="911" spans="1:19" x14ac:dyDescent="0.25">
      <c r="A911" s="4" t="s">
        <v>61</v>
      </c>
      <c r="B911" s="4" t="s">
        <v>59</v>
      </c>
      <c r="C911" s="4" t="s">
        <v>62</v>
      </c>
      <c r="D911" s="4" t="s">
        <v>63</v>
      </c>
      <c r="E911" s="4" t="s">
        <v>238</v>
      </c>
      <c r="F911" s="4" t="s">
        <v>239</v>
      </c>
      <c r="G911" s="4" t="s">
        <v>190</v>
      </c>
      <c r="H911" s="4" t="s">
        <v>26</v>
      </c>
      <c r="I911" s="5">
        <v>90000000</v>
      </c>
      <c r="J911" s="5">
        <v>54000</v>
      </c>
      <c r="K911" s="5">
        <v>5400</v>
      </c>
      <c r="L911" s="4" t="s">
        <v>240</v>
      </c>
      <c r="M911" s="4" t="s">
        <v>241</v>
      </c>
      <c r="N911" s="3">
        <v>45880</v>
      </c>
      <c r="O911" s="4" t="s">
        <v>459</v>
      </c>
      <c r="P911" s="2">
        <v>1000</v>
      </c>
      <c r="Q911" s="2">
        <v>4060</v>
      </c>
      <c r="R911" s="4" t="s">
        <v>747</v>
      </c>
      <c r="S911" s="5">
        <v>88561500</v>
      </c>
    </row>
    <row r="912" spans="1:19" x14ac:dyDescent="0.25">
      <c r="A912" s="4" t="s">
        <v>61</v>
      </c>
      <c r="B912" s="4" t="s">
        <v>59</v>
      </c>
      <c r="C912" s="4" t="s">
        <v>62</v>
      </c>
      <c r="D912" s="4" t="s">
        <v>63</v>
      </c>
      <c r="E912" s="4" t="s">
        <v>338</v>
      </c>
      <c r="F912" s="4" t="s">
        <v>339</v>
      </c>
      <c r="G912" s="4" t="s">
        <v>100</v>
      </c>
      <c r="H912" s="4" t="s">
        <v>26</v>
      </c>
      <c r="I912" s="5">
        <v>65000000</v>
      </c>
      <c r="J912" s="5">
        <v>30000</v>
      </c>
      <c r="K912" s="5">
        <v>3000</v>
      </c>
      <c r="L912" s="4" t="s">
        <v>340</v>
      </c>
      <c r="M912" s="4" t="s">
        <v>341</v>
      </c>
      <c r="N912" s="3">
        <v>45880</v>
      </c>
      <c r="O912" s="4" t="s">
        <v>416</v>
      </c>
      <c r="P912" s="2">
        <v>1000</v>
      </c>
      <c r="Q912" s="2">
        <v>4062</v>
      </c>
      <c r="R912" s="4" t="s">
        <v>84</v>
      </c>
      <c r="S912" s="5">
        <v>61189450</v>
      </c>
    </row>
    <row r="913" spans="1:19" x14ac:dyDescent="0.25">
      <c r="A913" s="4" t="s">
        <v>61</v>
      </c>
      <c r="B913" s="4" t="s">
        <v>59</v>
      </c>
      <c r="C913" s="4" t="s">
        <v>62</v>
      </c>
      <c r="D913" s="4" t="s">
        <v>63</v>
      </c>
      <c r="E913" s="4" t="s">
        <v>244</v>
      </c>
      <c r="F913" s="4" t="s">
        <v>245</v>
      </c>
      <c r="G913" s="4" t="s">
        <v>246</v>
      </c>
      <c r="H913" s="4" t="s">
        <v>26</v>
      </c>
      <c r="I913" s="5">
        <v>155000000</v>
      </c>
      <c r="J913" s="5">
        <v>49500</v>
      </c>
      <c r="K913" s="5">
        <v>4950</v>
      </c>
      <c r="L913" s="4" t="s">
        <v>247</v>
      </c>
      <c r="M913" s="4" t="s">
        <v>248</v>
      </c>
      <c r="N913" s="3">
        <v>45880</v>
      </c>
      <c r="O913" s="4" t="s">
        <v>459</v>
      </c>
      <c r="P913" s="2">
        <v>1000</v>
      </c>
      <c r="Q913" s="2">
        <v>4067</v>
      </c>
      <c r="R913" s="4" t="s">
        <v>747</v>
      </c>
      <c r="S913" s="5">
        <v>151077800</v>
      </c>
    </row>
    <row r="914" spans="1:19" x14ac:dyDescent="0.25">
      <c r="A914" s="4" t="s">
        <v>61</v>
      </c>
      <c r="B914" s="4" t="s">
        <v>59</v>
      </c>
      <c r="C914" s="4" t="s">
        <v>62</v>
      </c>
      <c r="D914" s="4" t="s">
        <v>63</v>
      </c>
      <c r="E914" s="4" t="s">
        <v>193</v>
      </c>
      <c r="F914" s="4" t="s">
        <v>194</v>
      </c>
      <c r="G914" s="4" t="s">
        <v>105</v>
      </c>
      <c r="H914" s="4" t="s">
        <v>26</v>
      </c>
      <c r="I914" s="5">
        <v>155000000</v>
      </c>
      <c r="J914" s="5">
        <v>40500</v>
      </c>
      <c r="K914" s="5">
        <v>4050</v>
      </c>
      <c r="L914" s="4" t="s">
        <v>195</v>
      </c>
      <c r="M914" s="4" t="s">
        <v>196</v>
      </c>
      <c r="N914" s="3">
        <v>45880</v>
      </c>
      <c r="O914" s="4" t="s">
        <v>459</v>
      </c>
      <c r="P914" s="2">
        <v>1000</v>
      </c>
      <c r="Q914" s="2">
        <v>4069</v>
      </c>
      <c r="R914" s="4" t="s">
        <v>747</v>
      </c>
      <c r="S914" s="5">
        <v>149540330</v>
      </c>
    </row>
    <row r="915" spans="1:19" x14ac:dyDescent="0.25">
      <c r="A915" s="4" t="s">
        <v>61</v>
      </c>
      <c r="B915" s="4" t="s">
        <v>59</v>
      </c>
      <c r="C915" s="4" t="s">
        <v>62</v>
      </c>
      <c r="D915" s="4" t="s">
        <v>63</v>
      </c>
      <c r="E915" s="4" t="s">
        <v>382</v>
      </c>
      <c r="F915" s="4" t="s">
        <v>383</v>
      </c>
      <c r="G915" s="4" t="s">
        <v>115</v>
      </c>
      <c r="H915" s="4" t="s">
        <v>26</v>
      </c>
      <c r="I915" s="5">
        <v>65000000</v>
      </c>
      <c r="J915" s="5">
        <v>870000</v>
      </c>
      <c r="K915" s="5">
        <v>87000</v>
      </c>
      <c r="L915" s="4" t="s">
        <v>602</v>
      </c>
      <c r="M915" s="4" t="s">
        <v>603</v>
      </c>
      <c r="N915" s="3">
        <v>45894</v>
      </c>
      <c r="O915" s="4" t="s">
        <v>587</v>
      </c>
      <c r="P915" s="2">
        <v>1000</v>
      </c>
      <c r="Q915" s="2">
        <v>4090</v>
      </c>
      <c r="R915" s="4" t="s">
        <v>756</v>
      </c>
      <c r="S915" s="5">
        <v>50115750</v>
      </c>
    </row>
    <row r="916" spans="1:19" x14ac:dyDescent="0.25">
      <c r="A916" s="4" t="s">
        <v>61</v>
      </c>
      <c r="B916" s="4" t="s">
        <v>59</v>
      </c>
      <c r="C916" s="4" t="s">
        <v>62</v>
      </c>
      <c r="D916" s="4" t="s">
        <v>63</v>
      </c>
      <c r="E916" s="4" t="s">
        <v>382</v>
      </c>
      <c r="F916" s="4" t="s">
        <v>383</v>
      </c>
      <c r="G916" s="4" t="s">
        <v>115</v>
      </c>
      <c r="H916" s="4" t="s">
        <v>26</v>
      </c>
      <c r="I916" s="5">
        <v>65000000</v>
      </c>
      <c r="J916" s="5">
        <v>420000</v>
      </c>
      <c r="K916" s="5">
        <v>42000</v>
      </c>
      <c r="L916" s="4" t="s">
        <v>602</v>
      </c>
      <c r="M916" s="4" t="s">
        <v>603</v>
      </c>
      <c r="N916" s="3">
        <v>45894</v>
      </c>
      <c r="O916" s="4" t="s">
        <v>587</v>
      </c>
      <c r="P916" s="2">
        <v>2000</v>
      </c>
      <c r="Q916" s="2">
        <v>4090</v>
      </c>
      <c r="R916" s="4" t="s">
        <v>759</v>
      </c>
      <c r="S916" s="5">
        <v>50115750</v>
      </c>
    </row>
    <row r="917" spans="1:19" x14ac:dyDescent="0.25">
      <c r="A917" s="4" t="s">
        <v>61</v>
      </c>
      <c r="B917" s="4" t="s">
        <v>59</v>
      </c>
      <c r="C917" s="4" t="s">
        <v>62</v>
      </c>
      <c r="D917" s="4" t="s">
        <v>63</v>
      </c>
      <c r="E917" s="4" t="s">
        <v>382</v>
      </c>
      <c r="F917" s="4" t="s">
        <v>383</v>
      </c>
      <c r="G917" s="4" t="s">
        <v>115</v>
      </c>
      <c r="H917" s="4" t="s">
        <v>26</v>
      </c>
      <c r="I917" s="5">
        <v>65000000</v>
      </c>
      <c r="J917" s="5">
        <v>399000</v>
      </c>
      <c r="K917" s="5">
        <v>39900</v>
      </c>
      <c r="L917" s="4" t="s">
        <v>602</v>
      </c>
      <c r="M917" s="4" t="s">
        <v>603</v>
      </c>
      <c r="N917" s="3">
        <v>45894</v>
      </c>
      <c r="O917" s="4" t="s">
        <v>587</v>
      </c>
      <c r="P917" s="2">
        <v>3000</v>
      </c>
      <c r="Q917" s="2">
        <v>4090</v>
      </c>
      <c r="R917" s="4" t="s">
        <v>759</v>
      </c>
      <c r="S917" s="5">
        <v>50115750</v>
      </c>
    </row>
    <row r="918" spans="1:19" x14ac:dyDescent="0.25">
      <c r="A918" s="4" t="s">
        <v>61</v>
      </c>
      <c r="B918" s="4" t="s">
        <v>59</v>
      </c>
      <c r="C918" s="4" t="s">
        <v>62</v>
      </c>
      <c r="D918" s="4" t="s">
        <v>63</v>
      </c>
      <c r="E918" s="4" t="s">
        <v>127</v>
      </c>
      <c r="F918" s="4" t="s">
        <v>128</v>
      </c>
      <c r="G918" s="4" t="s">
        <v>50</v>
      </c>
      <c r="H918" s="4" t="s">
        <v>26</v>
      </c>
      <c r="I918" s="5">
        <v>65000000</v>
      </c>
      <c r="J918" s="5">
        <v>25500</v>
      </c>
      <c r="K918" s="5">
        <v>2550</v>
      </c>
      <c r="L918" s="4" t="s">
        <v>26</v>
      </c>
      <c r="M918" s="4" t="s">
        <v>26</v>
      </c>
      <c r="N918" s="3">
        <v>45886</v>
      </c>
      <c r="O918" s="4" t="s">
        <v>283</v>
      </c>
      <c r="P918" s="2">
        <v>1000</v>
      </c>
      <c r="Q918" s="2">
        <v>4094</v>
      </c>
      <c r="R918" s="4" t="s">
        <v>84</v>
      </c>
      <c r="S918" s="5">
        <v>60417600</v>
      </c>
    </row>
    <row r="919" spans="1:19" x14ac:dyDescent="0.25">
      <c r="A919" s="4" t="s">
        <v>61</v>
      </c>
      <c r="B919" s="4" t="s">
        <v>59</v>
      </c>
      <c r="C919" s="4" t="s">
        <v>62</v>
      </c>
      <c r="D919" s="4" t="s">
        <v>63</v>
      </c>
      <c r="E919" s="4" t="s">
        <v>69</v>
      </c>
      <c r="F919" s="4" t="s">
        <v>70</v>
      </c>
      <c r="G919" s="4" t="s">
        <v>71</v>
      </c>
      <c r="H919" s="4" t="s">
        <v>26</v>
      </c>
      <c r="I919" s="5">
        <v>155000000</v>
      </c>
      <c r="J919" s="5">
        <v>35000</v>
      </c>
      <c r="K919" s="5">
        <v>3500</v>
      </c>
      <c r="L919" s="4" t="s">
        <v>72</v>
      </c>
      <c r="M919" s="4" t="s">
        <v>73</v>
      </c>
      <c r="N919" s="3">
        <v>45885</v>
      </c>
      <c r="O919" s="4" t="s">
        <v>532</v>
      </c>
      <c r="P919" s="2">
        <v>1000</v>
      </c>
      <c r="Q919" s="2">
        <v>4094</v>
      </c>
      <c r="R919" s="4" t="s">
        <v>749</v>
      </c>
      <c r="S919" s="5">
        <v>143018000</v>
      </c>
    </row>
    <row r="920" spans="1:19" x14ac:dyDescent="0.25">
      <c r="A920" s="4" t="s">
        <v>61</v>
      </c>
      <c r="B920" s="4" t="s">
        <v>59</v>
      </c>
      <c r="C920" s="4" t="s">
        <v>62</v>
      </c>
      <c r="D920" s="4" t="s">
        <v>63</v>
      </c>
      <c r="E920" s="4" t="s">
        <v>69</v>
      </c>
      <c r="F920" s="4" t="s">
        <v>70</v>
      </c>
      <c r="G920" s="4" t="s">
        <v>71</v>
      </c>
      <c r="H920" s="4" t="s">
        <v>26</v>
      </c>
      <c r="I920" s="5">
        <v>155000000</v>
      </c>
      <c r="J920" s="5">
        <v>39000</v>
      </c>
      <c r="K920" s="5">
        <v>3900</v>
      </c>
      <c r="L920" s="4" t="s">
        <v>72</v>
      </c>
      <c r="M920" s="4" t="s">
        <v>73</v>
      </c>
      <c r="N920" s="3">
        <v>45885</v>
      </c>
      <c r="O920" s="4" t="s">
        <v>532</v>
      </c>
      <c r="P920" s="2">
        <v>2000</v>
      </c>
      <c r="Q920" s="2">
        <v>4094</v>
      </c>
      <c r="R920" s="4" t="s">
        <v>749</v>
      </c>
      <c r="S920" s="5">
        <v>143018000</v>
      </c>
    </row>
    <row r="921" spans="1:19" x14ac:dyDescent="0.25">
      <c r="A921" s="4" t="s">
        <v>61</v>
      </c>
      <c r="B921" s="4" t="s">
        <v>59</v>
      </c>
      <c r="C921" s="4" t="s">
        <v>62</v>
      </c>
      <c r="D921" s="4" t="s">
        <v>63</v>
      </c>
      <c r="E921" s="4" t="s">
        <v>69</v>
      </c>
      <c r="F921" s="4" t="s">
        <v>70</v>
      </c>
      <c r="G921" s="4" t="s">
        <v>71</v>
      </c>
      <c r="H921" s="4" t="s">
        <v>26</v>
      </c>
      <c r="I921" s="5">
        <v>155000000</v>
      </c>
      <c r="J921" s="5">
        <v>67500</v>
      </c>
      <c r="K921" s="5">
        <v>6750</v>
      </c>
      <c r="L921" s="4" t="s">
        <v>72</v>
      </c>
      <c r="M921" s="4" t="s">
        <v>73</v>
      </c>
      <c r="N921" s="3">
        <v>45885</v>
      </c>
      <c r="O921" s="4" t="s">
        <v>532</v>
      </c>
      <c r="P921" s="2">
        <v>3000</v>
      </c>
      <c r="Q921" s="2">
        <v>4094</v>
      </c>
      <c r="R921" s="4" t="s">
        <v>749</v>
      </c>
      <c r="S921" s="5">
        <v>143018000</v>
      </c>
    </row>
    <row r="922" spans="1:19" x14ac:dyDescent="0.25">
      <c r="A922" s="4" t="s">
        <v>61</v>
      </c>
      <c r="B922" s="4" t="s">
        <v>59</v>
      </c>
      <c r="C922" s="4" t="s">
        <v>62</v>
      </c>
      <c r="D922" s="4" t="s">
        <v>63</v>
      </c>
      <c r="E922" s="4" t="s">
        <v>382</v>
      </c>
      <c r="F922" s="4" t="s">
        <v>383</v>
      </c>
      <c r="G922" s="4" t="s">
        <v>115</v>
      </c>
      <c r="H922" s="4" t="s">
        <v>26</v>
      </c>
      <c r="I922" s="5">
        <v>65000000</v>
      </c>
      <c r="J922" s="5">
        <v>4780000</v>
      </c>
      <c r="K922" s="5">
        <v>478000</v>
      </c>
      <c r="L922" s="4" t="s">
        <v>384</v>
      </c>
      <c r="M922" s="4" t="s">
        <v>385</v>
      </c>
      <c r="N922" s="3">
        <v>45891</v>
      </c>
      <c r="O922" s="4" t="s">
        <v>662</v>
      </c>
      <c r="P922" s="2">
        <v>1000</v>
      </c>
      <c r="Q922" s="2">
        <v>4103</v>
      </c>
      <c r="R922" s="4" t="s">
        <v>746</v>
      </c>
      <c r="S922" s="5">
        <v>50115750</v>
      </c>
    </row>
    <row r="923" spans="1:19" x14ac:dyDescent="0.25">
      <c r="A923" s="4" t="s">
        <v>61</v>
      </c>
      <c r="B923" s="4" t="s">
        <v>59</v>
      </c>
      <c r="C923" s="4" t="s">
        <v>62</v>
      </c>
      <c r="D923" s="4" t="s">
        <v>63</v>
      </c>
      <c r="E923" s="4" t="s">
        <v>255</v>
      </c>
      <c r="F923" s="4" t="s">
        <v>256</v>
      </c>
      <c r="G923" s="4" t="s">
        <v>144</v>
      </c>
      <c r="H923" s="4" t="s">
        <v>26</v>
      </c>
      <c r="I923" s="5">
        <v>90000000</v>
      </c>
      <c r="J923" s="5">
        <v>95000</v>
      </c>
      <c r="K923" s="5">
        <v>9500</v>
      </c>
      <c r="L923" s="4" t="s">
        <v>26</v>
      </c>
      <c r="M923" s="4" t="s">
        <v>26</v>
      </c>
      <c r="N923" s="3">
        <v>45900</v>
      </c>
      <c r="O923" s="4" t="s">
        <v>732</v>
      </c>
      <c r="P923" s="2">
        <v>1000</v>
      </c>
      <c r="Q923" s="2">
        <v>4152</v>
      </c>
      <c r="R923" s="4" t="s">
        <v>604</v>
      </c>
      <c r="S923" s="5">
        <v>81505500</v>
      </c>
    </row>
    <row r="924" spans="1:19" x14ac:dyDescent="0.25">
      <c r="A924" s="4" t="s">
        <v>61</v>
      </c>
      <c r="B924" s="4" t="s">
        <v>59</v>
      </c>
      <c r="C924" s="4" t="s">
        <v>62</v>
      </c>
      <c r="D924" s="4" t="s">
        <v>63</v>
      </c>
      <c r="E924" s="4" t="s">
        <v>188</v>
      </c>
      <c r="F924" s="4" t="s">
        <v>189</v>
      </c>
      <c r="G924" s="4" t="s">
        <v>190</v>
      </c>
      <c r="H924" s="4" t="s">
        <v>26</v>
      </c>
      <c r="I924" s="5">
        <v>90000000</v>
      </c>
      <c r="J924" s="5">
        <v>49500</v>
      </c>
      <c r="K924" s="5">
        <v>4950</v>
      </c>
      <c r="L924" s="4" t="s">
        <v>191</v>
      </c>
      <c r="M924" s="4" t="s">
        <v>192</v>
      </c>
      <c r="N924" s="3">
        <v>45880</v>
      </c>
      <c r="O924" s="4" t="s">
        <v>459</v>
      </c>
      <c r="P924" s="2">
        <v>1000</v>
      </c>
      <c r="Q924" s="2">
        <v>4169</v>
      </c>
      <c r="R924" s="4" t="s">
        <v>747</v>
      </c>
      <c r="S924" s="5">
        <v>87040690</v>
      </c>
    </row>
    <row r="925" spans="1:19" x14ac:dyDescent="0.25">
      <c r="A925" s="4" t="s">
        <v>61</v>
      </c>
      <c r="B925" s="4" t="s">
        <v>59</v>
      </c>
      <c r="C925" s="4" t="s">
        <v>62</v>
      </c>
      <c r="D925" s="4" t="s">
        <v>63</v>
      </c>
      <c r="E925" s="4" t="s">
        <v>437</v>
      </c>
      <c r="F925" s="4" t="s">
        <v>438</v>
      </c>
      <c r="G925" s="4" t="s">
        <v>50</v>
      </c>
      <c r="H925" s="4" t="s">
        <v>26</v>
      </c>
      <c r="I925" s="5">
        <v>65000000</v>
      </c>
      <c r="J925" s="5">
        <v>83300</v>
      </c>
      <c r="K925" s="5">
        <v>8330</v>
      </c>
      <c r="L925" s="4" t="s">
        <v>186</v>
      </c>
      <c r="M925" s="4" t="s">
        <v>187</v>
      </c>
      <c r="N925" s="3">
        <v>45886</v>
      </c>
      <c r="O925" s="4" t="s">
        <v>432</v>
      </c>
      <c r="P925" s="2">
        <v>1000</v>
      </c>
      <c r="Q925" s="2">
        <v>4182</v>
      </c>
      <c r="R925" s="4" t="s">
        <v>755</v>
      </c>
      <c r="S925" s="5">
        <v>64916700</v>
      </c>
    </row>
    <row r="926" spans="1:19" x14ac:dyDescent="0.25">
      <c r="A926" s="4" t="s">
        <v>61</v>
      </c>
      <c r="B926" s="4" t="s">
        <v>59</v>
      </c>
      <c r="C926" s="4" t="s">
        <v>62</v>
      </c>
      <c r="D926" s="4" t="s">
        <v>63</v>
      </c>
      <c r="E926" s="4" t="s">
        <v>89</v>
      </c>
      <c r="F926" s="4" t="s">
        <v>90</v>
      </c>
      <c r="G926" s="4" t="s">
        <v>91</v>
      </c>
      <c r="H926" s="4" t="s">
        <v>26</v>
      </c>
      <c r="I926" s="5">
        <v>65000000</v>
      </c>
      <c r="J926" s="5">
        <v>93000</v>
      </c>
      <c r="K926" s="5">
        <v>9300</v>
      </c>
      <c r="L926" s="4" t="s">
        <v>26</v>
      </c>
      <c r="M926" s="4" t="s">
        <v>26</v>
      </c>
      <c r="N926" s="3">
        <v>45878</v>
      </c>
      <c r="O926" s="4" t="s">
        <v>154</v>
      </c>
      <c r="P926" s="2">
        <v>1000</v>
      </c>
      <c r="Q926" s="2">
        <v>4191</v>
      </c>
      <c r="R926" s="4" t="s">
        <v>749</v>
      </c>
      <c r="S926" s="5">
        <v>60891200</v>
      </c>
    </row>
    <row r="927" spans="1:19" x14ac:dyDescent="0.25">
      <c r="A927" s="4" t="s">
        <v>61</v>
      </c>
      <c r="B927" s="4" t="s">
        <v>59</v>
      </c>
      <c r="C927" s="4" t="s">
        <v>62</v>
      </c>
      <c r="D927" s="4" t="s">
        <v>63</v>
      </c>
      <c r="E927" s="4" t="s">
        <v>202</v>
      </c>
      <c r="F927" s="4" t="s">
        <v>203</v>
      </c>
      <c r="G927" s="4" t="s">
        <v>100</v>
      </c>
      <c r="H927" s="4" t="s">
        <v>26</v>
      </c>
      <c r="I927" s="5">
        <v>65000000</v>
      </c>
      <c r="J927" s="5">
        <v>34000</v>
      </c>
      <c r="K927" s="5">
        <v>3400</v>
      </c>
      <c r="L927" s="4" t="s">
        <v>26</v>
      </c>
      <c r="M927" s="4" t="s">
        <v>26</v>
      </c>
      <c r="N927" s="3">
        <v>45878</v>
      </c>
      <c r="O927" s="4" t="s">
        <v>154</v>
      </c>
      <c r="P927" s="2">
        <v>1000</v>
      </c>
      <c r="Q927" s="2">
        <v>4199</v>
      </c>
      <c r="R927" s="4" t="s">
        <v>84</v>
      </c>
      <c r="S927" s="5">
        <v>63226550</v>
      </c>
    </row>
    <row r="928" spans="1:19" x14ac:dyDescent="0.25">
      <c r="A928" s="4" t="s">
        <v>61</v>
      </c>
      <c r="B928" s="4" t="s">
        <v>59</v>
      </c>
      <c r="C928" s="4" t="s">
        <v>62</v>
      </c>
      <c r="D928" s="4" t="s">
        <v>63</v>
      </c>
      <c r="E928" s="4" t="s">
        <v>148</v>
      </c>
      <c r="F928" s="4" t="s">
        <v>149</v>
      </c>
      <c r="G928" s="4" t="s">
        <v>50</v>
      </c>
      <c r="H928" s="4" t="s">
        <v>26</v>
      </c>
      <c r="I928" s="5">
        <v>65000000</v>
      </c>
      <c r="J928" s="5">
        <v>2961600</v>
      </c>
      <c r="K928" s="5">
        <v>296160</v>
      </c>
      <c r="L928" s="4" t="s">
        <v>150</v>
      </c>
      <c r="M928" s="4" t="s">
        <v>151</v>
      </c>
      <c r="N928" s="3">
        <v>45892</v>
      </c>
      <c r="O928" s="4" t="s">
        <v>663</v>
      </c>
      <c r="P928" s="2">
        <v>1000</v>
      </c>
      <c r="Q928" s="2">
        <v>4206</v>
      </c>
      <c r="R928" s="4" t="s">
        <v>26</v>
      </c>
      <c r="S928" s="5">
        <v>58699710</v>
      </c>
    </row>
    <row r="929" spans="1:19" x14ac:dyDescent="0.25">
      <c r="A929" s="4" t="s">
        <v>61</v>
      </c>
      <c r="B929" s="4" t="s">
        <v>59</v>
      </c>
      <c r="C929" s="4" t="s">
        <v>62</v>
      </c>
      <c r="D929" s="4" t="s">
        <v>63</v>
      </c>
      <c r="E929" s="4" t="s">
        <v>202</v>
      </c>
      <c r="F929" s="4" t="s">
        <v>203</v>
      </c>
      <c r="G929" s="4" t="s">
        <v>100</v>
      </c>
      <c r="H929" s="4" t="s">
        <v>26</v>
      </c>
      <c r="I929" s="5">
        <v>65000000</v>
      </c>
      <c r="J929" s="5">
        <v>42000</v>
      </c>
      <c r="K929" s="5">
        <v>4200</v>
      </c>
      <c r="L929" s="4" t="s">
        <v>26</v>
      </c>
      <c r="M929" s="4" t="s">
        <v>26</v>
      </c>
      <c r="N929" s="3">
        <v>45887</v>
      </c>
      <c r="O929" s="4" t="s">
        <v>283</v>
      </c>
      <c r="P929" s="2">
        <v>1000</v>
      </c>
      <c r="Q929" s="2">
        <v>4237</v>
      </c>
      <c r="R929" s="4" t="s">
        <v>84</v>
      </c>
      <c r="S929" s="5">
        <v>63226550</v>
      </c>
    </row>
    <row r="930" spans="1:19" x14ac:dyDescent="0.25">
      <c r="A930" s="4" t="s">
        <v>61</v>
      </c>
      <c r="B930" s="4" t="s">
        <v>59</v>
      </c>
      <c r="C930" s="4" t="s">
        <v>62</v>
      </c>
      <c r="D930" s="4" t="s">
        <v>63</v>
      </c>
      <c r="E930" s="4" t="s">
        <v>92</v>
      </c>
      <c r="F930" s="4" t="s">
        <v>93</v>
      </c>
      <c r="G930" s="4" t="s">
        <v>94</v>
      </c>
      <c r="H930" s="4" t="s">
        <v>26</v>
      </c>
      <c r="I930" s="5">
        <v>155000000</v>
      </c>
      <c r="J930" s="5">
        <v>31200</v>
      </c>
      <c r="K930" s="5">
        <v>3120</v>
      </c>
      <c r="L930" s="4" t="s">
        <v>26</v>
      </c>
      <c r="M930" s="4" t="s">
        <v>26</v>
      </c>
      <c r="N930" s="3">
        <v>45880</v>
      </c>
      <c r="O930" s="4" t="s">
        <v>51</v>
      </c>
      <c r="P930" s="2">
        <v>1000</v>
      </c>
      <c r="Q930" s="2">
        <v>4253</v>
      </c>
      <c r="R930" s="4" t="s">
        <v>749</v>
      </c>
      <c r="S930" s="5">
        <v>145558700</v>
      </c>
    </row>
    <row r="931" spans="1:19" x14ac:dyDescent="0.25">
      <c r="A931" s="4" t="s">
        <v>61</v>
      </c>
      <c r="B931" s="4" t="s">
        <v>59</v>
      </c>
      <c r="C931" s="4" t="s">
        <v>62</v>
      </c>
      <c r="D931" s="4" t="s">
        <v>63</v>
      </c>
      <c r="E931" s="4" t="s">
        <v>92</v>
      </c>
      <c r="F931" s="4" t="s">
        <v>93</v>
      </c>
      <c r="G931" s="4" t="s">
        <v>94</v>
      </c>
      <c r="H931" s="4" t="s">
        <v>26</v>
      </c>
      <c r="I931" s="5">
        <v>155000000</v>
      </c>
      <c r="J931" s="5">
        <v>28000</v>
      </c>
      <c r="K931" s="5">
        <v>2800</v>
      </c>
      <c r="L931" s="4" t="s">
        <v>26</v>
      </c>
      <c r="M931" s="4" t="s">
        <v>26</v>
      </c>
      <c r="N931" s="3">
        <v>45880</v>
      </c>
      <c r="O931" s="4" t="s">
        <v>51</v>
      </c>
      <c r="P931" s="2">
        <v>2000</v>
      </c>
      <c r="Q931" s="2">
        <v>4253</v>
      </c>
      <c r="R931" s="4" t="s">
        <v>749</v>
      </c>
      <c r="S931" s="5">
        <v>145558700</v>
      </c>
    </row>
    <row r="932" spans="1:19" x14ac:dyDescent="0.25">
      <c r="A932" s="4" t="s">
        <v>61</v>
      </c>
      <c r="B932" s="4" t="s">
        <v>59</v>
      </c>
      <c r="C932" s="4" t="s">
        <v>62</v>
      </c>
      <c r="D932" s="4" t="s">
        <v>63</v>
      </c>
      <c r="E932" s="4" t="s">
        <v>103</v>
      </c>
      <c r="F932" s="4" t="s">
        <v>104</v>
      </c>
      <c r="G932" s="4" t="s">
        <v>105</v>
      </c>
      <c r="H932" s="4" t="s">
        <v>26</v>
      </c>
      <c r="I932" s="5">
        <v>155000000</v>
      </c>
      <c r="J932" s="5">
        <v>34400</v>
      </c>
      <c r="K932" s="5">
        <v>3440</v>
      </c>
      <c r="L932" s="4" t="s">
        <v>26</v>
      </c>
      <c r="M932" s="4" t="s">
        <v>26</v>
      </c>
      <c r="N932" s="3">
        <v>45880</v>
      </c>
      <c r="O932" s="4" t="s">
        <v>51</v>
      </c>
      <c r="P932" s="2">
        <v>1000</v>
      </c>
      <c r="Q932" s="2">
        <v>4255</v>
      </c>
      <c r="R932" s="4" t="s">
        <v>749</v>
      </c>
      <c r="S932" s="5">
        <v>150234500</v>
      </c>
    </row>
    <row r="933" spans="1:19" x14ac:dyDescent="0.25">
      <c r="A933" s="4" t="s">
        <v>61</v>
      </c>
      <c r="B933" s="4" t="s">
        <v>59</v>
      </c>
      <c r="C933" s="4" t="s">
        <v>62</v>
      </c>
      <c r="D933" s="4" t="s">
        <v>63</v>
      </c>
      <c r="E933" s="4" t="s">
        <v>103</v>
      </c>
      <c r="F933" s="4" t="s">
        <v>104</v>
      </c>
      <c r="G933" s="4" t="s">
        <v>105</v>
      </c>
      <c r="H933" s="4" t="s">
        <v>26</v>
      </c>
      <c r="I933" s="5">
        <v>155000000</v>
      </c>
      <c r="J933" s="5">
        <v>39200</v>
      </c>
      <c r="K933" s="5">
        <v>3920</v>
      </c>
      <c r="L933" s="4" t="s">
        <v>26</v>
      </c>
      <c r="M933" s="4" t="s">
        <v>26</v>
      </c>
      <c r="N933" s="3">
        <v>45880</v>
      </c>
      <c r="O933" s="4" t="s">
        <v>51</v>
      </c>
      <c r="P933" s="2">
        <v>2000</v>
      </c>
      <c r="Q933" s="2">
        <v>4255</v>
      </c>
      <c r="R933" s="4" t="s">
        <v>749</v>
      </c>
      <c r="S933" s="5">
        <v>150234500</v>
      </c>
    </row>
    <row r="934" spans="1:19" x14ac:dyDescent="0.25">
      <c r="A934" s="4" t="s">
        <v>61</v>
      </c>
      <c r="B934" s="4" t="s">
        <v>59</v>
      </c>
      <c r="C934" s="4" t="s">
        <v>62</v>
      </c>
      <c r="D934" s="4" t="s">
        <v>63</v>
      </c>
      <c r="E934" s="4" t="s">
        <v>69</v>
      </c>
      <c r="F934" s="4" t="s">
        <v>70</v>
      </c>
      <c r="G934" s="4" t="s">
        <v>71</v>
      </c>
      <c r="H934" s="4" t="s">
        <v>26</v>
      </c>
      <c r="I934" s="5">
        <v>155000000</v>
      </c>
      <c r="J934" s="5">
        <v>23100</v>
      </c>
      <c r="K934" s="5">
        <v>2310</v>
      </c>
      <c r="L934" s="4" t="s">
        <v>72</v>
      </c>
      <c r="M934" s="4" t="s">
        <v>73</v>
      </c>
      <c r="N934" s="3">
        <v>45880</v>
      </c>
      <c r="O934" s="4" t="s">
        <v>51</v>
      </c>
      <c r="P934" s="2">
        <v>1000</v>
      </c>
      <c r="Q934" s="2">
        <v>4256</v>
      </c>
      <c r="R934" s="4" t="s">
        <v>749</v>
      </c>
      <c r="S934" s="5">
        <v>143018000</v>
      </c>
    </row>
    <row r="935" spans="1:19" x14ac:dyDescent="0.25">
      <c r="A935" s="4" t="s">
        <v>61</v>
      </c>
      <c r="B935" s="4" t="s">
        <v>59</v>
      </c>
      <c r="C935" s="4" t="s">
        <v>62</v>
      </c>
      <c r="D935" s="4" t="s">
        <v>63</v>
      </c>
      <c r="E935" s="4" t="s">
        <v>142</v>
      </c>
      <c r="F935" s="4" t="s">
        <v>143</v>
      </c>
      <c r="G935" s="4" t="s">
        <v>144</v>
      </c>
      <c r="H935" s="4" t="s">
        <v>26</v>
      </c>
      <c r="I935" s="5">
        <v>90000000</v>
      </c>
      <c r="J935" s="5">
        <v>153000</v>
      </c>
      <c r="K935" s="5">
        <v>15300</v>
      </c>
      <c r="L935" s="4" t="s">
        <v>402</v>
      </c>
      <c r="M935" s="4" t="s">
        <v>403</v>
      </c>
      <c r="N935" s="3">
        <v>45886</v>
      </c>
      <c r="O935" s="4" t="s">
        <v>432</v>
      </c>
      <c r="P935" s="2">
        <v>1000</v>
      </c>
      <c r="Q935" s="2">
        <v>4270</v>
      </c>
      <c r="R935" s="4" t="s">
        <v>26</v>
      </c>
      <c r="S935" s="5">
        <v>83720070</v>
      </c>
    </row>
    <row r="936" spans="1:19" x14ac:dyDescent="0.25">
      <c r="A936" s="4" t="s">
        <v>61</v>
      </c>
      <c r="B936" s="4" t="s">
        <v>59</v>
      </c>
      <c r="C936" s="4" t="s">
        <v>62</v>
      </c>
      <c r="D936" s="4" t="s">
        <v>63</v>
      </c>
      <c r="E936" s="4" t="s">
        <v>142</v>
      </c>
      <c r="F936" s="4" t="s">
        <v>143</v>
      </c>
      <c r="G936" s="4" t="s">
        <v>144</v>
      </c>
      <c r="H936" s="4" t="s">
        <v>26</v>
      </c>
      <c r="I936" s="5">
        <v>90000000</v>
      </c>
      <c r="J936" s="5">
        <v>106250</v>
      </c>
      <c r="K936" s="5">
        <v>10625</v>
      </c>
      <c r="L936" s="4" t="s">
        <v>402</v>
      </c>
      <c r="M936" s="4" t="s">
        <v>403</v>
      </c>
      <c r="N936" s="3">
        <v>45886</v>
      </c>
      <c r="O936" s="4" t="s">
        <v>432</v>
      </c>
      <c r="P936" s="2">
        <v>2000</v>
      </c>
      <c r="Q936" s="2">
        <v>4270</v>
      </c>
      <c r="R936" s="4" t="s">
        <v>26</v>
      </c>
      <c r="S936" s="5">
        <v>83720070</v>
      </c>
    </row>
    <row r="937" spans="1:19" x14ac:dyDescent="0.25">
      <c r="A937" s="4" t="s">
        <v>61</v>
      </c>
      <c r="B937" s="4" t="s">
        <v>59</v>
      </c>
      <c r="C937" s="4" t="s">
        <v>62</v>
      </c>
      <c r="D937" s="4" t="s">
        <v>63</v>
      </c>
      <c r="E937" s="4" t="s">
        <v>142</v>
      </c>
      <c r="F937" s="4" t="s">
        <v>143</v>
      </c>
      <c r="G937" s="4" t="s">
        <v>144</v>
      </c>
      <c r="H937" s="4" t="s">
        <v>26</v>
      </c>
      <c r="I937" s="5">
        <v>90000000</v>
      </c>
      <c r="J937" s="5">
        <v>157250</v>
      </c>
      <c r="K937" s="5">
        <v>15725</v>
      </c>
      <c r="L937" s="4" t="s">
        <v>402</v>
      </c>
      <c r="M937" s="4" t="s">
        <v>403</v>
      </c>
      <c r="N937" s="3">
        <v>45886</v>
      </c>
      <c r="O937" s="4" t="s">
        <v>432</v>
      </c>
      <c r="P937" s="2">
        <v>3000</v>
      </c>
      <c r="Q937" s="2">
        <v>4270</v>
      </c>
      <c r="R937" s="4" t="s">
        <v>26</v>
      </c>
      <c r="S937" s="5">
        <v>83720070</v>
      </c>
    </row>
    <row r="938" spans="1:19" x14ac:dyDescent="0.25">
      <c r="A938" s="4" t="s">
        <v>61</v>
      </c>
      <c r="B938" s="4" t="s">
        <v>59</v>
      </c>
      <c r="C938" s="4" t="s">
        <v>62</v>
      </c>
      <c r="D938" s="4" t="s">
        <v>63</v>
      </c>
      <c r="E938" s="4" t="s">
        <v>142</v>
      </c>
      <c r="F938" s="4" t="s">
        <v>143</v>
      </c>
      <c r="G938" s="4" t="s">
        <v>144</v>
      </c>
      <c r="H938" s="4" t="s">
        <v>26</v>
      </c>
      <c r="I938" s="5">
        <v>90000000</v>
      </c>
      <c r="J938" s="5">
        <v>21250</v>
      </c>
      <c r="K938" s="5">
        <v>2125</v>
      </c>
      <c r="L938" s="4" t="s">
        <v>402</v>
      </c>
      <c r="M938" s="4" t="s">
        <v>403</v>
      </c>
      <c r="N938" s="3">
        <v>45886</v>
      </c>
      <c r="O938" s="4" t="s">
        <v>432</v>
      </c>
      <c r="P938" s="2">
        <v>4000</v>
      </c>
      <c r="Q938" s="2">
        <v>4270</v>
      </c>
      <c r="R938" s="4" t="s">
        <v>26</v>
      </c>
      <c r="S938" s="5">
        <v>83720070</v>
      </c>
    </row>
    <row r="939" spans="1:19" x14ac:dyDescent="0.25">
      <c r="A939" s="4" t="s">
        <v>61</v>
      </c>
      <c r="B939" s="4" t="s">
        <v>59</v>
      </c>
      <c r="C939" s="4" t="s">
        <v>62</v>
      </c>
      <c r="D939" s="4" t="s">
        <v>63</v>
      </c>
      <c r="E939" s="4" t="s">
        <v>142</v>
      </c>
      <c r="F939" s="4" t="s">
        <v>143</v>
      </c>
      <c r="G939" s="4" t="s">
        <v>144</v>
      </c>
      <c r="H939" s="4" t="s">
        <v>26</v>
      </c>
      <c r="I939" s="5">
        <v>90000000</v>
      </c>
      <c r="J939" s="5">
        <v>46750</v>
      </c>
      <c r="K939" s="5">
        <v>4675</v>
      </c>
      <c r="L939" s="4" t="s">
        <v>402</v>
      </c>
      <c r="M939" s="4" t="s">
        <v>403</v>
      </c>
      <c r="N939" s="3">
        <v>45886</v>
      </c>
      <c r="O939" s="4" t="s">
        <v>432</v>
      </c>
      <c r="P939" s="2">
        <v>5000</v>
      </c>
      <c r="Q939" s="2">
        <v>4270</v>
      </c>
      <c r="R939" s="4" t="s">
        <v>26</v>
      </c>
      <c r="S939" s="5">
        <v>83720070</v>
      </c>
    </row>
    <row r="940" spans="1:19" x14ac:dyDescent="0.25">
      <c r="A940" s="4" t="s">
        <v>61</v>
      </c>
      <c r="B940" s="4" t="s">
        <v>59</v>
      </c>
      <c r="C940" s="4" t="s">
        <v>62</v>
      </c>
      <c r="D940" s="4" t="s">
        <v>63</v>
      </c>
      <c r="E940" s="4" t="s">
        <v>216</v>
      </c>
      <c r="F940" s="4" t="s">
        <v>217</v>
      </c>
      <c r="G940" s="4" t="s">
        <v>97</v>
      </c>
      <c r="H940" s="4" t="s">
        <v>26</v>
      </c>
      <c r="I940" s="5">
        <v>155000000</v>
      </c>
      <c r="J940" s="5">
        <v>124600</v>
      </c>
      <c r="K940" s="5">
        <v>12460</v>
      </c>
      <c r="L940" s="4" t="s">
        <v>26</v>
      </c>
      <c r="M940" s="4" t="s">
        <v>26</v>
      </c>
      <c r="N940" s="3">
        <v>45887</v>
      </c>
      <c r="O940" s="4" t="s">
        <v>283</v>
      </c>
      <c r="P940" s="2">
        <v>1000</v>
      </c>
      <c r="Q940" s="2">
        <v>4278</v>
      </c>
      <c r="R940" s="4" t="s">
        <v>755</v>
      </c>
      <c r="S940" s="5">
        <v>152389300</v>
      </c>
    </row>
    <row r="941" spans="1:19" x14ac:dyDescent="0.25">
      <c r="A941" s="4" t="s">
        <v>61</v>
      </c>
      <c r="B941" s="4" t="s">
        <v>59</v>
      </c>
      <c r="C941" s="4" t="s">
        <v>62</v>
      </c>
      <c r="D941" s="4" t="s">
        <v>63</v>
      </c>
      <c r="E941" s="4" t="s">
        <v>412</v>
      </c>
      <c r="F941" s="4" t="s">
        <v>413</v>
      </c>
      <c r="G941" s="4" t="s">
        <v>157</v>
      </c>
      <c r="H941" s="4" t="s">
        <v>26</v>
      </c>
      <c r="I941" s="5">
        <v>90000000</v>
      </c>
      <c r="J941" s="5">
        <v>49500</v>
      </c>
      <c r="K941" s="5">
        <v>4950</v>
      </c>
      <c r="L941" s="4" t="s">
        <v>414</v>
      </c>
      <c r="M941" s="4" t="s">
        <v>415</v>
      </c>
      <c r="N941" s="3">
        <v>45880</v>
      </c>
      <c r="O941" s="4" t="s">
        <v>459</v>
      </c>
      <c r="P941" s="2">
        <v>1000</v>
      </c>
      <c r="Q941" s="2">
        <v>4298</v>
      </c>
      <c r="R941" s="4" t="s">
        <v>747</v>
      </c>
      <c r="S941" s="5">
        <v>87613200</v>
      </c>
    </row>
    <row r="942" spans="1:19" x14ac:dyDescent="0.25">
      <c r="A942" s="4" t="s">
        <v>61</v>
      </c>
      <c r="B942" s="4" t="s">
        <v>59</v>
      </c>
      <c r="C942" s="4" t="s">
        <v>62</v>
      </c>
      <c r="D942" s="4" t="s">
        <v>63</v>
      </c>
      <c r="E942" s="4" t="s">
        <v>424</v>
      </c>
      <c r="F942" s="4" t="s">
        <v>425</v>
      </c>
      <c r="G942" s="4" t="s">
        <v>100</v>
      </c>
      <c r="H942" s="4" t="s">
        <v>26</v>
      </c>
      <c r="I942" s="5">
        <v>65000000</v>
      </c>
      <c r="J942" s="5">
        <v>58500</v>
      </c>
      <c r="K942" s="5">
        <v>5850</v>
      </c>
      <c r="L942" s="4" t="s">
        <v>26</v>
      </c>
      <c r="M942" s="4" t="s">
        <v>26</v>
      </c>
      <c r="N942" s="3">
        <v>45881</v>
      </c>
      <c r="O942" s="4" t="s">
        <v>416</v>
      </c>
      <c r="P942" s="2">
        <v>1000</v>
      </c>
      <c r="Q942" s="2">
        <v>4322</v>
      </c>
      <c r="R942" s="4" t="s">
        <v>747</v>
      </c>
      <c r="S942" s="5">
        <v>64873300</v>
      </c>
    </row>
    <row r="943" spans="1:19" x14ac:dyDescent="0.25">
      <c r="A943" s="4" t="s">
        <v>61</v>
      </c>
      <c r="B943" s="4" t="s">
        <v>59</v>
      </c>
      <c r="C943" s="4" t="s">
        <v>62</v>
      </c>
      <c r="D943" s="4" t="s">
        <v>63</v>
      </c>
      <c r="E943" s="4" t="s">
        <v>127</v>
      </c>
      <c r="F943" s="4" t="s">
        <v>128</v>
      </c>
      <c r="G943" s="4" t="s">
        <v>50</v>
      </c>
      <c r="H943" s="4" t="s">
        <v>26</v>
      </c>
      <c r="I943" s="5">
        <v>65000000</v>
      </c>
      <c r="J943" s="5">
        <v>58100</v>
      </c>
      <c r="K943" s="5">
        <v>5810</v>
      </c>
      <c r="L943" s="4" t="s">
        <v>26</v>
      </c>
      <c r="M943" s="4" t="s">
        <v>26</v>
      </c>
      <c r="N943" s="3">
        <v>45880</v>
      </c>
      <c r="O943" s="4" t="s">
        <v>459</v>
      </c>
      <c r="P943" s="2">
        <v>1000</v>
      </c>
      <c r="Q943" s="2">
        <v>4325</v>
      </c>
      <c r="R943" s="4" t="s">
        <v>755</v>
      </c>
      <c r="S943" s="5">
        <v>60417600</v>
      </c>
    </row>
    <row r="944" spans="1:19" x14ac:dyDescent="0.25">
      <c r="A944" s="4" t="s">
        <v>61</v>
      </c>
      <c r="B944" s="4" t="s">
        <v>59</v>
      </c>
      <c r="C944" s="4" t="s">
        <v>62</v>
      </c>
      <c r="D944" s="4" t="s">
        <v>63</v>
      </c>
      <c r="E944" s="4" t="s">
        <v>127</v>
      </c>
      <c r="F944" s="4" t="s">
        <v>128</v>
      </c>
      <c r="G944" s="4" t="s">
        <v>50</v>
      </c>
      <c r="H944" s="4" t="s">
        <v>26</v>
      </c>
      <c r="I944" s="5">
        <v>65000000</v>
      </c>
      <c r="J944" s="5">
        <v>83300</v>
      </c>
      <c r="K944" s="5">
        <v>8330</v>
      </c>
      <c r="L944" s="4" t="s">
        <v>129</v>
      </c>
      <c r="M944" s="4" t="s">
        <v>130</v>
      </c>
      <c r="N944" s="3">
        <v>45886</v>
      </c>
      <c r="O944" s="4" t="s">
        <v>432</v>
      </c>
      <c r="P944" s="2">
        <v>1000</v>
      </c>
      <c r="Q944" s="2">
        <v>4335</v>
      </c>
      <c r="R944" s="4" t="s">
        <v>755</v>
      </c>
      <c r="S944" s="5">
        <v>60417600</v>
      </c>
    </row>
    <row r="945" spans="1:19" x14ac:dyDescent="0.25">
      <c r="A945" s="4" t="s">
        <v>61</v>
      </c>
      <c r="B945" s="4" t="s">
        <v>59</v>
      </c>
      <c r="C945" s="4" t="s">
        <v>62</v>
      </c>
      <c r="D945" s="4" t="s">
        <v>63</v>
      </c>
      <c r="E945" s="4" t="s">
        <v>127</v>
      </c>
      <c r="F945" s="4" t="s">
        <v>128</v>
      </c>
      <c r="G945" s="4" t="s">
        <v>50</v>
      </c>
      <c r="H945" s="4" t="s">
        <v>26</v>
      </c>
      <c r="I945" s="5">
        <v>65000000</v>
      </c>
      <c r="J945" s="5">
        <v>70550</v>
      </c>
      <c r="K945" s="5">
        <v>7055</v>
      </c>
      <c r="L945" s="4" t="s">
        <v>129</v>
      </c>
      <c r="M945" s="4" t="s">
        <v>130</v>
      </c>
      <c r="N945" s="3">
        <v>45886</v>
      </c>
      <c r="O945" s="4" t="s">
        <v>432</v>
      </c>
      <c r="P945" s="2">
        <v>2000</v>
      </c>
      <c r="Q945" s="2">
        <v>4335</v>
      </c>
      <c r="R945" s="4" t="s">
        <v>755</v>
      </c>
      <c r="S945" s="5">
        <v>60417600</v>
      </c>
    </row>
    <row r="946" spans="1:19" x14ac:dyDescent="0.25">
      <c r="A946" s="4" t="s">
        <v>61</v>
      </c>
      <c r="B946" s="4" t="s">
        <v>59</v>
      </c>
      <c r="C946" s="4" t="s">
        <v>62</v>
      </c>
      <c r="D946" s="4" t="s">
        <v>63</v>
      </c>
      <c r="E946" s="4" t="s">
        <v>127</v>
      </c>
      <c r="F946" s="4" t="s">
        <v>128</v>
      </c>
      <c r="G946" s="4" t="s">
        <v>50</v>
      </c>
      <c r="H946" s="4" t="s">
        <v>26</v>
      </c>
      <c r="I946" s="5">
        <v>65000000</v>
      </c>
      <c r="J946" s="5">
        <v>28900</v>
      </c>
      <c r="K946" s="5">
        <v>2890</v>
      </c>
      <c r="L946" s="4" t="s">
        <v>129</v>
      </c>
      <c r="M946" s="4" t="s">
        <v>130</v>
      </c>
      <c r="N946" s="3">
        <v>45886</v>
      </c>
      <c r="O946" s="4" t="s">
        <v>432</v>
      </c>
      <c r="P946" s="2">
        <v>3000</v>
      </c>
      <c r="Q946" s="2">
        <v>4335</v>
      </c>
      <c r="R946" s="4" t="s">
        <v>755</v>
      </c>
      <c r="S946" s="5">
        <v>60417600</v>
      </c>
    </row>
    <row r="947" spans="1:19" x14ac:dyDescent="0.25">
      <c r="A947" s="4" t="s">
        <v>61</v>
      </c>
      <c r="B947" s="4" t="s">
        <v>59</v>
      </c>
      <c r="C947" s="4" t="s">
        <v>62</v>
      </c>
      <c r="D947" s="4" t="s">
        <v>63</v>
      </c>
      <c r="E947" s="4" t="s">
        <v>148</v>
      </c>
      <c r="F947" s="4" t="s">
        <v>149</v>
      </c>
      <c r="G947" s="4" t="s">
        <v>50</v>
      </c>
      <c r="H947" s="4" t="s">
        <v>26</v>
      </c>
      <c r="I947" s="5">
        <v>65000000</v>
      </c>
      <c r="J947" s="5">
        <v>1844640</v>
      </c>
      <c r="K947" s="5">
        <v>184464</v>
      </c>
      <c r="L947" s="4" t="s">
        <v>150</v>
      </c>
      <c r="M947" s="4" t="s">
        <v>151</v>
      </c>
      <c r="N947" s="3">
        <v>45895</v>
      </c>
      <c r="O947" s="4" t="s">
        <v>642</v>
      </c>
      <c r="P947" s="2">
        <v>1000</v>
      </c>
      <c r="Q947" s="2">
        <v>4361</v>
      </c>
      <c r="R947" s="4" t="s">
        <v>760</v>
      </c>
      <c r="S947" s="5">
        <v>58699710</v>
      </c>
    </row>
    <row r="948" spans="1:19" x14ac:dyDescent="0.25">
      <c r="A948" s="4" t="s">
        <v>61</v>
      </c>
      <c r="B948" s="4" t="s">
        <v>59</v>
      </c>
      <c r="C948" s="4" t="s">
        <v>62</v>
      </c>
      <c r="D948" s="4" t="s">
        <v>63</v>
      </c>
      <c r="E948" s="4" t="s">
        <v>206</v>
      </c>
      <c r="F948" s="4" t="s">
        <v>207</v>
      </c>
      <c r="G948" s="4" t="s">
        <v>97</v>
      </c>
      <c r="H948" s="4" t="s">
        <v>26</v>
      </c>
      <c r="I948" s="5">
        <v>155000000</v>
      </c>
      <c r="J948" s="5">
        <v>116200</v>
      </c>
      <c r="K948" s="5">
        <v>11620</v>
      </c>
      <c r="L948" s="4" t="s">
        <v>26</v>
      </c>
      <c r="M948" s="4" t="s">
        <v>26</v>
      </c>
      <c r="N948" s="3">
        <v>45887</v>
      </c>
      <c r="O948" s="4" t="s">
        <v>283</v>
      </c>
      <c r="P948" s="2">
        <v>1000</v>
      </c>
      <c r="Q948" s="2">
        <v>4367</v>
      </c>
      <c r="R948" s="4" t="s">
        <v>755</v>
      </c>
      <c r="S948" s="5">
        <v>153252100</v>
      </c>
    </row>
    <row r="949" spans="1:19" x14ac:dyDescent="0.25">
      <c r="A949" s="4" t="s">
        <v>61</v>
      </c>
      <c r="B949" s="4" t="s">
        <v>59</v>
      </c>
      <c r="C949" s="4" t="s">
        <v>62</v>
      </c>
      <c r="D949" s="4" t="s">
        <v>63</v>
      </c>
      <c r="E949" s="4" t="s">
        <v>103</v>
      </c>
      <c r="F949" s="4" t="s">
        <v>104</v>
      </c>
      <c r="G949" s="4" t="s">
        <v>105</v>
      </c>
      <c r="H949" s="4" t="s">
        <v>26</v>
      </c>
      <c r="I949" s="5">
        <v>155000000</v>
      </c>
      <c r="J949" s="5">
        <v>152100</v>
      </c>
      <c r="K949" s="5">
        <v>15210</v>
      </c>
      <c r="L949" s="4" t="s">
        <v>26</v>
      </c>
      <c r="M949" s="4" t="s">
        <v>26</v>
      </c>
      <c r="N949" s="3">
        <v>45886</v>
      </c>
      <c r="O949" s="4" t="s">
        <v>432</v>
      </c>
      <c r="P949" s="2">
        <v>1000</v>
      </c>
      <c r="Q949" s="2">
        <v>4381</v>
      </c>
      <c r="R949" s="4" t="s">
        <v>755</v>
      </c>
      <c r="S949" s="5">
        <v>150234500</v>
      </c>
    </row>
    <row r="950" spans="1:19" x14ac:dyDescent="0.25">
      <c r="A950" s="4" t="s">
        <v>61</v>
      </c>
      <c r="B950" s="4" t="s">
        <v>59</v>
      </c>
      <c r="C950" s="4" t="s">
        <v>62</v>
      </c>
      <c r="D950" s="4" t="s">
        <v>63</v>
      </c>
      <c r="E950" s="4" t="s">
        <v>103</v>
      </c>
      <c r="F950" s="4" t="s">
        <v>104</v>
      </c>
      <c r="G950" s="4" t="s">
        <v>105</v>
      </c>
      <c r="H950" s="4" t="s">
        <v>26</v>
      </c>
      <c r="I950" s="5">
        <v>155000000</v>
      </c>
      <c r="J950" s="5">
        <v>58500</v>
      </c>
      <c r="K950" s="5">
        <v>5850</v>
      </c>
      <c r="L950" s="4" t="s">
        <v>26</v>
      </c>
      <c r="M950" s="4" t="s">
        <v>26</v>
      </c>
      <c r="N950" s="3">
        <v>45886</v>
      </c>
      <c r="O950" s="4" t="s">
        <v>432</v>
      </c>
      <c r="P950" s="2">
        <v>2000</v>
      </c>
      <c r="Q950" s="2">
        <v>4381</v>
      </c>
      <c r="R950" s="4" t="s">
        <v>755</v>
      </c>
      <c r="S950" s="5">
        <v>150234500</v>
      </c>
    </row>
    <row r="951" spans="1:19" x14ac:dyDescent="0.25">
      <c r="A951" s="4" t="s">
        <v>61</v>
      </c>
      <c r="B951" s="4" t="s">
        <v>59</v>
      </c>
      <c r="C951" s="4" t="s">
        <v>62</v>
      </c>
      <c r="D951" s="4" t="s">
        <v>63</v>
      </c>
      <c r="E951" s="4" t="s">
        <v>103</v>
      </c>
      <c r="F951" s="4" t="s">
        <v>104</v>
      </c>
      <c r="G951" s="4" t="s">
        <v>105</v>
      </c>
      <c r="H951" s="4" t="s">
        <v>26</v>
      </c>
      <c r="I951" s="5">
        <v>155000000</v>
      </c>
      <c r="J951" s="5">
        <v>2700</v>
      </c>
      <c r="K951" s="5">
        <v>270</v>
      </c>
      <c r="L951" s="4" t="s">
        <v>26</v>
      </c>
      <c r="M951" s="4" t="s">
        <v>26</v>
      </c>
      <c r="N951" s="3">
        <v>45886</v>
      </c>
      <c r="O951" s="4" t="s">
        <v>432</v>
      </c>
      <c r="P951" s="2">
        <v>3000</v>
      </c>
      <c r="Q951" s="2">
        <v>4381</v>
      </c>
      <c r="R951" s="4" t="s">
        <v>755</v>
      </c>
      <c r="S951" s="5">
        <v>150234500</v>
      </c>
    </row>
    <row r="952" spans="1:19" x14ac:dyDescent="0.25">
      <c r="A952" s="4" t="s">
        <v>61</v>
      </c>
      <c r="B952" s="4" t="s">
        <v>59</v>
      </c>
      <c r="C952" s="4" t="s">
        <v>62</v>
      </c>
      <c r="D952" s="4" t="s">
        <v>63</v>
      </c>
      <c r="E952" s="4" t="s">
        <v>127</v>
      </c>
      <c r="F952" s="4" t="s">
        <v>128</v>
      </c>
      <c r="G952" s="4" t="s">
        <v>50</v>
      </c>
      <c r="H952" s="4" t="s">
        <v>26</v>
      </c>
      <c r="I952" s="5">
        <v>65000000</v>
      </c>
      <c r="J952" s="5">
        <v>39000</v>
      </c>
      <c r="K952" s="5">
        <v>3900</v>
      </c>
      <c r="L952" s="4" t="s">
        <v>129</v>
      </c>
      <c r="M952" s="4" t="s">
        <v>130</v>
      </c>
      <c r="N952" s="3">
        <v>45886</v>
      </c>
      <c r="O952" s="4" t="s">
        <v>532</v>
      </c>
      <c r="P952" s="2">
        <v>1000</v>
      </c>
      <c r="Q952" s="2">
        <v>4401</v>
      </c>
      <c r="R952" s="4" t="s">
        <v>26</v>
      </c>
      <c r="S952" s="5">
        <v>60417600</v>
      </c>
    </row>
    <row r="953" spans="1:19" x14ac:dyDescent="0.25">
      <c r="A953" s="4" t="s">
        <v>61</v>
      </c>
      <c r="B953" s="4" t="s">
        <v>59</v>
      </c>
      <c r="C953" s="4" t="s">
        <v>62</v>
      </c>
      <c r="D953" s="4" t="s">
        <v>63</v>
      </c>
      <c r="E953" s="4" t="s">
        <v>197</v>
      </c>
      <c r="F953" s="4" t="s">
        <v>198</v>
      </c>
      <c r="G953" s="4" t="s">
        <v>199</v>
      </c>
      <c r="H953" s="4" t="s">
        <v>26</v>
      </c>
      <c r="I953" s="5">
        <v>65000000</v>
      </c>
      <c r="J953" s="5">
        <v>45000</v>
      </c>
      <c r="K953" s="5">
        <v>4500</v>
      </c>
      <c r="L953" s="4" t="s">
        <v>26</v>
      </c>
      <c r="M953" s="4" t="s">
        <v>26</v>
      </c>
      <c r="N953" s="3">
        <v>45888</v>
      </c>
      <c r="O953" s="4" t="s">
        <v>283</v>
      </c>
      <c r="P953" s="2">
        <v>1000</v>
      </c>
      <c r="Q953" s="2">
        <v>4407</v>
      </c>
      <c r="R953" s="4" t="s">
        <v>84</v>
      </c>
      <c r="S953" s="5">
        <v>64626000</v>
      </c>
    </row>
    <row r="954" spans="1:19" x14ac:dyDescent="0.25">
      <c r="A954" s="4" t="s">
        <v>61</v>
      </c>
      <c r="B954" s="4" t="s">
        <v>59</v>
      </c>
      <c r="C954" s="4" t="s">
        <v>62</v>
      </c>
      <c r="D954" s="4" t="s">
        <v>63</v>
      </c>
      <c r="E954" s="4" t="s">
        <v>204</v>
      </c>
      <c r="F954" s="4" t="s">
        <v>205</v>
      </c>
      <c r="G954" s="4" t="s">
        <v>144</v>
      </c>
      <c r="H954" s="4" t="s">
        <v>26</v>
      </c>
      <c r="I954" s="5">
        <v>90000000</v>
      </c>
      <c r="J954" s="5">
        <v>34000</v>
      </c>
      <c r="K954" s="5">
        <v>3400</v>
      </c>
      <c r="L954" s="4" t="s">
        <v>26</v>
      </c>
      <c r="M954" s="4" t="s">
        <v>26</v>
      </c>
      <c r="N954" s="3">
        <v>45878</v>
      </c>
      <c r="O954" s="4" t="s">
        <v>154</v>
      </c>
      <c r="P954" s="2">
        <v>1000</v>
      </c>
      <c r="Q954" s="2">
        <v>4428</v>
      </c>
      <c r="R954" s="4" t="s">
        <v>84</v>
      </c>
      <c r="S954" s="5">
        <v>80677900</v>
      </c>
    </row>
    <row r="955" spans="1:19" x14ac:dyDescent="0.25">
      <c r="A955" s="4" t="s">
        <v>61</v>
      </c>
      <c r="B955" s="4" t="s">
        <v>59</v>
      </c>
      <c r="C955" s="4" t="s">
        <v>62</v>
      </c>
      <c r="D955" s="4" t="s">
        <v>63</v>
      </c>
      <c r="E955" s="4" t="s">
        <v>204</v>
      </c>
      <c r="F955" s="4" t="s">
        <v>205</v>
      </c>
      <c r="G955" s="4" t="s">
        <v>144</v>
      </c>
      <c r="H955" s="4" t="s">
        <v>26</v>
      </c>
      <c r="I955" s="5">
        <v>90000000</v>
      </c>
      <c r="J955" s="5">
        <v>29750</v>
      </c>
      <c r="K955" s="5">
        <v>2975</v>
      </c>
      <c r="L955" s="4" t="s">
        <v>26</v>
      </c>
      <c r="M955" s="4" t="s">
        <v>26</v>
      </c>
      <c r="N955" s="3">
        <v>45878</v>
      </c>
      <c r="O955" s="4" t="s">
        <v>154</v>
      </c>
      <c r="P955" s="2">
        <v>2000</v>
      </c>
      <c r="Q955" s="2">
        <v>4428</v>
      </c>
      <c r="R955" s="4" t="s">
        <v>84</v>
      </c>
      <c r="S955" s="5">
        <v>80677900</v>
      </c>
    </row>
    <row r="956" spans="1:19" x14ac:dyDescent="0.25">
      <c r="A956" s="4" t="s">
        <v>61</v>
      </c>
      <c r="B956" s="4" t="s">
        <v>59</v>
      </c>
      <c r="C956" s="4" t="s">
        <v>62</v>
      </c>
      <c r="D956" s="4" t="s">
        <v>63</v>
      </c>
      <c r="E956" s="4" t="s">
        <v>277</v>
      </c>
      <c r="F956" s="4" t="s">
        <v>278</v>
      </c>
      <c r="G956" s="4" t="s">
        <v>50</v>
      </c>
      <c r="H956" s="4" t="s">
        <v>26</v>
      </c>
      <c r="I956" s="5">
        <v>65000000</v>
      </c>
      <c r="J956" s="5">
        <v>300000</v>
      </c>
      <c r="K956" s="5">
        <v>30000</v>
      </c>
      <c r="L956" s="4" t="s">
        <v>26</v>
      </c>
      <c r="M956" s="4" t="s">
        <v>26</v>
      </c>
      <c r="N956" s="3">
        <v>45898</v>
      </c>
      <c r="O956" s="4" t="s">
        <v>587</v>
      </c>
      <c r="P956" s="2">
        <v>1000</v>
      </c>
      <c r="Q956" s="2">
        <v>4432</v>
      </c>
      <c r="R956" s="4" t="s">
        <v>765</v>
      </c>
      <c r="S956" s="5">
        <v>64145800</v>
      </c>
    </row>
    <row r="957" spans="1:19" x14ac:dyDescent="0.25">
      <c r="A957" s="4" t="s">
        <v>61</v>
      </c>
      <c r="B957" s="4" t="s">
        <v>59</v>
      </c>
      <c r="C957" s="4" t="s">
        <v>62</v>
      </c>
      <c r="D957" s="4" t="s">
        <v>63</v>
      </c>
      <c r="E957" s="4" t="s">
        <v>92</v>
      </c>
      <c r="F957" s="4" t="s">
        <v>93</v>
      </c>
      <c r="G957" s="4" t="s">
        <v>94</v>
      </c>
      <c r="H957" s="4" t="s">
        <v>26</v>
      </c>
      <c r="I957" s="5">
        <v>155000000</v>
      </c>
      <c r="J957" s="5">
        <v>126000</v>
      </c>
      <c r="K957" s="5">
        <v>12600</v>
      </c>
      <c r="L957" s="4" t="s">
        <v>26</v>
      </c>
      <c r="M957" s="4" t="s">
        <v>26</v>
      </c>
      <c r="N957" s="3">
        <v>45888</v>
      </c>
      <c r="O957" s="4" t="s">
        <v>283</v>
      </c>
      <c r="P957" s="2">
        <v>1000</v>
      </c>
      <c r="Q957" s="2">
        <v>4434</v>
      </c>
      <c r="R957" s="4" t="s">
        <v>755</v>
      </c>
      <c r="S957" s="5">
        <v>145558700</v>
      </c>
    </row>
    <row r="958" spans="1:19" x14ac:dyDescent="0.25">
      <c r="A958" s="4" t="s">
        <v>61</v>
      </c>
      <c r="B958" s="4" t="s">
        <v>59</v>
      </c>
      <c r="C958" s="4" t="s">
        <v>62</v>
      </c>
      <c r="D958" s="4" t="s">
        <v>63</v>
      </c>
      <c r="E958" s="4" t="s">
        <v>155</v>
      </c>
      <c r="F958" s="4" t="s">
        <v>156</v>
      </c>
      <c r="G958" s="4" t="s">
        <v>157</v>
      </c>
      <c r="H958" s="4" t="s">
        <v>26</v>
      </c>
      <c r="I958" s="5">
        <v>90000000</v>
      </c>
      <c r="J958" s="5">
        <v>79200</v>
      </c>
      <c r="K958" s="5">
        <v>7920</v>
      </c>
      <c r="L958" s="4" t="s">
        <v>158</v>
      </c>
      <c r="M958" s="4" t="s">
        <v>159</v>
      </c>
      <c r="N958" s="3">
        <v>45888</v>
      </c>
      <c r="O958" s="4" t="s">
        <v>283</v>
      </c>
      <c r="P958" s="2">
        <v>1000</v>
      </c>
      <c r="Q958" s="2">
        <v>4439</v>
      </c>
      <c r="R958" s="4" t="s">
        <v>26</v>
      </c>
      <c r="S958" s="5">
        <v>87868500</v>
      </c>
    </row>
    <row r="959" spans="1:19" x14ac:dyDescent="0.25">
      <c r="A959" s="4" t="s">
        <v>61</v>
      </c>
      <c r="B959" s="4" t="s">
        <v>59</v>
      </c>
      <c r="C959" s="4" t="s">
        <v>62</v>
      </c>
      <c r="D959" s="4" t="s">
        <v>63</v>
      </c>
      <c r="E959" s="4" t="s">
        <v>155</v>
      </c>
      <c r="F959" s="4" t="s">
        <v>156</v>
      </c>
      <c r="G959" s="4" t="s">
        <v>157</v>
      </c>
      <c r="H959" s="4" t="s">
        <v>26</v>
      </c>
      <c r="I959" s="5">
        <v>90000000</v>
      </c>
      <c r="J959" s="5">
        <v>88000</v>
      </c>
      <c r="K959" s="5">
        <v>8800</v>
      </c>
      <c r="L959" s="4" t="s">
        <v>158</v>
      </c>
      <c r="M959" s="4" t="s">
        <v>159</v>
      </c>
      <c r="N959" s="3">
        <v>45888</v>
      </c>
      <c r="O959" s="4" t="s">
        <v>283</v>
      </c>
      <c r="P959" s="2">
        <v>2000</v>
      </c>
      <c r="Q959" s="2">
        <v>4439</v>
      </c>
      <c r="R959" s="4" t="s">
        <v>26</v>
      </c>
      <c r="S959" s="5">
        <v>87868500</v>
      </c>
    </row>
    <row r="960" spans="1:19" x14ac:dyDescent="0.25">
      <c r="A960" s="4" t="s">
        <v>61</v>
      </c>
      <c r="B960" s="4" t="s">
        <v>59</v>
      </c>
      <c r="C960" s="4" t="s">
        <v>62</v>
      </c>
      <c r="D960" s="4" t="s">
        <v>63</v>
      </c>
      <c r="E960" s="4" t="s">
        <v>155</v>
      </c>
      <c r="F960" s="4" t="s">
        <v>156</v>
      </c>
      <c r="G960" s="4" t="s">
        <v>157</v>
      </c>
      <c r="H960" s="4" t="s">
        <v>26</v>
      </c>
      <c r="I960" s="5">
        <v>90000000</v>
      </c>
      <c r="J960" s="5">
        <v>79200</v>
      </c>
      <c r="K960" s="5">
        <v>7920</v>
      </c>
      <c r="L960" s="4" t="s">
        <v>158</v>
      </c>
      <c r="M960" s="4" t="s">
        <v>159</v>
      </c>
      <c r="N960" s="3">
        <v>45888</v>
      </c>
      <c r="O960" s="4" t="s">
        <v>283</v>
      </c>
      <c r="P960" s="2">
        <v>3000</v>
      </c>
      <c r="Q960" s="2">
        <v>4439</v>
      </c>
      <c r="R960" s="4" t="s">
        <v>26</v>
      </c>
      <c r="S960" s="5">
        <v>87868500</v>
      </c>
    </row>
    <row r="961" spans="1:19" x14ac:dyDescent="0.25">
      <c r="A961" s="4" t="s">
        <v>61</v>
      </c>
      <c r="B961" s="4" t="s">
        <v>59</v>
      </c>
      <c r="C961" s="4" t="s">
        <v>62</v>
      </c>
      <c r="D961" s="4" t="s">
        <v>63</v>
      </c>
      <c r="E961" s="4" t="s">
        <v>155</v>
      </c>
      <c r="F961" s="4" t="s">
        <v>156</v>
      </c>
      <c r="G961" s="4" t="s">
        <v>157</v>
      </c>
      <c r="H961" s="4" t="s">
        <v>26</v>
      </c>
      <c r="I961" s="5">
        <v>90000000</v>
      </c>
      <c r="J961" s="5">
        <v>114400</v>
      </c>
      <c r="K961" s="5">
        <v>11440</v>
      </c>
      <c r="L961" s="4" t="s">
        <v>158</v>
      </c>
      <c r="M961" s="4" t="s">
        <v>159</v>
      </c>
      <c r="N961" s="3">
        <v>45888</v>
      </c>
      <c r="O961" s="4" t="s">
        <v>283</v>
      </c>
      <c r="P961" s="2">
        <v>4000</v>
      </c>
      <c r="Q961" s="2">
        <v>4439</v>
      </c>
      <c r="R961" s="4" t="s">
        <v>26</v>
      </c>
      <c r="S961" s="5">
        <v>87868500</v>
      </c>
    </row>
    <row r="962" spans="1:19" x14ac:dyDescent="0.25">
      <c r="A962" s="4" t="s">
        <v>61</v>
      </c>
      <c r="B962" s="4" t="s">
        <v>59</v>
      </c>
      <c r="C962" s="4" t="s">
        <v>62</v>
      </c>
      <c r="D962" s="4" t="s">
        <v>63</v>
      </c>
      <c r="E962" s="4" t="s">
        <v>155</v>
      </c>
      <c r="F962" s="4" t="s">
        <v>156</v>
      </c>
      <c r="G962" s="4" t="s">
        <v>157</v>
      </c>
      <c r="H962" s="4" t="s">
        <v>26</v>
      </c>
      <c r="I962" s="5">
        <v>90000000</v>
      </c>
      <c r="J962" s="5">
        <v>70400</v>
      </c>
      <c r="K962" s="5">
        <v>7040</v>
      </c>
      <c r="L962" s="4" t="s">
        <v>158</v>
      </c>
      <c r="M962" s="4" t="s">
        <v>159</v>
      </c>
      <c r="N962" s="3">
        <v>45888</v>
      </c>
      <c r="O962" s="4" t="s">
        <v>283</v>
      </c>
      <c r="P962" s="2">
        <v>5000</v>
      </c>
      <c r="Q962" s="2">
        <v>4439</v>
      </c>
      <c r="R962" s="4" t="s">
        <v>26</v>
      </c>
      <c r="S962" s="5">
        <v>87868500</v>
      </c>
    </row>
    <row r="963" spans="1:19" x14ac:dyDescent="0.25">
      <c r="A963" s="4" t="s">
        <v>61</v>
      </c>
      <c r="B963" s="4" t="s">
        <v>59</v>
      </c>
      <c r="C963" s="4" t="s">
        <v>62</v>
      </c>
      <c r="D963" s="4" t="s">
        <v>63</v>
      </c>
      <c r="E963" s="4" t="s">
        <v>170</v>
      </c>
      <c r="F963" s="4" t="s">
        <v>171</v>
      </c>
      <c r="G963" s="4" t="s">
        <v>50</v>
      </c>
      <c r="H963" s="4" t="s">
        <v>26</v>
      </c>
      <c r="I963" s="5">
        <v>65000000</v>
      </c>
      <c r="J963" s="5">
        <v>65000</v>
      </c>
      <c r="K963" s="5">
        <v>6500</v>
      </c>
      <c r="L963" s="4" t="s">
        <v>26</v>
      </c>
      <c r="M963" s="4" t="s">
        <v>26</v>
      </c>
      <c r="N963" s="3">
        <v>45880</v>
      </c>
      <c r="O963" s="4" t="s">
        <v>459</v>
      </c>
      <c r="P963" s="2">
        <v>1000</v>
      </c>
      <c r="Q963" s="2">
        <v>4453</v>
      </c>
      <c r="R963" s="4" t="s">
        <v>84</v>
      </c>
      <c r="S963" s="5">
        <v>59051100</v>
      </c>
    </row>
    <row r="964" spans="1:19" x14ac:dyDescent="0.25">
      <c r="A964" s="4" t="s">
        <v>61</v>
      </c>
      <c r="B964" s="4" t="s">
        <v>59</v>
      </c>
      <c r="C964" s="4" t="s">
        <v>62</v>
      </c>
      <c r="D964" s="4" t="s">
        <v>63</v>
      </c>
      <c r="E964" s="4" t="s">
        <v>244</v>
      </c>
      <c r="F964" s="4" t="s">
        <v>245</v>
      </c>
      <c r="G964" s="4" t="s">
        <v>246</v>
      </c>
      <c r="H964" s="4" t="s">
        <v>26</v>
      </c>
      <c r="I964" s="5">
        <v>155000000</v>
      </c>
      <c r="J964" s="5">
        <v>49500</v>
      </c>
      <c r="K964" s="5">
        <v>4950</v>
      </c>
      <c r="L964" s="4" t="s">
        <v>26</v>
      </c>
      <c r="M964" s="4" t="s">
        <v>26</v>
      </c>
      <c r="N964" s="3">
        <v>45881</v>
      </c>
      <c r="O964" s="4" t="s">
        <v>459</v>
      </c>
      <c r="P964" s="2">
        <v>1000</v>
      </c>
      <c r="Q964" s="2">
        <v>4470</v>
      </c>
      <c r="R964" s="4" t="s">
        <v>747</v>
      </c>
      <c r="S964" s="5">
        <v>151077800</v>
      </c>
    </row>
    <row r="965" spans="1:19" x14ac:dyDescent="0.25">
      <c r="A965" s="4" t="s">
        <v>61</v>
      </c>
      <c r="B965" s="4" t="s">
        <v>59</v>
      </c>
      <c r="C965" s="4" t="s">
        <v>62</v>
      </c>
      <c r="D965" s="4" t="s">
        <v>63</v>
      </c>
      <c r="E965" s="4" t="s">
        <v>255</v>
      </c>
      <c r="F965" s="4" t="s">
        <v>256</v>
      </c>
      <c r="G965" s="4" t="s">
        <v>144</v>
      </c>
      <c r="H965" s="4" t="s">
        <v>26</v>
      </c>
      <c r="I965" s="5">
        <v>90000000</v>
      </c>
      <c r="J965" s="5">
        <v>332500</v>
      </c>
      <c r="K965" s="5">
        <v>33250</v>
      </c>
      <c r="L965" s="4" t="s">
        <v>281</v>
      </c>
      <c r="M965" s="4" t="s">
        <v>282</v>
      </c>
      <c r="N965" s="3">
        <v>45898</v>
      </c>
      <c r="O965" s="4" t="s">
        <v>587</v>
      </c>
      <c r="P965" s="2">
        <v>1000</v>
      </c>
      <c r="Q965" s="2">
        <v>4470</v>
      </c>
      <c r="R965" s="4" t="s">
        <v>756</v>
      </c>
      <c r="S965" s="5">
        <v>81505500</v>
      </c>
    </row>
    <row r="966" spans="1:19" x14ac:dyDescent="0.25">
      <c r="A966" s="4" t="s">
        <v>61</v>
      </c>
      <c r="B966" s="4" t="s">
        <v>59</v>
      </c>
      <c r="C966" s="4" t="s">
        <v>62</v>
      </c>
      <c r="D966" s="4" t="s">
        <v>63</v>
      </c>
      <c r="E966" s="4" t="s">
        <v>193</v>
      </c>
      <c r="F966" s="4" t="s">
        <v>194</v>
      </c>
      <c r="G966" s="4" t="s">
        <v>105</v>
      </c>
      <c r="H966" s="4" t="s">
        <v>26</v>
      </c>
      <c r="I966" s="5">
        <v>155000000</v>
      </c>
      <c r="J966" s="5">
        <v>40500</v>
      </c>
      <c r="K966" s="5">
        <v>4050</v>
      </c>
      <c r="L966" s="4" t="s">
        <v>195</v>
      </c>
      <c r="M966" s="4" t="s">
        <v>196</v>
      </c>
      <c r="N966" s="3">
        <v>45881</v>
      </c>
      <c r="O966" s="4" t="s">
        <v>459</v>
      </c>
      <c r="P966" s="2">
        <v>1000</v>
      </c>
      <c r="Q966" s="2">
        <v>4473</v>
      </c>
      <c r="R966" s="4" t="s">
        <v>26</v>
      </c>
      <c r="S966" s="5">
        <v>149540330</v>
      </c>
    </row>
    <row r="967" spans="1:19" x14ac:dyDescent="0.25">
      <c r="A967" s="4" t="s">
        <v>61</v>
      </c>
      <c r="B967" s="4" t="s">
        <v>59</v>
      </c>
      <c r="C967" s="4" t="s">
        <v>62</v>
      </c>
      <c r="D967" s="4" t="s">
        <v>63</v>
      </c>
      <c r="E967" s="4" t="s">
        <v>74</v>
      </c>
      <c r="F967" s="4" t="s">
        <v>75</v>
      </c>
      <c r="G967" s="4" t="s">
        <v>76</v>
      </c>
      <c r="H967" s="4" t="s">
        <v>26</v>
      </c>
      <c r="I967" s="5">
        <v>110000000</v>
      </c>
      <c r="J967" s="5">
        <v>54000</v>
      </c>
      <c r="K967" s="5">
        <v>5400</v>
      </c>
      <c r="L967" s="4" t="s">
        <v>77</v>
      </c>
      <c r="M967" s="4" t="s">
        <v>78</v>
      </c>
      <c r="N967" s="3">
        <v>45881</v>
      </c>
      <c r="O967" s="4" t="s">
        <v>459</v>
      </c>
      <c r="P967" s="2">
        <v>1000</v>
      </c>
      <c r="Q967" s="2">
        <v>4483</v>
      </c>
      <c r="R967" s="4" t="s">
        <v>747</v>
      </c>
      <c r="S967" s="5">
        <v>108586000</v>
      </c>
    </row>
    <row r="968" spans="1:19" x14ac:dyDescent="0.25">
      <c r="A968" s="4" t="s">
        <v>61</v>
      </c>
      <c r="B968" s="4" t="s">
        <v>59</v>
      </c>
      <c r="C968" s="4" t="s">
        <v>62</v>
      </c>
      <c r="D968" s="4" t="s">
        <v>63</v>
      </c>
      <c r="E968" s="4" t="s">
        <v>359</v>
      </c>
      <c r="F968" s="4" t="s">
        <v>360</v>
      </c>
      <c r="G968" s="4" t="s">
        <v>50</v>
      </c>
      <c r="H968" s="4" t="s">
        <v>26</v>
      </c>
      <c r="I968" s="5">
        <v>65000000</v>
      </c>
      <c r="J968" s="5">
        <v>38500</v>
      </c>
      <c r="K968" s="5">
        <v>3850</v>
      </c>
      <c r="L968" s="4" t="s">
        <v>361</v>
      </c>
      <c r="M968" s="4" t="s">
        <v>362</v>
      </c>
      <c r="N968" s="3">
        <v>45888</v>
      </c>
      <c r="O968" s="4" t="s">
        <v>283</v>
      </c>
      <c r="P968" s="2">
        <v>1000</v>
      </c>
      <c r="Q968" s="2">
        <v>4515</v>
      </c>
      <c r="R968" s="4" t="s">
        <v>755</v>
      </c>
      <c r="S968" s="5">
        <v>60590420</v>
      </c>
    </row>
    <row r="969" spans="1:19" x14ac:dyDescent="0.25">
      <c r="A969" s="4" t="s">
        <v>61</v>
      </c>
      <c r="B969" s="4" t="s">
        <v>59</v>
      </c>
      <c r="C969" s="4" t="s">
        <v>62</v>
      </c>
      <c r="D969" s="4" t="s">
        <v>63</v>
      </c>
      <c r="E969" s="4" t="s">
        <v>359</v>
      </c>
      <c r="F969" s="4" t="s">
        <v>360</v>
      </c>
      <c r="G969" s="4" t="s">
        <v>50</v>
      </c>
      <c r="H969" s="4" t="s">
        <v>26</v>
      </c>
      <c r="I969" s="5">
        <v>65000000</v>
      </c>
      <c r="J969" s="5">
        <v>53900</v>
      </c>
      <c r="K969" s="5">
        <v>5390</v>
      </c>
      <c r="L969" s="4" t="s">
        <v>361</v>
      </c>
      <c r="M969" s="4" t="s">
        <v>362</v>
      </c>
      <c r="N969" s="3">
        <v>45888</v>
      </c>
      <c r="O969" s="4" t="s">
        <v>283</v>
      </c>
      <c r="P969" s="2">
        <v>2000</v>
      </c>
      <c r="Q969" s="2">
        <v>4515</v>
      </c>
      <c r="R969" s="4" t="s">
        <v>755</v>
      </c>
      <c r="S969" s="5">
        <v>60590420</v>
      </c>
    </row>
    <row r="970" spans="1:19" x14ac:dyDescent="0.25">
      <c r="A970" s="4" t="s">
        <v>61</v>
      </c>
      <c r="B970" s="4" t="s">
        <v>59</v>
      </c>
      <c r="C970" s="4" t="s">
        <v>62</v>
      </c>
      <c r="D970" s="4" t="s">
        <v>63</v>
      </c>
      <c r="E970" s="4" t="s">
        <v>359</v>
      </c>
      <c r="F970" s="4" t="s">
        <v>360</v>
      </c>
      <c r="G970" s="4" t="s">
        <v>50</v>
      </c>
      <c r="H970" s="4" t="s">
        <v>26</v>
      </c>
      <c r="I970" s="5">
        <v>65000000</v>
      </c>
      <c r="J970" s="5">
        <v>46200</v>
      </c>
      <c r="K970" s="5">
        <v>4620</v>
      </c>
      <c r="L970" s="4" t="s">
        <v>361</v>
      </c>
      <c r="M970" s="4" t="s">
        <v>362</v>
      </c>
      <c r="N970" s="3">
        <v>45888</v>
      </c>
      <c r="O970" s="4" t="s">
        <v>283</v>
      </c>
      <c r="P970" s="2">
        <v>3000</v>
      </c>
      <c r="Q970" s="2">
        <v>4515</v>
      </c>
      <c r="R970" s="4" t="s">
        <v>755</v>
      </c>
      <c r="S970" s="5">
        <v>60590420</v>
      </c>
    </row>
    <row r="971" spans="1:19" x14ac:dyDescent="0.25">
      <c r="A971" s="4" t="s">
        <v>61</v>
      </c>
      <c r="B971" s="4" t="s">
        <v>59</v>
      </c>
      <c r="C971" s="4" t="s">
        <v>62</v>
      </c>
      <c r="D971" s="4" t="s">
        <v>63</v>
      </c>
      <c r="E971" s="4" t="s">
        <v>184</v>
      </c>
      <c r="F971" s="4" t="s">
        <v>185</v>
      </c>
      <c r="G971" s="4" t="s">
        <v>100</v>
      </c>
      <c r="H971" s="4" t="s">
        <v>26</v>
      </c>
      <c r="I971" s="5">
        <v>65000000</v>
      </c>
      <c r="J971" s="5">
        <v>52000</v>
      </c>
      <c r="K971" s="5">
        <v>5200</v>
      </c>
      <c r="L971" s="4" t="s">
        <v>120</v>
      </c>
      <c r="M971" s="4" t="s">
        <v>121</v>
      </c>
      <c r="N971" s="3">
        <v>45888</v>
      </c>
      <c r="O971" s="4" t="s">
        <v>283</v>
      </c>
      <c r="P971" s="2">
        <v>1000</v>
      </c>
      <c r="Q971" s="2">
        <v>4516</v>
      </c>
      <c r="R971" s="4" t="s">
        <v>26</v>
      </c>
      <c r="S971" s="5">
        <v>64079500</v>
      </c>
    </row>
    <row r="972" spans="1:19" x14ac:dyDescent="0.25">
      <c r="A972" s="4" t="s">
        <v>61</v>
      </c>
      <c r="B972" s="4" t="s">
        <v>59</v>
      </c>
      <c r="C972" s="4" t="s">
        <v>62</v>
      </c>
      <c r="D972" s="4" t="s">
        <v>63</v>
      </c>
      <c r="E972" s="4" t="s">
        <v>265</v>
      </c>
      <c r="F972" s="4" t="s">
        <v>266</v>
      </c>
      <c r="G972" s="4" t="s">
        <v>71</v>
      </c>
      <c r="H972" s="4" t="s">
        <v>26</v>
      </c>
      <c r="I972" s="5">
        <v>155000000</v>
      </c>
      <c r="J972" s="5">
        <v>46200</v>
      </c>
      <c r="K972" s="5">
        <v>4620</v>
      </c>
      <c r="L972" s="4" t="s">
        <v>267</v>
      </c>
      <c r="M972" s="4" t="s">
        <v>268</v>
      </c>
      <c r="N972" s="3">
        <v>45888</v>
      </c>
      <c r="O972" s="4" t="s">
        <v>283</v>
      </c>
      <c r="P972" s="2">
        <v>1000</v>
      </c>
      <c r="Q972" s="2">
        <v>4526</v>
      </c>
      <c r="R972" s="4" t="s">
        <v>755</v>
      </c>
      <c r="S972" s="5">
        <v>151606650</v>
      </c>
    </row>
    <row r="973" spans="1:19" x14ac:dyDescent="0.25">
      <c r="A973" s="4" t="s">
        <v>61</v>
      </c>
      <c r="B973" s="4" t="s">
        <v>59</v>
      </c>
      <c r="C973" s="4" t="s">
        <v>62</v>
      </c>
      <c r="D973" s="4" t="s">
        <v>63</v>
      </c>
      <c r="E973" s="4" t="s">
        <v>367</v>
      </c>
      <c r="F973" s="4" t="s">
        <v>368</v>
      </c>
      <c r="G973" s="4" t="s">
        <v>356</v>
      </c>
      <c r="H973" s="4" t="s">
        <v>26</v>
      </c>
      <c r="I973" s="5">
        <v>155000000</v>
      </c>
      <c r="J973" s="5">
        <v>115200</v>
      </c>
      <c r="K973" s="5">
        <v>11520</v>
      </c>
      <c r="L973" s="4" t="s">
        <v>369</v>
      </c>
      <c r="M973" s="4" t="s">
        <v>370</v>
      </c>
      <c r="N973" s="3">
        <v>45888</v>
      </c>
      <c r="O973" s="4" t="s">
        <v>283</v>
      </c>
      <c r="P973" s="2">
        <v>1000</v>
      </c>
      <c r="Q973" s="2">
        <v>4531</v>
      </c>
      <c r="R973" s="4" t="s">
        <v>755</v>
      </c>
      <c r="S973" s="5">
        <v>153737800</v>
      </c>
    </row>
    <row r="974" spans="1:19" x14ac:dyDescent="0.25">
      <c r="A974" s="4" t="s">
        <v>61</v>
      </c>
      <c r="B974" s="4" t="s">
        <v>59</v>
      </c>
      <c r="C974" s="4" t="s">
        <v>62</v>
      </c>
      <c r="D974" s="4" t="s">
        <v>63</v>
      </c>
      <c r="E974" s="4" t="s">
        <v>265</v>
      </c>
      <c r="F974" s="4" t="s">
        <v>266</v>
      </c>
      <c r="G974" s="4" t="s">
        <v>71</v>
      </c>
      <c r="H974" s="4" t="s">
        <v>26</v>
      </c>
      <c r="I974" s="5">
        <v>155000000</v>
      </c>
      <c r="J974" s="5">
        <v>-46200</v>
      </c>
      <c r="K974" s="5">
        <v>-4620</v>
      </c>
      <c r="L974" s="4" t="s">
        <v>267</v>
      </c>
      <c r="M974" s="4" t="s">
        <v>268</v>
      </c>
      <c r="N974" s="3">
        <v>45888</v>
      </c>
      <c r="O974" s="4" t="s">
        <v>283</v>
      </c>
      <c r="P974" s="2">
        <v>1000</v>
      </c>
      <c r="Q974" s="2">
        <v>4540</v>
      </c>
      <c r="R974" s="4" t="s">
        <v>755</v>
      </c>
      <c r="S974" s="5">
        <v>151606650</v>
      </c>
    </row>
    <row r="975" spans="1:19" x14ac:dyDescent="0.25">
      <c r="A975" s="4" t="s">
        <v>61</v>
      </c>
      <c r="B975" s="4" t="s">
        <v>59</v>
      </c>
      <c r="C975" s="4" t="s">
        <v>62</v>
      </c>
      <c r="D975" s="4" t="s">
        <v>63</v>
      </c>
      <c r="E975" s="4" t="s">
        <v>265</v>
      </c>
      <c r="F975" s="4" t="s">
        <v>266</v>
      </c>
      <c r="G975" s="4" t="s">
        <v>71</v>
      </c>
      <c r="H975" s="4" t="s">
        <v>26</v>
      </c>
      <c r="I975" s="5">
        <v>155000000</v>
      </c>
      <c r="J975" s="5">
        <v>175740</v>
      </c>
      <c r="K975" s="5">
        <v>17574</v>
      </c>
      <c r="L975" s="4" t="s">
        <v>267</v>
      </c>
      <c r="M975" s="4" t="s">
        <v>268</v>
      </c>
      <c r="N975" s="3">
        <v>45888</v>
      </c>
      <c r="O975" s="4" t="s">
        <v>283</v>
      </c>
      <c r="P975" s="2">
        <v>1000</v>
      </c>
      <c r="Q975" s="2">
        <v>4541</v>
      </c>
      <c r="R975" s="4" t="s">
        <v>755</v>
      </c>
      <c r="S975" s="5">
        <v>151606650</v>
      </c>
    </row>
    <row r="976" spans="1:19" x14ac:dyDescent="0.25">
      <c r="A976" s="4" t="s">
        <v>61</v>
      </c>
      <c r="B976" s="4" t="s">
        <v>59</v>
      </c>
      <c r="C976" s="4" t="s">
        <v>62</v>
      </c>
      <c r="D976" s="4" t="s">
        <v>63</v>
      </c>
      <c r="E976" s="4" t="s">
        <v>265</v>
      </c>
      <c r="F976" s="4" t="s">
        <v>266</v>
      </c>
      <c r="G976" s="4" t="s">
        <v>71</v>
      </c>
      <c r="H976" s="4" t="s">
        <v>26</v>
      </c>
      <c r="I976" s="5">
        <v>155000000</v>
      </c>
      <c r="J976" s="5">
        <v>170830</v>
      </c>
      <c r="K976" s="5">
        <v>17083</v>
      </c>
      <c r="L976" s="4" t="s">
        <v>267</v>
      </c>
      <c r="M976" s="4" t="s">
        <v>268</v>
      </c>
      <c r="N976" s="3">
        <v>45888</v>
      </c>
      <c r="O976" s="4" t="s">
        <v>283</v>
      </c>
      <c r="P976" s="2">
        <v>2000</v>
      </c>
      <c r="Q976" s="2">
        <v>4541</v>
      </c>
      <c r="R976" s="4" t="s">
        <v>755</v>
      </c>
      <c r="S976" s="5">
        <v>151606650</v>
      </c>
    </row>
    <row r="977" spans="1:19" x14ac:dyDescent="0.25">
      <c r="A977" s="4" t="s">
        <v>61</v>
      </c>
      <c r="B977" s="4" t="s">
        <v>59</v>
      </c>
      <c r="C977" s="4" t="s">
        <v>62</v>
      </c>
      <c r="D977" s="4" t="s">
        <v>63</v>
      </c>
      <c r="E977" s="4" t="s">
        <v>265</v>
      </c>
      <c r="F977" s="4" t="s">
        <v>266</v>
      </c>
      <c r="G977" s="4" t="s">
        <v>71</v>
      </c>
      <c r="H977" s="4" t="s">
        <v>26</v>
      </c>
      <c r="I977" s="5">
        <v>155000000</v>
      </c>
      <c r="J977" s="5">
        <v>14720</v>
      </c>
      <c r="K977" s="5">
        <v>1472</v>
      </c>
      <c r="L977" s="4" t="s">
        <v>267</v>
      </c>
      <c r="M977" s="4" t="s">
        <v>268</v>
      </c>
      <c r="N977" s="3">
        <v>45888</v>
      </c>
      <c r="O977" s="4" t="s">
        <v>283</v>
      </c>
      <c r="P977" s="2">
        <v>3000</v>
      </c>
      <c r="Q977" s="2">
        <v>4541</v>
      </c>
      <c r="R977" s="4" t="s">
        <v>755</v>
      </c>
      <c r="S977" s="5">
        <v>151606650</v>
      </c>
    </row>
    <row r="978" spans="1:19" x14ac:dyDescent="0.25">
      <c r="A978" s="4" t="s">
        <v>61</v>
      </c>
      <c r="B978" s="4" t="s">
        <v>59</v>
      </c>
      <c r="C978" s="4" t="s">
        <v>62</v>
      </c>
      <c r="D978" s="4" t="s">
        <v>63</v>
      </c>
      <c r="E978" s="4" t="s">
        <v>265</v>
      </c>
      <c r="F978" s="4" t="s">
        <v>266</v>
      </c>
      <c r="G978" s="4" t="s">
        <v>71</v>
      </c>
      <c r="H978" s="4" t="s">
        <v>26</v>
      </c>
      <c r="I978" s="5">
        <v>155000000</v>
      </c>
      <c r="J978" s="5">
        <v>44180</v>
      </c>
      <c r="K978" s="5">
        <v>4418</v>
      </c>
      <c r="L978" s="4" t="s">
        <v>267</v>
      </c>
      <c r="M978" s="4" t="s">
        <v>268</v>
      </c>
      <c r="N978" s="3">
        <v>45888</v>
      </c>
      <c r="O978" s="4" t="s">
        <v>283</v>
      </c>
      <c r="P978" s="2">
        <v>4000</v>
      </c>
      <c r="Q978" s="2">
        <v>4541</v>
      </c>
      <c r="R978" s="4" t="s">
        <v>755</v>
      </c>
      <c r="S978" s="5">
        <v>151606650</v>
      </c>
    </row>
    <row r="979" spans="1:19" x14ac:dyDescent="0.25">
      <c r="A979" s="4" t="s">
        <v>61</v>
      </c>
      <c r="B979" s="4" t="s">
        <v>59</v>
      </c>
      <c r="C979" s="4" t="s">
        <v>62</v>
      </c>
      <c r="D979" s="4" t="s">
        <v>63</v>
      </c>
      <c r="E979" s="4" t="s">
        <v>265</v>
      </c>
      <c r="F979" s="4" t="s">
        <v>266</v>
      </c>
      <c r="G979" s="4" t="s">
        <v>71</v>
      </c>
      <c r="H979" s="4" t="s">
        <v>26</v>
      </c>
      <c r="I979" s="5">
        <v>155000000</v>
      </c>
      <c r="J979" s="5">
        <v>19630</v>
      </c>
      <c r="K979" s="5">
        <v>1963</v>
      </c>
      <c r="L979" s="4" t="s">
        <v>267</v>
      </c>
      <c r="M979" s="4" t="s">
        <v>268</v>
      </c>
      <c r="N979" s="3">
        <v>45888</v>
      </c>
      <c r="O979" s="4" t="s">
        <v>283</v>
      </c>
      <c r="P979" s="2">
        <v>5000</v>
      </c>
      <c r="Q979" s="2">
        <v>4541</v>
      </c>
      <c r="R979" s="4" t="s">
        <v>755</v>
      </c>
      <c r="S979" s="5">
        <v>151606650</v>
      </c>
    </row>
    <row r="980" spans="1:19" x14ac:dyDescent="0.25">
      <c r="A980" s="4" t="s">
        <v>61</v>
      </c>
      <c r="B980" s="4" t="s">
        <v>59</v>
      </c>
      <c r="C980" s="4" t="s">
        <v>62</v>
      </c>
      <c r="D980" s="4" t="s">
        <v>63</v>
      </c>
      <c r="E980" s="4" t="s">
        <v>265</v>
      </c>
      <c r="F980" s="4" t="s">
        <v>266</v>
      </c>
      <c r="G980" s="4" t="s">
        <v>71</v>
      </c>
      <c r="H980" s="4" t="s">
        <v>26</v>
      </c>
      <c r="I980" s="5">
        <v>155000000</v>
      </c>
      <c r="J980" s="5">
        <v>46200</v>
      </c>
      <c r="K980" s="5">
        <v>4620</v>
      </c>
      <c r="L980" s="4" t="s">
        <v>267</v>
      </c>
      <c r="M980" s="4" t="s">
        <v>268</v>
      </c>
      <c r="N980" s="3">
        <v>45888</v>
      </c>
      <c r="O980" s="4" t="s">
        <v>283</v>
      </c>
      <c r="P980" s="2">
        <v>6000</v>
      </c>
      <c r="Q980" s="2">
        <v>4541</v>
      </c>
      <c r="R980" s="4" t="s">
        <v>755</v>
      </c>
      <c r="S980" s="5">
        <v>151606650</v>
      </c>
    </row>
    <row r="981" spans="1:19" x14ac:dyDescent="0.25">
      <c r="A981" s="4" t="s">
        <v>61</v>
      </c>
      <c r="B981" s="4" t="s">
        <v>59</v>
      </c>
      <c r="C981" s="4" t="s">
        <v>62</v>
      </c>
      <c r="D981" s="4" t="s">
        <v>63</v>
      </c>
      <c r="E981" s="4" t="s">
        <v>227</v>
      </c>
      <c r="F981" s="4" t="s">
        <v>228</v>
      </c>
      <c r="G981" s="4" t="s">
        <v>100</v>
      </c>
      <c r="H981" s="4" t="s">
        <v>26</v>
      </c>
      <c r="I981" s="5">
        <v>65000000</v>
      </c>
      <c r="J981" s="5">
        <v>108000</v>
      </c>
      <c r="K981" s="5">
        <v>10800</v>
      </c>
      <c r="L981" s="4" t="s">
        <v>439</v>
      </c>
      <c r="M981" s="4" t="s">
        <v>440</v>
      </c>
      <c r="N981" s="3">
        <v>45887</v>
      </c>
      <c r="O981" s="4" t="s">
        <v>432</v>
      </c>
      <c r="P981" s="2">
        <v>1000</v>
      </c>
      <c r="Q981" s="2">
        <v>4564</v>
      </c>
      <c r="R981" s="4" t="s">
        <v>747</v>
      </c>
      <c r="S981" s="5">
        <v>62005700</v>
      </c>
    </row>
    <row r="982" spans="1:19" x14ac:dyDescent="0.25">
      <c r="A982" s="4" t="s">
        <v>61</v>
      </c>
      <c r="B982" s="4" t="s">
        <v>59</v>
      </c>
      <c r="C982" s="4" t="s">
        <v>62</v>
      </c>
      <c r="D982" s="4" t="s">
        <v>63</v>
      </c>
      <c r="E982" s="4" t="s">
        <v>92</v>
      </c>
      <c r="F982" s="4" t="s">
        <v>93</v>
      </c>
      <c r="G982" s="4" t="s">
        <v>94</v>
      </c>
      <c r="H982" s="4" t="s">
        <v>26</v>
      </c>
      <c r="I982" s="5">
        <v>155000000</v>
      </c>
      <c r="J982" s="5">
        <v>31200</v>
      </c>
      <c r="K982" s="5">
        <v>3120</v>
      </c>
      <c r="L982" s="4" t="s">
        <v>26</v>
      </c>
      <c r="M982" s="4" t="s">
        <v>26</v>
      </c>
      <c r="N982" s="3">
        <v>45881</v>
      </c>
      <c r="O982" s="4" t="s">
        <v>51</v>
      </c>
      <c r="P982" s="2">
        <v>1000</v>
      </c>
      <c r="Q982" s="2">
        <v>4575</v>
      </c>
      <c r="R982" s="4" t="s">
        <v>749</v>
      </c>
      <c r="S982" s="5">
        <v>145558700</v>
      </c>
    </row>
    <row r="983" spans="1:19" x14ac:dyDescent="0.25">
      <c r="A983" s="4" t="s">
        <v>61</v>
      </c>
      <c r="B983" s="4" t="s">
        <v>59</v>
      </c>
      <c r="C983" s="4" t="s">
        <v>62</v>
      </c>
      <c r="D983" s="4" t="s">
        <v>63</v>
      </c>
      <c r="E983" s="4" t="s">
        <v>92</v>
      </c>
      <c r="F983" s="4" t="s">
        <v>93</v>
      </c>
      <c r="G983" s="4" t="s">
        <v>94</v>
      </c>
      <c r="H983" s="4" t="s">
        <v>26</v>
      </c>
      <c r="I983" s="5">
        <v>155000000</v>
      </c>
      <c r="J983" s="5">
        <v>28000</v>
      </c>
      <c r="K983" s="5">
        <v>2800</v>
      </c>
      <c r="L983" s="4" t="s">
        <v>26</v>
      </c>
      <c r="M983" s="4" t="s">
        <v>26</v>
      </c>
      <c r="N983" s="3">
        <v>45881</v>
      </c>
      <c r="O983" s="4" t="s">
        <v>51</v>
      </c>
      <c r="P983" s="2">
        <v>2000</v>
      </c>
      <c r="Q983" s="2">
        <v>4575</v>
      </c>
      <c r="R983" s="4" t="s">
        <v>749</v>
      </c>
      <c r="S983" s="5">
        <v>145558700</v>
      </c>
    </row>
    <row r="984" spans="1:19" x14ac:dyDescent="0.25">
      <c r="A984" s="4" t="s">
        <v>61</v>
      </c>
      <c r="B984" s="4" t="s">
        <v>59</v>
      </c>
      <c r="C984" s="4" t="s">
        <v>62</v>
      </c>
      <c r="D984" s="4" t="s">
        <v>63</v>
      </c>
      <c r="E984" s="4" t="s">
        <v>464</v>
      </c>
      <c r="F984" s="4" t="s">
        <v>465</v>
      </c>
      <c r="G984" s="4" t="s">
        <v>190</v>
      </c>
      <c r="H984" s="4" t="s">
        <v>26</v>
      </c>
      <c r="I984" s="5">
        <v>90000000</v>
      </c>
      <c r="J984" s="5">
        <v>153000</v>
      </c>
      <c r="K984" s="5">
        <v>15300</v>
      </c>
      <c r="L984" s="4" t="s">
        <v>466</v>
      </c>
      <c r="M984" s="4" t="s">
        <v>467</v>
      </c>
      <c r="N984" s="3">
        <v>45883</v>
      </c>
      <c r="O984" s="4" t="s">
        <v>565</v>
      </c>
      <c r="P984" s="2">
        <v>1000</v>
      </c>
      <c r="Q984" s="2">
        <v>4576</v>
      </c>
      <c r="R984" s="4" t="s">
        <v>26</v>
      </c>
      <c r="S984" s="5">
        <v>81637020</v>
      </c>
    </row>
    <row r="985" spans="1:19" x14ac:dyDescent="0.25">
      <c r="A985" s="4" t="s">
        <v>61</v>
      </c>
      <c r="B985" s="4" t="s">
        <v>59</v>
      </c>
      <c r="C985" s="4" t="s">
        <v>62</v>
      </c>
      <c r="D985" s="4" t="s">
        <v>63</v>
      </c>
      <c r="E985" s="4" t="s">
        <v>174</v>
      </c>
      <c r="F985" s="4" t="s">
        <v>175</v>
      </c>
      <c r="G985" s="4" t="s">
        <v>50</v>
      </c>
      <c r="H985" s="4" t="s">
        <v>26</v>
      </c>
      <c r="I985" s="5">
        <v>65000000</v>
      </c>
      <c r="J985" s="5">
        <v>73500</v>
      </c>
      <c r="K985" s="5">
        <v>7350</v>
      </c>
      <c r="L985" s="4" t="s">
        <v>212</v>
      </c>
      <c r="M985" s="4" t="s">
        <v>213</v>
      </c>
      <c r="N985" s="3">
        <v>45887</v>
      </c>
      <c r="O985" s="4" t="s">
        <v>432</v>
      </c>
      <c r="P985" s="2">
        <v>1000</v>
      </c>
      <c r="Q985" s="2">
        <v>4579</v>
      </c>
      <c r="R985" s="4" t="s">
        <v>26</v>
      </c>
      <c r="S985" s="5">
        <v>63740700</v>
      </c>
    </row>
    <row r="986" spans="1:19" x14ac:dyDescent="0.25">
      <c r="A986" s="4" t="s">
        <v>61</v>
      </c>
      <c r="B986" s="4" t="s">
        <v>59</v>
      </c>
      <c r="C986" s="4" t="s">
        <v>62</v>
      </c>
      <c r="D986" s="4" t="s">
        <v>63</v>
      </c>
      <c r="E986" s="4" t="s">
        <v>263</v>
      </c>
      <c r="F986" s="4" t="s">
        <v>264</v>
      </c>
      <c r="G986" s="4" t="s">
        <v>81</v>
      </c>
      <c r="H986" s="4" t="s">
        <v>26</v>
      </c>
      <c r="I986" s="5">
        <v>65000000</v>
      </c>
      <c r="J986" s="5">
        <v>219000</v>
      </c>
      <c r="K986" s="5">
        <v>21900</v>
      </c>
      <c r="L986" s="4" t="s">
        <v>457</v>
      </c>
      <c r="M986" s="4" t="s">
        <v>458</v>
      </c>
      <c r="N986" s="3">
        <v>45899</v>
      </c>
      <c r="O986" s="4" t="s">
        <v>587</v>
      </c>
      <c r="P986" s="2">
        <v>1000</v>
      </c>
      <c r="Q986" s="2">
        <v>4595</v>
      </c>
      <c r="R986" s="4" t="s">
        <v>604</v>
      </c>
      <c r="S986" s="5">
        <v>54808900</v>
      </c>
    </row>
    <row r="987" spans="1:19" x14ac:dyDescent="0.25">
      <c r="A987" s="4" t="s">
        <v>61</v>
      </c>
      <c r="B987" s="4" t="s">
        <v>59</v>
      </c>
      <c r="C987" s="4" t="s">
        <v>62</v>
      </c>
      <c r="D987" s="4" t="s">
        <v>63</v>
      </c>
      <c r="E987" s="4" t="s">
        <v>263</v>
      </c>
      <c r="F987" s="4" t="s">
        <v>264</v>
      </c>
      <c r="G987" s="4" t="s">
        <v>81</v>
      </c>
      <c r="H987" s="4" t="s">
        <v>26</v>
      </c>
      <c r="I987" s="5">
        <v>65000000</v>
      </c>
      <c r="J987" s="5">
        <v>289000</v>
      </c>
      <c r="K987" s="5">
        <v>28900</v>
      </c>
      <c r="L987" s="4" t="s">
        <v>457</v>
      </c>
      <c r="M987" s="4" t="s">
        <v>458</v>
      </c>
      <c r="N987" s="3">
        <v>45899</v>
      </c>
      <c r="O987" s="4" t="s">
        <v>587</v>
      </c>
      <c r="P987" s="2">
        <v>2000</v>
      </c>
      <c r="Q987" s="2">
        <v>4595</v>
      </c>
      <c r="R987" s="4" t="s">
        <v>756</v>
      </c>
      <c r="S987" s="5">
        <v>54808900</v>
      </c>
    </row>
    <row r="988" spans="1:19" x14ac:dyDescent="0.25">
      <c r="A988" s="4" t="s">
        <v>61</v>
      </c>
      <c r="B988" s="4" t="s">
        <v>59</v>
      </c>
      <c r="C988" s="4" t="s">
        <v>62</v>
      </c>
      <c r="D988" s="4" t="s">
        <v>63</v>
      </c>
      <c r="E988" s="4" t="s">
        <v>271</v>
      </c>
      <c r="F988" s="4" t="s">
        <v>272</v>
      </c>
      <c r="G988" s="4" t="s">
        <v>115</v>
      </c>
      <c r="H988" s="4" t="s">
        <v>26</v>
      </c>
      <c r="I988" s="5">
        <v>65000000</v>
      </c>
      <c r="J988" s="5">
        <v>55000</v>
      </c>
      <c r="K988" s="5">
        <v>5500</v>
      </c>
      <c r="L988" s="4" t="s">
        <v>26</v>
      </c>
      <c r="M988" s="4" t="s">
        <v>26</v>
      </c>
      <c r="N988" s="3">
        <v>45881</v>
      </c>
      <c r="O988" s="4" t="s">
        <v>459</v>
      </c>
      <c r="P988" s="2">
        <v>1000</v>
      </c>
      <c r="Q988" s="2">
        <v>4597</v>
      </c>
      <c r="R988" s="4" t="s">
        <v>747</v>
      </c>
      <c r="S988" s="5">
        <v>64027000</v>
      </c>
    </row>
    <row r="989" spans="1:19" x14ac:dyDescent="0.25">
      <c r="A989" s="4" t="s">
        <v>61</v>
      </c>
      <c r="B989" s="4" t="s">
        <v>59</v>
      </c>
      <c r="C989" s="4" t="s">
        <v>62</v>
      </c>
      <c r="D989" s="4" t="s">
        <v>63</v>
      </c>
      <c r="E989" s="4" t="s">
        <v>275</v>
      </c>
      <c r="F989" s="4" t="s">
        <v>276</v>
      </c>
      <c r="G989" s="4" t="s">
        <v>115</v>
      </c>
      <c r="H989" s="4" t="s">
        <v>26</v>
      </c>
      <c r="I989" s="5">
        <v>65000000</v>
      </c>
      <c r="J989" s="5">
        <v>350000</v>
      </c>
      <c r="K989" s="5">
        <v>35000</v>
      </c>
      <c r="L989" s="4" t="s">
        <v>600</v>
      </c>
      <c r="M989" s="4" t="s">
        <v>601</v>
      </c>
      <c r="N989" s="3">
        <v>45899</v>
      </c>
      <c r="O989" s="4" t="s">
        <v>587</v>
      </c>
      <c r="P989" s="2">
        <v>1000</v>
      </c>
      <c r="Q989" s="2">
        <v>4600</v>
      </c>
      <c r="R989" s="4" t="s">
        <v>763</v>
      </c>
      <c r="S989" s="5">
        <v>63302500</v>
      </c>
    </row>
    <row r="990" spans="1:19" x14ac:dyDescent="0.25">
      <c r="A990" s="4" t="s">
        <v>61</v>
      </c>
      <c r="B990" s="4" t="s">
        <v>59</v>
      </c>
      <c r="C990" s="4" t="s">
        <v>62</v>
      </c>
      <c r="D990" s="4" t="s">
        <v>63</v>
      </c>
      <c r="E990" s="4" t="s">
        <v>275</v>
      </c>
      <c r="F990" s="4" t="s">
        <v>276</v>
      </c>
      <c r="G990" s="4" t="s">
        <v>115</v>
      </c>
      <c r="H990" s="4" t="s">
        <v>26</v>
      </c>
      <c r="I990" s="5">
        <v>65000000</v>
      </c>
      <c r="J990" s="5">
        <v>245000</v>
      </c>
      <c r="K990" s="5">
        <v>24500</v>
      </c>
      <c r="L990" s="4" t="s">
        <v>600</v>
      </c>
      <c r="M990" s="4" t="s">
        <v>601</v>
      </c>
      <c r="N990" s="3">
        <v>45899</v>
      </c>
      <c r="O990" s="4" t="s">
        <v>587</v>
      </c>
      <c r="P990" s="2">
        <v>2000</v>
      </c>
      <c r="Q990" s="2">
        <v>4600</v>
      </c>
      <c r="R990" s="4" t="s">
        <v>763</v>
      </c>
      <c r="S990" s="5">
        <v>63302500</v>
      </c>
    </row>
    <row r="991" spans="1:19" x14ac:dyDescent="0.25">
      <c r="A991" s="4" t="s">
        <v>61</v>
      </c>
      <c r="B991" s="4" t="s">
        <v>59</v>
      </c>
      <c r="C991" s="4" t="s">
        <v>62</v>
      </c>
      <c r="D991" s="4" t="s">
        <v>63</v>
      </c>
      <c r="E991" s="4" t="s">
        <v>227</v>
      </c>
      <c r="F991" s="4" t="s">
        <v>228</v>
      </c>
      <c r="G991" s="4" t="s">
        <v>100</v>
      </c>
      <c r="H991" s="4" t="s">
        <v>26</v>
      </c>
      <c r="I991" s="5">
        <v>65000000</v>
      </c>
      <c r="J991" s="5">
        <v>70550</v>
      </c>
      <c r="K991" s="5">
        <v>7055</v>
      </c>
      <c r="L991" s="4" t="s">
        <v>279</v>
      </c>
      <c r="M991" s="4" t="s">
        <v>280</v>
      </c>
      <c r="N991" s="3">
        <v>45881</v>
      </c>
      <c r="O991" s="4" t="s">
        <v>459</v>
      </c>
      <c r="P991" s="2">
        <v>1000</v>
      </c>
      <c r="Q991" s="2">
        <v>4602</v>
      </c>
      <c r="R991" s="4" t="s">
        <v>755</v>
      </c>
      <c r="S991" s="5">
        <v>62005700</v>
      </c>
    </row>
    <row r="992" spans="1:19" x14ac:dyDescent="0.25">
      <c r="A992" s="4" t="s">
        <v>61</v>
      </c>
      <c r="B992" s="4" t="s">
        <v>59</v>
      </c>
      <c r="C992" s="4" t="s">
        <v>62</v>
      </c>
      <c r="D992" s="4" t="s">
        <v>63</v>
      </c>
      <c r="E992" s="4" t="s">
        <v>227</v>
      </c>
      <c r="F992" s="4" t="s">
        <v>228</v>
      </c>
      <c r="G992" s="4" t="s">
        <v>100</v>
      </c>
      <c r="H992" s="4" t="s">
        <v>26</v>
      </c>
      <c r="I992" s="5">
        <v>65000000</v>
      </c>
      <c r="J992" s="5">
        <v>79900</v>
      </c>
      <c r="K992" s="5">
        <v>7990</v>
      </c>
      <c r="L992" s="4" t="s">
        <v>279</v>
      </c>
      <c r="M992" s="4" t="s">
        <v>280</v>
      </c>
      <c r="N992" s="3">
        <v>45881</v>
      </c>
      <c r="O992" s="4" t="s">
        <v>459</v>
      </c>
      <c r="P992" s="2">
        <v>2000</v>
      </c>
      <c r="Q992" s="2">
        <v>4602</v>
      </c>
      <c r="R992" s="4" t="s">
        <v>755</v>
      </c>
      <c r="S992" s="5">
        <v>62005700</v>
      </c>
    </row>
    <row r="993" spans="1:19" x14ac:dyDescent="0.25">
      <c r="A993" s="4" t="s">
        <v>61</v>
      </c>
      <c r="B993" s="4" t="s">
        <v>59</v>
      </c>
      <c r="C993" s="4" t="s">
        <v>62</v>
      </c>
      <c r="D993" s="4" t="s">
        <v>63</v>
      </c>
      <c r="E993" s="4" t="s">
        <v>227</v>
      </c>
      <c r="F993" s="4" t="s">
        <v>228</v>
      </c>
      <c r="G993" s="4" t="s">
        <v>100</v>
      </c>
      <c r="H993" s="4" t="s">
        <v>26</v>
      </c>
      <c r="I993" s="5">
        <v>65000000</v>
      </c>
      <c r="J993" s="5">
        <v>23800</v>
      </c>
      <c r="K993" s="5">
        <v>2380</v>
      </c>
      <c r="L993" s="4" t="s">
        <v>279</v>
      </c>
      <c r="M993" s="4" t="s">
        <v>280</v>
      </c>
      <c r="N993" s="3">
        <v>45881</v>
      </c>
      <c r="O993" s="4" t="s">
        <v>459</v>
      </c>
      <c r="P993" s="2">
        <v>3000</v>
      </c>
      <c r="Q993" s="2">
        <v>4602</v>
      </c>
      <c r="R993" s="4" t="s">
        <v>755</v>
      </c>
      <c r="S993" s="5">
        <v>62005700</v>
      </c>
    </row>
    <row r="994" spans="1:19" x14ac:dyDescent="0.25">
      <c r="A994" s="4" t="s">
        <v>61</v>
      </c>
      <c r="B994" s="4" t="s">
        <v>59</v>
      </c>
      <c r="C994" s="4" t="s">
        <v>62</v>
      </c>
      <c r="D994" s="4" t="s">
        <v>63</v>
      </c>
      <c r="E994" s="4" t="s">
        <v>152</v>
      </c>
      <c r="F994" s="4" t="s">
        <v>153</v>
      </c>
      <c r="G994" s="4" t="s">
        <v>50</v>
      </c>
      <c r="H994" s="4" t="s">
        <v>26</v>
      </c>
      <c r="I994" s="5">
        <v>65000000</v>
      </c>
      <c r="J994" s="5">
        <v>97500</v>
      </c>
      <c r="K994" s="5">
        <v>9750</v>
      </c>
      <c r="L994" s="4" t="s">
        <v>396</v>
      </c>
      <c r="M994" s="4" t="s">
        <v>397</v>
      </c>
      <c r="N994" s="3">
        <v>45899</v>
      </c>
      <c r="O994" s="4" t="s">
        <v>587</v>
      </c>
      <c r="P994" s="2">
        <v>1000</v>
      </c>
      <c r="Q994" s="2">
        <v>4609</v>
      </c>
      <c r="R994" s="4" t="s">
        <v>26</v>
      </c>
      <c r="S994" s="5">
        <v>64141500</v>
      </c>
    </row>
    <row r="995" spans="1:19" x14ac:dyDescent="0.25">
      <c r="A995" s="4" t="s">
        <v>61</v>
      </c>
      <c r="B995" s="4" t="s">
        <v>59</v>
      </c>
      <c r="C995" s="4" t="s">
        <v>62</v>
      </c>
      <c r="D995" s="4" t="s">
        <v>63</v>
      </c>
      <c r="E995" s="4" t="s">
        <v>152</v>
      </c>
      <c r="F995" s="4" t="s">
        <v>153</v>
      </c>
      <c r="G995" s="4" t="s">
        <v>50</v>
      </c>
      <c r="H995" s="4" t="s">
        <v>26</v>
      </c>
      <c r="I995" s="5">
        <v>65000000</v>
      </c>
      <c r="J995" s="5">
        <v>97500</v>
      </c>
      <c r="K995" s="5">
        <v>9750</v>
      </c>
      <c r="L995" s="4" t="s">
        <v>396</v>
      </c>
      <c r="M995" s="4" t="s">
        <v>397</v>
      </c>
      <c r="N995" s="3">
        <v>45899</v>
      </c>
      <c r="O995" s="4" t="s">
        <v>587</v>
      </c>
      <c r="P995" s="2">
        <v>2000</v>
      </c>
      <c r="Q995" s="2">
        <v>4609</v>
      </c>
      <c r="R995" s="4" t="s">
        <v>26</v>
      </c>
      <c r="S995" s="5">
        <v>64141500</v>
      </c>
    </row>
    <row r="996" spans="1:19" x14ac:dyDescent="0.25">
      <c r="A996" s="4" t="s">
        <v>61</v>
      </c>
      <c r="B996" s="4" t="s">
        <v>59</v>
      </c>
      <c r="C996" s="4" t="s">
        <v>62</v>
      </c>
      <c r="D996" s="4" t="s">
        <v>63</v>
      </c>
      <c r="E996" s="4" t="s">
        <v>152</v>
      </c>
      <c r="F996" s="4" t="s">
        <v>153</v>
      </c>
      <c r="G996" s="4" t="s">
        <v>50</v>
      </c>
      <c r="H996" s="4" t="s">
        <v>26</v>
      </c>
      <c r="I996" s="5">
        <v>65000000</v>
      </c>
      <c r="J996" s="5">
        <v>47500</v>
      </c>
      <c r="K996" s="5">
        <v>4750</v>
      </c>
      <c r="L996" s="4" t="s">
        <v>396</v>
      </c>
      <c r="M996" s="4" t="s">
        <v>397</v>
      </c>
      <c r="N996" s="3">
        <v>45899</v>
      </c>
      <c r="O996" s="4" t="s">
        <v>587</v>
      </c>
      <c r="P996" s="2">
        <v>3000</v>
      </c>
      <c r="Q996" s="2">
        <v>4609</v>
      </c>
      <c r="R996" s="4" t="s">
        <v>26</v>
      </c>
      <c r="S996" s="5">
        <v>64141500</v>
      </c>
    </row>
    <row r="997" spans="1:19" x14ac:dyDescent="0.25">
      <c r="A997" s="4" t="s">
        <v>61</v>
      </c>
      <c r="B997" s="4" t="s">
        <v>59</v>
      </c>
      <c r="C997" s="4" t="s">
        <v>62</v>
      </c>
      <c r="D997" s="4" t="s">
        <v>63</v>
      </c>
      <c r="E997" s="4" t="s">
        <v>152</v>
      </c>
      <c r="F997" s="4" t="s">
        <v>153</v>
      </c>
      <c r="G997" s="4" t="s">
        <v>50</v>
      </c>
      <c r="H997" s="4" t="s">
        <v>26</v>
      </c>
      <c r="I997" s="5">
        <v>65000000</v>
      </c>
      <c r="J997" s="5">
        <v>75000</v>
      </c>
      <c r="K997" s="5">
        <v>7500</v>
      </c>
      <c r="L997" s="4" t="s">
        <v>396</v>
      </c>
      <c r="M997" s="4" t="s">
        <v>397</v>
      </c>
      <c r="N997" s="3">
        <v>45899</v>
      </c>
      <c r="O997" s="4" t="s">
        <v>587</v>
      </c>
      <c r="P997" s="2">
        <v>4000</v>
      </c>
      <c r="Q997" s="2">
        <v>4609</v>
      </c>
      <c r="R997" s="4" t="s">
        <v>26</v>
      </c>
      <c r="S997" s="5">
        <v>64141500</v>
      </c>
    </row>
    <row r="998" spans="1:19" x14ac:dyDescent="0.25">
      <c r="A998" s="4" t="s">
        <v>61</v>
      </c>
      <c r="B998" s="4" t="s">
        <v>59</v>
      </c>
      <c r="C998" s="4" t="s">
        <v>62</v>
      </c>
      <c r="D998" s="4" t="s">
        <v>63</v>
      </c>
      <c r="E998" s="4" t="s">
        <v>338</v>
      </c>
      <c r="F998" s="4" t="s">
        <v>339</v>
      </c>
      <c r="G998" s="4" t="s">
        <v>100</v>
      </c>
      <c r="H998" s="4" t="s">
        <v>26</v>
      </c>
      <c r="I998" s="5">
        <v>65000000</v>
      </c>
      <c r="J998" s="5">
        <v>150000</v>
      </c>
      <c r="K998" s="5">
        <v>15000</v>
      </c>
      <c r="L998" s="4" t="s">
        <v>340</v>
      </c>
      <c r="M998" s="4" t="s">
        <v>341</v>
      </c>
      <c r="N998" s="3">
        <v>45899</v>
      </c>
      <c r="O998" s="4" t="s">
        <v>587</v>
      </c>
      <c r="P998" s="2">
        <v>1000</v>
      </c>
      <c r="Q998" s="2">
        <v>4620</v>
      </c>
      <c r="R998" s="4" t="s">
        <v>756</v>
      </c>
      <c r="S998" s="5">
        <v>61189450</v>
      </c>
    </row>
    <row r="999" spans="1:19" x14ac:dyDescent="0.25">
      <c r="A999" s="4" t="s">
        <v>61</v>
      </c>
      <c r="B999" s="4" t="s">
        <v>59</v>
      </c>
      <c r="C999" s="4" t="s">
        <v>62</v>
      </c>
      <c r="D999" s="4" t="s">
        <v>63</v>
      </c>
      <c r="E999" s="4" t="s">
        <v>338</v>
      </c>
      <c r="F999" s="4" t="s">
        <v>339</v>
      </c>
      <c r="G999" s="4" t="s">
        <v>100</v>
      </c>
      <c r="H999" s="4" t="s">
        <v>26</v>
      </c>
      <c r="I999" s="5">
        <v>65000000</v>
      </c>
      <c r="J999" s="5">
        <v>297500</v>
      </c>
      <c r="K999" s="5">
        <v>29750</v>
      </c>
      <c r="L999" s="4" t="s">
        <v>340</v>
      </c>
      <c r="M999" s="4" t="s">
        <v>341</v>
      </c>
      <c r="N999" s="3">
        <v>45899</v>
      </c>
      <c r="O999" s="4" t="s">
        <v>587</v>
      </c>
      <c r="P999" s="2">
        <v>2000</v>
      </c>
      <c r="Q999" s="2">
        <v>4620</v>
      </c>
      <c r="R999" s="4" t="s">
        <v>756</v>
      </c>
      <c r="S999" s="5">
        <v>61189450</v>
      </c>
    </row>
    <row r="1000" spans="1:19" x14ac:dyDescent="0.25">
      <c r="A1000" s="4" t="s">
        <v>61</v>
      </c>
      <c r="B1000" s="4" t="s">
        <v>59</v>
      </c>
      <c r="C1000" s="4" t="s">
        <v>62</v>
      </c>
      <c r="D1000" s="4" t="s">
        <v>63</v>
      </c>
      <c r="E1000" s="4" t="s">
        <v>338</v>
      </c>
      <c r="F1000" s="4" t="s">
        <v>339</v>
      </c>
      <c r="G1000" s="4" t="s">
        <v>100</v>
      </c>
      <c r="H1000" s="4" t="s">
        <v>26</v>
      </c>
      <c r="I1000" s="5">
        <v>65000000</v>
      </c>
      <c r="J1000" s="5">
        <v>252000</v>
      </c>
      <c r="K1000" s="5">
        <v>25200</v>
      </c>
      <c r="L1000" s="4" t="s">
        <v>340</v>
      </c>
      <c r="M1000" s="4" t="s">
        <v>341</v>
      </c>
      <c r="N1000" s="3">
        <v>45899</v>
      </c>
      <c r="O1000" s="4" t="s">
        <v>587</v>
      </c>
      <c r="P1000" s="2">
        <v>3000</v>
      </c>
      <c r="Q1000" s="2">
        <v>4620</v>
      </c>
      <c r="R1000" s="4" t="s">
        <v>756</v>
      </c>
      <c r="S1000" s="5">
        <v>61189450</v>
      </c>
    </row>
    <row r="1001" spans="1:19" x14ac:dyDescent="0.25">
      <c r="A1001" s="4" t="s">
        <v>61</v>
      </c>
      <c r="B1001" s="4" t="s">
        <v>59</v>
      </c>
      <c r="C1001" s="4" t="s">
        <v>62</v>
      </c>
      <c r="D1001" s="4" t="s">
        <v>63</v>
      </c>
      <c r="E1001" s="4" t="s">
        <v>338</v>
      </c>
      <c r="F1001" s="4" t="s">
        <v>339</v>
      </c>
      <c r="G1001" s="4" t="s">
        <v>100</v>
      </c>
      <c r="H1001" s="4" t="s">
        <v>26</v>
      </c>
      <c r="I1001" s="5">
        <v>65000000</v>
      </c>
      <c r="J1001" s="5">
        <v>97500</v>
      </c>
      <c r="K1001" s="5">
        <v>9750</v>
      </c>
      <c r="L1001" s="4" t="s">
        <v>340</v>
      </c>
      <c r="M1001" s="4" t="s">
        <v>341</v>
      </c>
      <c r="N1001" s="3">
        <v>45899</v>
      </c>
      <c r="O1001" s="4" t="s">
        <v>587</v>
      </c>
      <c r="P1001" s="2">
        <v>4000</v>
      </c>
      <c r="Q1001" s="2">
        <v>4620</v>
      </c>
      <c r="R1001" s="4" t="s">
        <v>756</v>
      </c>
      <c r="S1001" s="5">
        <v>61189450</v>
      </c>
    </row>
    <row r="1002" spans="1:19" x14ac:dyDescent="0.25">
      <c r="A1002" s="4" t="s">
        <v>61</v>
      </c>
      <c r="B1002" s="4" t="s">
        <v>59</v>
      </c>
      <c r="C1002" s="4" t="s">
        <v>62</v>
      </c>
      <c r="D1002" s="4" t="s">
        <v>63</v>
      </c>
      <c r="E1002" s="4" t="s">
        <v>210</v>
      </c>
      <c r="F1002" s="4" t="s">
        <v>211</v>
      </c>
      <c r="G1002" s="4" t="s">
        <v>50</v>
      </c>
      <c r="H1002" s="4" t="s">
        <v>26</v>
      </c>
      <c r="I1002" s="5">
        <v>65000000</v>
      </c>
      <c r="J1002" s="5">
        <v>34000</v>
      </c>
      <c r="K1002" s="5">
        <v>3400</v>
      </c>
      <c r="L1002" s="4" t="s">
        <v>26</v>
      </c>
      <c r="M1002" s="4" t="s">
        <v>26</v>
      </c>
      <c r="N1002" s="3">
        <v>45889</v>
      </c>
      <c r="O1002" s="4" t="s">
        <v>283</v>
      </c>
      <c r="P1002" s="2">
        <v>1000</v>
      </c>
      <c r="Q1002" s="2">
        <v>4680</v>
      </c>
      <c r="R1002" s="4" t="s">
        <v>84</v>
      </c>
      <c r="S1002" s="5">
        <v>63482950</v>
      </c>
    </row>
    <row r="1003" spans="1:19" x14ac:dyDescent="0.25">
      <c r="A1003" s="4" t="s">
        <v>61</v>
      </c>
      <c r="B1003" s="4" t="s">
        <v>59</v>
      </c>
      <c r="C1003" s="4" t="s">
        <v>62</v>
      </c>
      <c r="D1003" s="4" t="s">
        <v>63</v>
      </c>
      <c r="E1003" s="4" t="s">
        <v>220</v>
      </c>
      <c r="F1003" s="4" t="s">
        <v>221</v>
      </c>
      <c r="G1003" s="4" t="s">
        <v>222</v>
      </c>
      <c r="H1003" s="4" t="s">
        <v>26</v>
      </c>
      <c r="I1003" s="5">
        <v>110000000</v>
      </c>
      <c r="J1003" s="5">
        <v>53900</v>
      </c>
      <c r="K1003" s="5">
        <v>5390</v>
      </c>
      <c r="L1003" s="4" t="s">
        <v>223</v>
      </c>
      <c r="M1003" s="4" t="s">
        <v>224</v>
      </c>
      <c r="N1003" s="3">
        <v>45889</v>
      </c>
      <c r="O1003" s="4" t="s">
        <v>283</v>
      </c>
      <c r="P1003" s="2">
        <v>1000</v>
      </c>
      <c r="Q1003" s="2">
        <v>4687</v>
      </c>
      <c r="R1003" s="4" t="s">
        <v>755</v>
      </c>
      <c r="S1003" s="5">
        <v>109093400</v>
      </c>
    </row>
    <row r="1004" spans="1:19" x14ac:dyDescent="0.25">
      <c r="A1004" s="4" t="s">
        <v>61</v>
      </c>
      <c r="B1004" s="4" t="s">
        <v>59</v>
      </c>
      <c r="C1004" s="4" t="s">
        <v>62</v>
      </c>
      <c r="D1004" s="4" t="s">
        <v>63</v>
      </c>
      <c r="E1004" s="4" t="s">
        <v>220</v>
      </c>
      <c r="F1004" s="4" t="s">
        <v>221</v>
      </c>
      <c r="G1004" s="4" t="s">
        <v>222</v>
      </c>
      <c r="H1004" s="4" t="s">
        <v>26</v>
      </c>
      <c r="I1004" s="5">
        <v>110000000</v>
      </c>
      <c r="J1004" s="5">
        <v>46200</v>
      </c>
      <c r="K1004" s="5">
        <v>4620</v>
      </c>
      <c r="L1004" s="4" t="s">
        <v>223</v>
      </c>
      <c r="M1004" s="4" t="s">
        <v>224</v>
      </c>
      <c r="N1004" s="3">
        <v>45889</v>
      </c>
      <c r="O1004" s="4" t="s">
        <v>283</v>
      </c>
      <c r="P1004" s="2">
        <v>2000</v>
      </c>
      <c r="Q1004" s="2">
        <v>4687</v>
      </c>
      <c r="R1004" s="4" t="s">
        <v>755</v>
      </c>
      <c r="S1004" s="5">
        <v>109093400</v>
      </c>
    </row>
    <row r="1005" spans="1:19" x14ac:dyDescent="0.25">
      <c r="A1005" s="4" t="s">
        <v>61</v>
      </c>
      <c r="B1005" s="4" t="s">
        <v>59</v>
      </c>
      <c r="C1005" s="4" t="s">
        <v>62</v>
      </c>
      <c r="D1005" s="4" t="s">
        <v>63</v>
      </c>
      <c r="E1005" s="4" t="s">
        <v>220</v>
      </c>
      <c r="F1005" s="4" t="s">
        <v>221</v>
      </c>
      <c r="G1005" s="4" t="s">
        <v>222</v>
      </c>
      <c r="H1005" s="4" t="s">
        <v>26</v>
      </c>
      <c r="I1005" s="5">
        <v>110000000</v>
      </c>
      <c r="J1005" s="5">
        <v>30800</v>
      </c>
      <c r="K1005" s="5">
        <v>3080</v>
      </c>
      <c r="L1005" s="4" t="s">
        <v>223</v>
      </c>
      <c r="M1005" s="4" t="s">
        <v>224</v>
      </c>
      <c r="N1005" s="3">
        <v>45889</v>
      </c>
      <c r="O1005" s="4" t="s">
        <v>283</v>
      </c>
      <c r="P1005" s="2">
        <v>3000</v>
      </c>
      <c r="Q1005" s="2">
        <v>4687</v>
      </c>
      <c r="R1005" s="4" t="s">
        <v>755</v>
      </c>
      <c r="S1005" s="5">
        <v>109093400</v>
      </c>
    </row>
    <row r="1006" spans="1:19" x14ac:dyDescent="0.25">
      <c r="A1006" s="4" t="s">
        <v>61</v>
      </c>
      <c r="B1006" s="4" t="s">
        <v>59</v>
      </c>
      <c r="C1006" s="4" t="s">
        <v>62</v>
      </c>
      <c r="D1006" s="4" t="s">
        <v>63</v>
      </c>
      <c r="E1006" s="4" t="s">
        <v>220</v>
      </c>
      <c r="F1006" s="4" t="s">
        <v>221</v>
      </c>
      <c r="G1006" s="4" t="s">
        <v>222</v>
      </c>
      <c r="H1006" s="4" t="s">
        <v>26</v>
      </c>
      <c r="I1006" s="5">
        <v>110000000</v>
      </c>
      <c r="J1006" s="5">
        <v>61600</v>
      </c>
      <c r="K1006" s="5">
        <v>6160</v>
      </c>
      <c r="L1006" s="4" t="s">
        <v>223</v>
      </c>
      <c r="M1006" s="4" t="s">
        <v>224</v>
      </c>
      <c r="N1006" s="3">
        <v>45889</v>
      </c>
      <c r="O1006" s="4" t="s">
        <v>283</v>
      </c>
      <c r="P1006" s="2">
        <v>4000</v>
      </c>
      <c r="Q1006" s="2">
        <v>4687</v>
      </c>
      <c r="R1006" s="4" t="s">
        <v>755</v>
      </c>
      <c r="S1006" s="5">
        <v>109093400</v>
      </c>
    </row>
    <row r="1007" spans="1:19" x14ac:dyDescent="0.25">
      <c r="A1007" s="4" t="s">
        <v>61</v>
      </c>
      <c r="B1007" s="4" t="s">
        <v>59</v>
      </c>
      <c r="C1007" s="4" t="s">
        <v>62</v>
      </c>
      <c r="D1007" s="4" t="s">
        <v>63</v>
      </c>
      <c r="E1007" s="4" t="s">
        <v>127</v>
      </c>
      <c r="F1007" s="4" t="s">
        <v>128</v>
      </c>
      <c r="G1007" s="4" t="s">
        <v>50</v>
      </c>
      <c r="H1007" s="4" t="s">
        <v>26</v>
      </c>
      <c r="I1007" s="5">
        <v>65000000</v>
      </c>
      <c r="J1007" s="5">
        <v>39000</v>
      </c>
      <c r="K1007" s="5">
        <v>3900</v>
      </c>
      <c r="L1007" s="4" t="s">
        <v>129</v>
      </c>
      <c r="M1007" s="4" t="s">
        <v>130</v>
      </c>
      <c r="N1007" s="3">
        <v>45887</v>
      </c>
      <c r="O1007" s="4" t="s">
        <v>532</v>
      </c>
      <c r="P1007" s="2">
        <v>1000</v>
      </c>
      <c r="Q1007" s="2">
        <v>4690</v>
      </c>
      <c r="R1007" s="4" t="s">
        <v>749</v>
      </c>
      <c r="S1007" s="5">
        <v>60417600</v>
      </c>
    </row>
    <row r="1008" spans="1:19" x14ac:dyDescent="0.25">
      <c r="A1008" s="4" t="s">
        <v>61</v>
      </c>
      <c r="B1008" s="4" t="s">
        <v>59</v>
      </c>
      <c r="C1008" s="4" t="s">
        <v>62</v>
      </c>
      <c r="D1008" s="4" t="s">
        <v>63</v>
      </c>
      <c r="E1008" s="4" t="s">
        <v>122</v>
      </c>
      <c r="F1008" s="4" t="s">
        <v>123</v>
      </c>
      <c r="G1008" s="4" t="s">
        <v>124</v>
      </c>
      <c r="H1008" s="4" t="s">
        <v>26</v>
      </c>
      <c r="I1008" s="5">
        <v>65000000</v>
      </c>
      <c r="J1008" s="5">
        <v>67500</v>
      </c>
      <c r="K1008" s="5">
        <v>6750</v>
      </c>
      <c r="L1008" s="4" t="s">
        <v>26</v>
      </c>
      <c r="M1008" s="4" t="s">
        <v>26</v>
      </c>
      <c r="N1008" s="3">
        <v>45883</v>
      </c>
      <c r="O1008" s="4" t="s">
        <v>565</v>
      </c>
      <c r="P1008" s="2">
        <v>1000</v>
      </c>
      <c r="Q1008" s="2">
        <v>4691</v>
      </c>
      <c r="R1008" s="4" t="s">
        <v>749</v>
      </c>
      <c r="S1008" s="5">
        <v>54042090</v>
      </c>
    </row>
    <row r="1009" spans="1:19" x14ac:dyDescent="0.25">
      <c r="A1009" s="4" t="s">
        <v>61</v>
      </c>
      <c r="B1009" s="4" t="s">
        <v>59</v>
      </c>
      <c r="C1009" s="4" t="s">
        <v>62</v>
      </c>
      <c r="D1009" s="4" t="s">
        <v>63</v>
      </c>
      <c r="E1009" s="4" t="s">
        <v>127</v>
      </c>
      <c r="F1009" s="4" t="s">
        <v>128</v>
      </c>
      <c r="G1009" s="4" t="s">
        <v>50</v>
      </c>
      <c r="H1009" s="4" t="s">
        <v>26</v>
      </c>
      <c r="I1009" s="5">
        <v>65000000</v>
      </c>
      <c r="J1009" s="5">
        <v>162000</v>
      </c>
      <c r="K1009" s="5">
        <v>16200</v>
      </c>
      <c r="L1009" s="4" t="s">
        <v>129</v>
      </c>
      <c r="M1009" s="4" t="s">
        <v>130</v>
      </c>
      <c r="N1009" s="3">
        <v>45887</v>
      </c>
      <c r="O1009" s="4" t="s">
        <v>532</v>
      </c>
      <c r="P1009" s="2">
        <v>1000</v>
      </c>
      <c r="Q1009" s="2">
        <v>4694</v>
      </c>
      <c r="R1009" s="4" t="s">
        <v>755</v>
      </c>
      <c r="S1009" s="5">
        <v>60417600</v>
      </c>
    </row>
    <row r="1010" spans="1:19" x14ac:dyDescent="0.25">
      <c r="A1010" s="4" t="s">
        <v>61</v>
      </c>
      <c r="B1010" s="4" t="s">
        <v>59</v>
      </c>
      <c r="C1010" s="4" t="s">
        <v>62</v>
      </c>
      <c r="D1010" s="4" t="s">
        <v>63</v>
      </c>
      <c r="E1010" s="4" t="s">
        <v>127</v>
      </c>
      <c r="F1010" s="4" t="s">
        <v>128</v>
      </c>
      <c r="G1010" s="4" t="s">
        <v>50</v>
      </c>
      <c r="H1010" s="4" t="s">
        <v>26</v>
      </c>
      <c r="I1010" s="5">
        <v>65000000</v>
      </c>
      <c r="J1010" s="5">
        <v>29450</v>
      </c>
      <c r="K1010" s="5">
        <v>2945</v>
      </c>
      <c r="L1010" s="4" t="s">
        <v>129</v>
      </c>
      <c r="M1010" s="4" t="s">
        <v>130</v>
      </c>
      <c r="N1010" s="3">
        <v>45887</v>
      </c>
      <c r="O1010" s="4" t="s">
        <v>532</v>
      </c>
      <c r="P1010" s="2">
        <v>2000</v>
      </c>
      <c r="Q1010" s="2">
        <v>4694</v>
      </c>
      <c r="R1010" s="4" t="s">
        <v>755</v>
      </c>
      <c r="S1010" s="5">
        <v>60417600</v>
      </c>
    </row>
    <row r="1011" spans="1:19" x14ac:dyDescent="0.25">
      <c r="A1011" s="4" t="s">
        <v>61</v>
      </c>
      <c r="B1011" s="4" t="s">
        <v>59</v>
      </c>
      <c r="C1011" s="4" t="s">
        <v>62</v>
      </c>
      <c r="D1011" s="4" t="s">
        <v>63</v>
      </c>
      <c r="E1011" s="4" t="s">
        <v>348</v>
      </c>
      <c r="F1011" s="4" t="s">
        <v>349</v>
      </c>
      <c r="G1011" s="4" t="s">
        <v>100</v>
      </c>
      <c r="H1011" s="4" t="s">
        <v>26</v>
      </c>
      <c r="I1011" s="5">
        <v>65000000</v>
      </c>
      <c r="J1011" s="5">
        <v>54000</v>
      </c>
      <c r="K1011" s="5">
        <v>5400</v>
      </c>
      <c r="L1011" s="4" t="s">
        <v>26</v>
      </c>
      <c r="M1011" s="4" t="s">
        <v>26</v>
      </c>
      <c r="N1011" s="3">
        <v>45881</v>
      </c>
      <c r="O1011" s="4" t="s">
        <v>459</v>
      </c>
      <c r="P1011" s="2">
        <v>1000</v>
      </c>
      <c r="Q1011" s="2">
        <v>4695</v>
      </c>
      <c r="R1011" s="4" t="s">
        <v>747</v>
      </c>
      <c r="S1011" s="5">
        <v>64076500</v>
      </c>
    </row>
    <row r="1012" spans="1:19" x14ac:dyDescent="0.25">
      <c r="A1012" s="4" t="s">
        <v>61</v>
      </c>
      <c r="B1012" s="4" t="s">
        <v>59</v>
      </c>
      <c r="C1012" s="4" t="s">
        <v>62</v>
      </c>
      <c r="D1012" s="4" t="s">
        <v>63</v>
      </c>
      <c r="E1012" s="4" t="s">
        <v>371</v>
      </c>
      <c r="F1012" s="4" t="s">
        <v>372</v>
      </c>
      <c r="G1012" s="4" t="s">
        <v>199</v>
      </c>
      <c r="H1012" s="4" t="s">
        <v>26</v>
      </c>
      <c r="I1012" s="5">
        <v>65000000</v>
      </c>
      <c r="J1012" s="5">
        <v>112000</v>
      </c>
      <c r="K1012" s="5">
        <v>11200</v>
      </c>
      <c r="L1012" s="4" t="s">
        <v>373</v>
      </c>
      <c r="M1012" s="4" t="s">
        <v>374</v>
      </c>
      <c r="N1012" s="3">
        <v>45889</v>
      </c>
      <c r="O1012" s="4" t="s">
        <v>283</v>
      </c>
      <c r="P1012" s="2">
        <v>1000</v>
      </c>
      <c r="Q1012" s="2">
        <v>4705</v>
      </c>
      <c r="R1012" s="4" t="s">
        <v>755</v>
      </c>
      <c r="S1012" s="5">
        <v>64888000</v>
      </c>
    </row>
    <row r="1013" spans="1:19" x14ac:dyDescent="0.25">
      <c r="A1013" s="4" t="s">
        <v>61</v>
      </c>
      <c r="B1013" s="4" t="s">
        <v>59</v>
      </c>
      <c r="C1013" s="4" t="s">
        <v>62</v>
      </c>
      <c r="D1013" s="4" t="s">
        <v>63</v>
      </c>
      <c r="E1013" s="4" t="s">
        <v>79</v>
      </c>
      <c r="F1013" s="4" t="s">
        <v>80</v>
      </c>
      <c r="G1013" s="4" t="s">
        <v>81</v>
      </c>
      <c r="H1013" s="4" t="s">
        <v>26</v>
      </c>
      <c r="I1013" s="5">
        <v>65000000</v>
      </c>
      <c r="J1013" s="5">
        <v>100100</v>
      </c>
      <c r="K1013" s="5">
        <v>10010</v>
      </c>
      <c r="L1013" s="4" t="s">
        <v>218</v>
      </c>
      <c r="M1013" s="4" t="s">
        <v>219</v>
      </c>
      <c r="N1013" s="3">
        <v>45889</v>
      </c>
      <c r="O1013" s="4" t="s">
        <v>283</v>
      </c>
      <c r="P1013" s="2">
        <v>1000</v>
      </c>
      <c r="Q1013" s="2">
        <v>4745</v>
      </c>
      <c r="R1013" s="4" t="s">
        <v>755</v>
      </c>
      <c r="S1013" s="5">
        <v>61690700</v>
      </c>
    </row>
    <row r="1014" spans="1:19" x14ac:dyDescent="0.25">
      <c r="A1014" s="4" t="s">
        <v>61</v>
      </c>
      <c r="B1014" s="4" t="s">
        <v>59</v>
      </c>
      <c r="C1014" s="4" t="s">
        <v>62</v>
      </c>
      <c r="D1014" s="4" t="s">
        <v>63</v>
      </c>
      <c r="E1014" s="4" t="s">
        <v>79</v>
      </c>
      <c r="F1014" s="4" t="s">
        <v>80</v>
      </c>
      <c r="G1014" s="4" t="s">
        <v>81</v>
      </c>
      <c r="H1014" s="4" t="s">
        <v>26</v>
      </c>
      <c r="I1014" s="5">
        <v>65000000</v>
      </c>
      <c r="J1014" s="5">
        <v>77000</v>
      </c>
      <c r="K1014" s="5">
        <v>7700</v>
      </c>
      <c r="L1014" s="4" t="s">
        <v>218</v>
      </c>
      <c r="M1014" s="4" t="s">
        <v>219</v>
      </c>
      <c r="N1014" s="3">
        <v>45889</v>
      </c>
      <c r="O1014" s="4" t="s">
        <v>283</v>
      </c>
      <c r="P1014" s="2">
        <v>2000</v>
      </c>
      <c r="Q1014" s="2">
        <v>4745</v>
      </c>
      <c r="R1014" s="4" t="s">
        <v>755</v>
      </c>
      <c r="S1014" s="5">
        <v>61690700</v>
      </c>
    </row>
    <row r="1015" spans="1:19" x14ac:dyDescent="0.25">
      <c r="A1015" s="4" t="s">
        <v>61</v>
      </c>
      <c r="B1015" s="4" t="s">
        <v>59</v>
      </c>
      <c r="C1015" s="4" t="s">
        <v>62</v>
      </c>
      <c r="D1015" s="4" t="s">
        <v>63</v>
      </c>
      <c r="E1015" s="4" t="s">
        <v>79</v>
      </c>
      <c r="F1015" s="4" t="s">
        <v>80</v>
      </c>
      <c r="G1015" s="4" t="s">
        <v>81</v>
      </c>
      <c r="H1015" s="4" t="s">
        <v>26</v>
      </c>
      <c r="I1015" s="5">
        <v>65000000</v>
      </c>
      <c r="J1015" s="5">
        <v>61600</v>
      </c>
      <c r="K1015" s="5">
        <v>6160</v>
      </c>
      <c r="L1015" s="4" t="s">
        <v>218</v>
      </c>
      <c r="M1015" s="4" t="s">
        <v>219</v>
      </c>
      <c r="N1015" s="3">
        <v>45889</v>
      </c>
      <c r="O1015" s="4" t="s">
        <v>283</v>
      </c>
      <c r="P1015" s="2">
        <v>3000</v>
      </c>
      <c r="Q1015" s="2">
        <v>4745</v>
      </c>
      <c r="R1015" s="4" t="s">
        <v>755</v>
      </c>
      <c r="S1015" s="5">
        <v>61690700</v>
      </c>
    </row>
    <row r="1016" spans="1:19" x14ac:dyDescent="0.25">
      <c r="A1016" s="4" t="s">
        <v>61</v>
      </c>
      <c r="B1016" s="4" t="s">
        <v>59</v>
      </c>
      <c r="C1016" s="4" t="s">
        <v>62</v>
      </c>
      <c r="D1016" s="4" t="s">
        <v>63</v>
      </c>
      <c r="E1016" s="4" t="s">
        <v>386</v>
      </c>
      <c r="F1016" s="4" t="s">
        <v>387</v>
      </c>
      <c r="G1016" s="4" t="s">
        <v>50</v>
      </c>
      <c r="H1016" s="4" t="s">
        <v>26</v>
      </c>
      <c r="I1016" s="5">
        <v>65000000</v>
      </c>
      <c r="J1016" s="5">
        <v>30000</v>
      </c>
      <c r="K1016" s="5">
        <v>3000</v>
      </c>
      <c r="L1016" s="4" t="s">
        <v>26</v>
      </c>
      <c r="M1016" s="4" t="s">
        <v>26</v>
      </c>
      <c r="N1016" s="3">
        <v>45882</v>
      </c>
      <c r="O1016" s="4" t="s">
        <v>416</v>
      </c>
      <c r="P1016" s="2">
        <v>1000</v>
      </c>
      <c r="Q1016" s="2">
        <v>4754</v>
      </c>
      <c r="R1016" s="4" t="s">
        <v>84</v>
      </c>
      <c r="S1016" s="5">
        <v>63916900</v>
      </c>
    </row>
    <row r="1017" spans="1:19" x14ac:dyDescent="0.25">
      <c r="A1017" s="4" t="s">
        <v>61</v>
      </c>
      <c r="B1017" s="4" t="s">
        <v>59</v>
      </c>
      <c r="C1017" s="4" t="s">
        <v>62</v>
      </c>
      <c r="D1017" s="4" t="s">
        <v>63</v>
      </c>
      <c r="E1017" s="4" t="s">
        <v>118</v>
      </c>
      <c r="F1017" s="4" t="s">
        <v>119</v>
      </c>
      <c r="G1017" s="4" t="s">
        <v>100</v>
      </c>
      <c r="H1017" s="4" t="s">
        <v>26</v>
      </c>
      <c r="I1017" s="5">
        <v>65000000</v>
      </c>
      <c r="J1017" s="5">
        <v>297500</v>
      </c>
      <c r="K1017" s="5">
        <v>29750</v>
      </c>
      <c r="L1017" s="4" t="s">
        <v>120</v>
      </c>
      <c r="M1017" s="4" t="s">
        <v>121</v>
      </c>
      <c r="N1017" s="3">
        <v>45900</v>
      </c>
      <c r="O1017" s="4" t="s">
        <v>587</v>
      </c>
      <c r="P1017" s="2">
        <v>1000</v>
      </c>
      <c r="Q1017" s="2">
        <v>4759</v>
      </c>
      <c r="R1017" s="4" t="s">
        <v>756</v>
      </c>
      <c r="S1017" s="5">
        <v>63851150</v>
      </c>
    </row>
    <row r="1018" spans="1:19" x14ac:dyDescent="0.25">
      <c r="A1018" s="4" t="s">
        <v>61</v>
      </c>
      <c r="B1018" s="4" t="s">
        <v>59</v>
      </c>
      <c r="C1018" s="4" t="s">
        <v>62</v>
      </c>
      <c r="D1018" s="4" t="s">
        <v>63</v>
      </c>
      <c r="E1018" s="4" t="s">
        <v>259</v>
      </c>
      <c r="F1018" s="4" t="s">
        <v>260</v>
      </c>
      <c r="G1018" s="4" t="s">
        <v>144</v>
      </c>
      <c r="H1018" s="4" t="s">
        <v>26</v>
      </c>
      <c r="I1018" s="5">
        <v>90000000</v>
      </c>
      <c r="J1018" s="5">
        <v>390000</v>
      </c>
      <c r="K1018" s="5">
        <v>39000</v>
      </c>
      <c r="L1018" s="4" t="s">
        <v>261</v>
      </c>
      <c r="M1018" s="4" t="s">
        <v>262</v>
      </c>
      <c r="N1018" s="3">
        <v>45895</v>
      </c>
      <c r="O1018" s="4" t="s">
        <v>663</v>
      </c>
      <c r="P1018" s="2">
        <v>1000</v>
      </c>
      <c r="Q1018" s="2">
        <v>4787</v>
      </c>
      <c r="R1018" s="4" t="s">
        <v>746</v>
      </c>
      <c r="S1018" s="5">
        <v>86406230</v>
      </c>
    </row>
    <row r="1019" spans="1:19" x14ac:dyDescent="0.25">
      <c r="A1019" s="4" t="s">
        <v>61</v>
      </c>
      <c r="B1019" s="4" t="s">
        <v>59</v>
      </c>
      <c r="C1019" s="4" t="s">
        <v>62</v>
      </c>
      <c r="D1019" s="4" t="s">
        <v>63</v>
      </c>
      <c r="E1019" s="4" t="s">
        <v>649</v>
      </c>
      <c r="F1019" s="4" t="s">
        <v>650</v>
      </c>
      <c r="G1019" s="4" t="s">
        <v>309</v>
      </c>
      <c r="H1019" s="4" t="s">
        <v>26</v>
      </c>
      <c r="I1019" s="5">
        <v>90000000</v>
      </c>
      <c r="J1019" s="5">
        <v>1920000</v>
      </c>
      <c r="K1019" s="5">
        <v>192000</v>
      </c>
      <c r="L1019" s="4" t="s">
        <v>453</v>
      </c>
      <c r="M1019" s="4" t="s">
        <v>454</v>
      </c>
      <c r="N1019" s="3">
        <v>45895</v>
      </c>
      <c r="O1019" s="4" t="s">
        <v>663</v>
      </c>
      <c r="P1019" s="2">
        <v>1000</v>
      </c>
      <c r="Q1019" s="2">
        <v>4797</v>
      </c>
      <c r="R1019" s="4" t="s">
        <v>746</v>
      </c>
      <c r="S1019" s="5">
        <v>72710000</v>
      </c>
    </row>
    <row r="1020" spans="1:19" x14ac:dyDescent="0.25">
      <c r="A1020" s="4" t="s">
        <v>61</v>
      </c>
      <c r="B1020" s="4" t="s">
        <v>59</v>
      </c>
      <c r="C1020" s="4" t="s">
        <v>62</v>
      </c>
      <c r="D1020" s="4" t="s">
        <v>63</v>
      </c>
      <c r="E1020" s="4" t="s">
        <v>649</v>
      </c>
      <c r="F1020" s="4" t="s">
        <v>650</v>
      </c>
      <c r="G1020" s="4" t="s">
        <v>309</v>
      </c>
      <c r="H1020" s="4" t="s">
        <v>26</v>
      </c>
      <c r="I1020" s="5">
        <v>90000000</v>
      </c>
      <c r="J1020" s="5">
        <v>1920000</v>
      </c>
      <c r="K1020" s="5">
        <v>192000</v>
      </c>
      <c r="L1020" s="4" t="s">
        <v>453</v>
      </c>
      <c r="M1020" s="4" t="s">
        <v>454</v>
      </c>
      <c r="N1020" s="3">
        <v>45895</v>
      </c>
      <c r="O1020" s="4" t="s">
        <v>663</v>
      </c>
      <c r="P1020" s="2">
        <v>2000</v>
      </c>
      <c r="Q1020" s="2">
        <v>4797</v>
      </c>
      <c r="R1020" s="4" t="s">
        <v>746</v>
      </c>
      <c r="S1020" s="5">
        <v>72710000</v>
      </c>
    </row>
    <row r="1021" spans="1:19" x14ac:dyDescent="0.25">
      <c r="A1021" s="4" t="s">
        <v>61</v>
      </c>
      <c r="B1021" s="4" t="s">
        <v>59</v>
      </c>
      <c r="C1021" s="4" t="s">
        <v>62</v>
      </c>
      <c r="D1021" s="4" t="s">
        <v>63</v>
      </c>
      <c r="E1021" s="4" t="s">
        <v>74</v>
      </c>
      <c r="F1021" s="4" t="s">
        <v>75</v>
      </c>
      <c r="G1021" s="4" t="s">
        <v>76</v>
      </c>
      <c r="H1021" s="4" t="s">
        <v>26</v>
      </c>
      <c r="I1021" s="5">
        <v>110000000</v>
      </c>
      <c r="J1021" s="5">
        <v>58500</v>
      </c>
      <c r="K1021" s="5">
        <v>5850</v>
      </c>
      <c r="L1021" s="4" t="s">
        <v>77</v>
      </c>
      <c r="M1021" s="4" t="s">
        <v>78</v>
      </c>
      <c r="N1021" s="3">
        <v>45882</v>
      </c>
      <c r="O1021" s="4" t="s">
        <v>459</v>
      </c>
      <c r="P1021" s="2">
        <v>1000</v>
      </c>
      <c r="Q1021" s="2">
        <v>4819</v>
      </c>
      <c r="R1021" s="4" t="s">
        <v>747</v>
      </c>
      <c r="S1021" s="5">
        <v>108586000</v>
      </c>
    </row>
    <row r="1022" spans="1:19" x14ac:dyDescent="0.25">
      <c r="A1022" s="4" t="s">
        <v>61</v>
      </c>
      <c r="B1022" s="4" t="s">
        <v>59</v>
      </c>
      <c r="C1022" s="4" t="s">
        <v>62</v>
      </c>
      <c r="D1022" s="4" t="s">
        <v>63</v>
      </c>
      <c r="E1022" s="4" t="s">
        <v>482</v>
      </c>
      <c r="F1022" s="4" t="s">
        <v>483</v>
      </c>
      <c r="G1022" s="4" t="s">
        <v>419</v>
      </c>
      <c r="H1022" s="4" t="s">
        <v>26</v>
      </c>
      <c r="I1022" s="5">
        <v>155000000</v>
      </c>
      <c r="J1022" s="5">
        <v>1200000</v>
      </c>
      <c r="K1022" s="5">
        <v>120000</v>
      </c>
      <c r="L1022" s="4" t="s">
        <v>559</v>
      </c>
      <c r="M1022" s="4" t="s">
        <v>560</v>
      </c>
      <c r="N1022" s="3">
        <v>45889</v>
      </c>
      <c r="O1022" s="4" t="s">
        <v>657</v>
      </c>
      <c r="P1022" s="2">
        <v>1000</v>
      </c>
      <c r="Q1022" s="2">
        <v>4819</v>
      </c>
      <c r="R1022" s="4" t="s">
        <v>746</v>
      </c>
      <c r="S1022" s="5">
        <v>148644500</v>
      </c>
    </row>
    <row r="1023" spans="1:19" x14ac:dyDescent="0.25">
      <c r="A1023" s="4" t="s">
        <v>61</v>
      </c>
      <c r="B1023" s="4" t="s">
        <v>59</v>
      </c>
      <c r="C1023" s="4" t="s">
        <v>62</v>
      </c>
      <c r="D1023" s="4" t="s">
        <v>63</v>
      </c>
      <c r="E1023" s="4" t="s">
        <v>482</v>
      </c>
      <c r="F1023" s="4" t="s">
        <v>483</v>
      </c>
      <c r="G1023" s="4" t="s">
        <v>419</v>
      </c>
      <c r="H1023" s="4" t="s">
        <v>26</v>
      </c>
      <c r="I1023" s="5">
        <v>155000000</v>
      </c>
      <c r="J1023" s="5">
        <v>2250000</v>
      </c>
      <c r="K1023" s="5">
        <v>225000</v>
      </c>
      <c r="L1023" s="4" t="s">
        <v>559</v>
      </c>
      <c r="M1023" s="4" t="s">
        <v>560</v>
      </c>
      <c r="N1023" s="3">
        <v>45889</v>
      </c>
      <c r="O1023" s="4" t="s">
        <v>657</v>
      </c>
      <c r="P1023" s="2">
        <v>2000</v>
      </c>
      <c r="Q1023" s="2">
        <v>4819</v>
      </c>
      <c r="R1023" s="4" t="s">
        <v>746</v>
      </c>
      <c r="S1023" s="5">
        <v>148644500</v>
      </c>
    </row>
    <row r="1024" spans="1:19" x14ac:dyDescent="0.25">
      <c r="A1024" s="4" t="s">
        <v>61</v>
      </c>
      <c r="B1024" s="4" t="s">
        <v>59</v>
      </c>
      <c r="C1024" s="4" t="s">
        <v>62</v>
      </c>
      <c r="D1024" s="4" t="s">
        <v>63</v>
      </c>
      <c r="E1024" s="4" t="s">
        <v>293</v>
      </c>
      <c r="F1024" s="4" t="s">
        <v>294</v>
      </c>
      <c r="G1024" s="4" t="s">
        <v>100</v>
      </c>
      <c r="H1024" s="4" t="s">
        <v>26</v>
      </c>
      <c r="I1024" s="5">
        <v>65000000</v>
      </c>
      <c r="J1024" s="5">
        <v>79900</v>
      </c>
      <c r="K1024" s="5">
        <v>7990</v>
      </c>
      <c r="L1024" s="4" t="s">
        <v>295</v>
      </c>
      <c r="M1024" s="4" t="s">
        <v>296</v>
      </c>
      <c r="N1024" s="3">
        <v>45888</v>
      </c>
      <c r="O1024" s="4" t="s">
        <v>432</v>
      </c>
      <c r="P1024" s="2">
        <v>1000</v>
      </c>
      <c r="Q1024" s="2">
        <v>4820</v>
      </c>
      <c r="R1024" s="4" t="s">
        <v>755</v>
      </c>
      <c r="S1024" s="5">
        <v>63872000</v>
      </c>
    </row>
    <row r="1025" spans="1:19" x14ac:dyDescent="0.25">
      <c r="A1025" s="4" t="s">
        <v>61</v>
      </c>
      <c r="B1025" s="4" t="s">
        <v>59</v>
      </c>
      <c r="C1025" s="4" t="s">
        <v>62</v>
      </c>
      <c r="D1025" s="4" t="s">
        <v>63</v>
      </c>
      <c r="E1025" s="4" t="s">
        <v>375</v>
      </c>
      <c r="F1025" s="4" t="s">
        <v>376</v>
      </c>
      <c r="G1025" s="4" t="s">
        <v>157</v>
      </c>
      <c r="H1025" s="4" t="s">
        <v>26</v>
      </c>
      <c r="I1025" s="5">
        <v>90000000</v>
      </c>
      <c r="J1025" s="5">
        <v>54000</v>
      </c>
      <c r="K1025" s="5">
        <v>5400</v>
      </c>
      <c r="L1025" s="4" t="s">
        <v>377</v>
      </c>
      <c r="M1025" s="4" t="s">
        <v>378</v>
      </c>
      <c r="N1025" s="3">
        <v>45890</v>
      </c>
      <c r="O1025" s="4" t="s">
        <v>283</v>
      </c>
      <c r="P1025" s="2">
        <v>1000</v>
      </c>
      <c r="Q1025" s="2">
        <v>4825</v>
      </c>
      <c r="R1025" s="4" t="s">
        <v>747</v>
      </c>
      <c r="S1025" s="5">
        <v>89330500</v>
      </c>
    </row>
    <row r="1026" spans="1:19" x14ac:dyDescent="0.25">
      <c r="A1026" s="4" t="s">
        <v>61</v>
      </c>
      <c r="B1026" s="4" t="s">
        <v>59</v>
      </c>
      <c r="C1026" s="4" t="s">
        <v>62</v>
      </c>
      <c r="D1026" s="4" t="s">
        <v>63</v>
      </c>
      <c r="E1026" s="4" t="s">
        <v>375</v>
      </c>
      <c r="F1026" s="4" t="s">
        <v>376</v>
      </c>
      <c r="G1026" s="4" t="s">
        <v>157</v>
      </c>
      <c r="H1026" s="4" t="s">
        <v>26</v>
      </c>
      <c r="I1026" s="5">
        <v>90000000</v>
      </c>
      <c r="J1026" s="5">
        <v>58500</v>
      </c>
      <c r="K1026" s="5">
        <v>5850</v>
      </c>
      <c r="L1026" s="4" t="s">
        <v>377</v>
      </c>
      <c r="M1026" s="4" t="s">
        <v>378</v>
      </c>
      <c r="N1026" s="3">
        <v>45890</v>
      </c>
      <c r="O1026" s="4" t="s">
        <v>283</v>
      </c>
      <c r="P1026" s="2">
        <v>2000</v>
      </c>
      <c r="Q1026" s="2">
        <v>4825</v>
      </c>
      <c r="R1026" s="4" t="s">
        <v>747</v>
      </c>
      <c r="S1026" s="5">
        <v>89330500</v>
      </c>
    </row>
    <row r="1027" spans="1:19" x14ac:dyDescent="0.25">
      <c r="A1027" s="4" t="s">
        <v>61</v>
      </c>
      <c r="B1027" s="4" t="s">
        <v>59</v>
      </c>
      <c r="C1027" s="4" t="s">
        <v>62</v>
      </c>
      <c r="D1027" s="4" t="s">
        <v>63</v>
      </c>
      <c r="E1027" s="4" t="s">
        <v>310</v>
      </c>
      <c r="F1027" s="4" t="s">
        <v>311</v>
      </c>
      <c r="G1027" s="4" t="s">
        <v>190</v>
      </c>
      <c r="H1027" s="4" t="s">
        <v>26</v>
      </c>
      <c r="I1027" s="5">
        <v>90000000</v>
      </c>
      <c r="J1027" s="5">
        <v>45000</v>
      </c>
      <c r="K1027" s="5">
        <v>4500</v>
      </c>
      <c r="L1027" s="4" t="s">
        <v>312</v>
      </c>
      <c r="M1027" s="4" t="s">
        <v>313</v>
      </c>
      <c r="N1027" s="3">
        <v>45890</v>
      </c>
      <c r="O1027" s="4" t="s">
        <v>283</v>
      </c>
      <c r="P1027" s="2">
        <v>1000</v>
      </c>
      <c r="Q1027" s="2">
        <v>4828</v>
      </c>
      <c r="R1027" s="4" t="s">
        <v>84</v>
      </c>
      <c r="S1027" s="5">
        <v>86184030</v>
      </c>
    </row>
    <row r="1028" spans="1:19" x14ac:dyDescent="0.25">
      <c r="A1028" s="4" t="s">
        <v>61</v>
      </c>
      <c r="B1028" s="4" t="s">
        <v>59</v>
      </c>
      <c r="C1028" s="4" t="s">
        <v>62</v>
      </c>
      <c r="D1028" s="4" t="s">
        <v>63</v>
      </c>
      <c r="E1028" s="4" t="s">
        <v>180</v>
      </c>
      <c r="F1028" s="4" t="s">
        <v>181</v>
      </c>
      <c r="G1028" s="4" t="s">
        <v>91</v>
      </c>
      <c r="H1028" s="4" t="s">
        <v>26</v>
      </c>
      <c r="I1028" s="5">
        <v>65000000</v>
      </c>
      <c r="J1028" s="5">
        <v>105000</v>
      </c>
      <c r="K1028" s="5">
        <v>10500</v>
      </c>
      <c r="L1028" s="4" t="s">
        <v>453</v>
      </c>
      <c r="M1028" s="4" t="s">
        <v>454</v>
      </c>
      <c r="N1028" s="3">
        <v>45883</v>
      </c>
      <c r="O1028" s="4" t="s">
        <v>565</v>
      </c>
      <c r="P1028" s="2">
        <v>1000</v>
      </c>
      <c r="Q1028" s="2">
        <v>4836</v>
      </c>
      <c r="R1028" s="4" t="s">
        <v>26</v>
      </c>
      <c r="S1028" s="5">
        <v>60970400</v>
      </c>
    </row>
    <row r="1029" spans="1:19" x14ac:dyDescent="0.25">
      <c r="A1029" s="4" t="s">
        <v>61</v>
      </c>
      <c r="B1029" s="4" t="s">
        <v>59</v>
      </c>
      <c r="C1029" s="4" t="s">
        <v>62</v>
      </c>
      <c r="D1029" s="4" t="s">
        <v>63</v>
      </c>
      <c r="E1029" s="4" t="s">
        <v>504</v>
      </c>
      <c r="F1029" s="4" t="s">
        <v>505</v>
      </c>
      <c r="G1029" s="4" t="s">
        <v>108</v>
      </c>
      <c r="H1029" s="4" t="s">
        <v>26</v>
      </c>
      <c r="I1029" s="5">
        <v>150000000</v>
      </c>
      <c r="J1029" s="5">
        <v>141100</v>
      </c>
      <c r="K1029" s="5">
        <v>14110</v>
      </c>
      <c r="L1029" s="4" t="s">
        <v>506</v>
      </c>
      <c r="M1029" s="4" t="s">
        <v>507</v>
      </c>
      <c r="N1029" s="3">
        <v>45882</v>
      </c>
      <c r="O1029" s="4" t="s">
        <v>459</v>
      </c>
      <c r="P1029" s="2">
        <v>1000</v>
      </c>
      <c r="Q1029" s="2">
        <v>4851</v>
      </c>
      <c r="R1029" s="4" t="s">
        <v>26</v>
      </c>
      <c r="S1029" s="5">
        <v>148092900</v>
      </c>
    </row>
    <row r="1030" spans="1:19" x14ac:dyDescent="0.25">
      <c r="A1030" s="4" t="s">
        <v>61</v>
      </c>
      <c r="B1030" s="4" t="s">
        <v>59</v>
      </c>
      <c r="C1030" s="4" t="s">
        <v>62</v>
      </c>
      <c r="D1030" s="4" t="s">
        <v>63</v>
      </c>
      <c r="E1030" s="4" t="s">
        <v>103</v>
      </c>
      <c r="F1030" s="4" t="s">
        <v>104</v>
      </c>
      <c r="G1030" s="4" t="s">
        <v>105</v>
      </c>
      <c r="H1030" s="4" t="s">
        <v>26</v>
      </c>
      <c r="I1030" s="5">
        <v>155000000</v>
      </c>
      <c r="J1030" s="5">
        <v>39200</v>
      </c>
      <c r="K1030" s="5">
        <v>3920</v>
      </c>
      <c r="L1030" s="4" t="s">
        <v>26</v>
      </c>
      <c r="M1030" s="4" t="s">
        <v>26</v>
      </c>
      <c r="N1030" s="3">
        <v>45883</v>
      </c>
      <c r="O1030" s="4" t="s">
        <v>147</v>
      </c>
      <c r="P1030" s="2">
        <v>1000</v>
      </c>
      <c r="Q1030" s="2">
        <v>4852</v>
      </c>
      <c r="R1030" s="4" t="s">
        <v>749</v>
      </c>
      <c r="S1030" s="5">
        <v>150234500</v>
      </c>
    </row>
    <row r="1031" spans="1:19" x14ac:dyDescent="0.25">
      <c r="A1031" s="4" t="s">
        <v>61</v>
      </c>
      <c r="B1031" s="4" t="s">
        <v>59</v>
      </c>
      <c r="C1031" s="4" t="s">
        <v>62</v>
      </c>
      <c r="D1031" s="4" t="s">
        <v>63</v>
      </c>
      <c r="E1031" s="4" t="s">
        <v>135</v>
      </c>
      <c r="F1031" s="4" t="s">
        <v>136</v>
      </c>
      <c r="G1031" s="4" t="s">
        <v>50</v>
      </c>
      <c r="H1031" s="4" t="s">
        <v>26</v>
      </c>
      <c r="I1031" s="5">
        <v>65000000</v>
      </c>
      <c r="J1031" s="5">
        <v>38500</v>
      </c>
      <c r="K1031" s="5">
        <v>3850</v>
      </c>
      <c r="L1031" s="4" t="s">
        <v>137</v>
      </c>
      <c r="M1031" s="4" t="s">
        <v>138</v>
      </c>
      <c r="N1031" s="3">
        <v>45890</v>
      </c>
      <c r="O1031" s="4" t="s">
        <v>283</v>
      </c>
      <c r="P1031" s="2">
        <v>1000</v>
      </c>
      <c r="Q1031" s="2">
        <v>4887</v>
      </c>
      <c r="R1031" s="4" t="s">
        <v>755</v>
      </c>
      <c r="S1031" s="5">
        <v>64643700</v>
      </c>
    </row>
    <row r="1032" spans="1:19" x14ac:dyDescent="0.25">
      <c r="A1032" s="4" t="s">
        <v>61</v>
      </c>
      <c r="B1032" s="4" t="s">
        <v>59</v>
      </c>
      <c r="C1032" s="4" t="s">
        <v>62</v>
      </c>
      <c r="D1032" s="4" t="s">
        <v>63</v>
      </c>
      <c r="E1032" s="4" t="s">
        <v>135</v>
      </c>
      <c r="F1032" s="4" t="s">
        <v>136</v>
      </c>
      <c r="G1032" s="4" t="s">
        <v>50</v>
      </c>
      <c r="H1032" s="4" t="s">
        <v>26</v>
      </c>
      <c r="I1032" s="5">
        <v>65000000</v>
      </c>
      <c r="J1032" s="5">
        <v>15400</v>
      </c>
      <c r="K1032" s="5">
        <v>1540</v>
      </c>
      <c r="L1032" s="4" t="s">
        <v>137</v>
      </c>
      <c r="M1032" s="4" t="s">
        <v>138</v>
      </c>
      <c r="N1032" s="3">
        <v>45890</v>
      </c>
      <c r="O1032" s="4" t="s">
        <v>283</v>
      </c>
      <c r="P1032" s="2">
        <v>2000</v>
      </c>
      <c r="Q1032" s="2">
        <v>4887</v>
      </c>
      <c r="R1032" s="4" t="s">
        <v>755</v>
      </c>
      <c r="S1032" s="5">
        <v>64643700</v>
      </c>
    </row>
    <row r="1033" spans="1:19" x14ac:dyDescent="0.25">
      <c r="A1033" s="4" t="s">
        <v>61</v>
      </c>
      <c r="B1033" s="4" t="s">
        <v>59</v>
      </c>
      <c r="C1033" s="4" t="s">
        <v>62</v>
      </c>
      <c r="D1033" s="4" t="s">
        <v>63</v>
      </c>
      <c r="E1033" s="4" t="s">
        <v>92</v>
      </c>
      <c r="F1033" s="4" t="s">
        <v>93</v>
      </c>
      <c r="G1033" s="4" t="s">
        <v>94</v>
      </c>
      <c r="H1033" s="4" t="s">
        <v>26</v>
      </c>
      <c r="I1033" s="5">
        <v>155000000</v>
      </c>
      <c r="J1033" s="5">
        <v>31200</v>
      </c>
      <c r="K1033" s="5">
        <v>3120</v>
      </c>
      <c r="L1033" s="4" t="s">
        <v>26</v>
      </c>
      <c r="M1033" s="4" t="s">
        <v>26</v>
      </c>
      <c r="N1033" s="3">
        <v>45882</v>
      </c>
      <c r="O1033" s="4" t="s">
        <v>51</v>
      </c>
      <c r="P1033" s="2">
        <v>1000</v>
      </c>
      <c r="Q1033" s="2">
        <v>4891</v>
      </c>
      <c r="R1033" s="4" t="s">
        <v>749</v>
      </c>
      <c r="S1033" s="5">
        <v>145558700</v>
      </c>
    </row>
    <row r="1034" spans="1:19" x14ac:dyDescent="0.25">
      <c r="A1034" s="4" t="s">
        <v>61</v>
      </c>
      <c r="B1034" s="4" t="s">
        <v>59</v>
      </c>
      <c r="C1034" s="4" t="s">
        <v>62</v>
      </c>
      <c r="D1034" s="4" t="s">
        <v>63</v>
      </c>
      <c r="E1034" s="4" t="s">
        <v>92</v>
      </c>
      <c r="F1034" s="4" t="s">
        <v>93</v>
      </c>
      <c r="G1034" s="4" t="s">
        <v>94</v>
      </c>
      <c r="H1034" s="4" t="s">
        <v>26</v>
      </c>
      <c r="I1034" s="5">
        <v>155000000</v>
      </c>
      <c r="J1034" s="5">
        <v>28000</v>
      </c>
      <c r="K1034" s="5">
        <v>2800</v>
      </c>
      <c r="L1034" s="4" t="s">
        <v>26</v>
      </c>
      <c r="M1034" s="4" t="s">
        <v>26</v>
      </c>
      <c r="N1034" s="3">
        <v>45882</v>
      </c>
      <c r="O1034" s="4" t="s">
        <v>51</v>
      </c>
      <c r="P1034" s="2">
        <v>2000</v>
      </c>
      <c r="Q1034" s="2">
        <v>4891</v>
      </c>
      <c r="R1034" s="4" t="s">
        <v>749</v>
      </c>
      <c r="S1034" s="5">
        <v>145558700</v>
      </c>
    </row>
    <row r="1035" spans="1:19" x14ac:dyDescent="0.25">
      <c r="A1035" s="4" t="s">
        <v>61</v>
      </c>
      <c r="B1035" s="4" t="s">
        <v>59</v>
      </c>
      <c r="C1035" s="4" t="s">
        <v>62</v>
      </c>
      <c r="D1035" s="4" t="s">
        <v>63</v>
      </c>
      <c r="E1035" s="4" t="s">
        <v>69</v>
      </c>
      <c r="F1035" s="4" t="s">
        <v>70</v>
      </c>
      <c r="G1035" s="4" t="s">
        <v>71</v>
      </c>
      <c r="H1035" s="4" t="s">
        <v>26</v>
      </c>
      <c r="I1035" s="5">
        <v>155000000</v>
      </c>
      <c r="J1035" s="5">
        <v>28000</v>
      </c>
      <c r="K1035" s="5">
        <v>2800</v>
      </c>
      <c r="L1035" s="4" t="s">
        <v>26</v>
      </c>
      <c r="M1035" s="4" t="s">
        <v>26</v>
      </c>
      <c r="N1035" s="3">
        <v>45890</v>
      </c>
      <c r="O1035" s="4" t="s">
        <v>283</v>
      </c>
      <c r="P1035" s="2">
        <v>1000</v>
      </c>
      <c r="Q1035" s="2">
        <v>4892</v>
      </c>
      <c r="R1035" s="4" t="s">
        <v>84</v>
      </c>
      <c r="S1035" s="5">
        <v>143018000</v>
      </c>
    </row>
    <row r="1036" spans="1:19" x14ac:dyDescent="0.25">
      <c r="A1036" s="4" t="s">
        <v>61</v>
      </c>
      <c r="B1036" s="4" t="s">
        <v>59</v>
      </c>
      <c r="C1036" s="4" t="s">
        <v>62</v>
      </c>
      <c r="D1036" s="4" t="s">
        <v>63</v>
      </c>
      <c r="E1036" s="4" t="s">
        <v>103</v>
      </c>
      <c r="F1036" s="4" t="s">
        <v>104</v>
      </c>
      <c r="G1036" s="4" t="s">
        <v>105</v>
      </c>
      <c r="H1036" s="4" t="s">
        <v>26</v>
      </c>
      <c r="I1036" s="5">
        <v>155000000</v>
      </c>
      <c r="J1036" s="5">
        <v>39200</v>
      </c>
      <c r="K1036" s="5">
        <v>3920</v>
      </c>
      <c r="L1036" s="4" t="s">
        <v>26</v>
      </c>
      <c r="M1036" s="4" t="s">
        <v>26</v>
      </c>
      <c r="N1036" s="3">
        <v>45882</v>
      </c>
      <c r="O1036" s="4" t="s">
        <v>51</v>
      </c>
      <c r="P1036" s="2">
        <v>1000</v>
      </c>
      <c r="Q1036" s="2">
        <v>4895</v>
      </c>
      <c r="R1036" s="4" t="s">
        <v>749</v>
      </c>
      <c r="S1036" s="5">
        <v>150234500</v>
      </c>
    </row>
    <row r="1037" spans="1:19" x14ac:dyDescent="0.25">
      <c r="A1037" s="4" t="s">
        <v>61</v>
      </c>
      <c r="B1037" s="4" t="s">
        <v>59</v>
      </c>
      <c r="C1037" s="4" t="s">
        <v>62</v>
      </c>
      <c r="D1037" s="4" t="s">
        <v>63</v>
      </c>
      <c r="E1037" s="4" t="s">
        <v>379</v>
      </c>
      <c r="F1037" s="4" t="s">
        <v>380</v>
      </c>
      <c r="G1037" s="4" t="s">
        <v>381</v>
      </c>
      <c r="H1037" s="4" t="s">
        <v>26</v>
      </c>
      <c r="I1037" s="5">
        <v>90000000</v>
      </c>
      <c r="J1037" s="5">
        <v>15400</v>
      </c>
      <c r="K1037" s="5">
        <v>1540</v>
      </c>
      <c r="L1037" s="4" t="s">
        <v>26</v>
      </c>
      <c r="M1037" s="4" t="s">
        <v>26</v>
      </c>
      <c r="N1037" s="3">
        <v>45890</v>
      </c>
      <c r="O1037" s="4" t="s">
        <v>283</v>
      </c>
      <c r="P1037" s="2">
        <v>1000</v>
      </c>
      <c r="Q1037" s="2">
        <v>4929</v>
      </c>
      <c r="R1037" s="4" t="s">
        <v>755</v>
      </c>
      <c r="S1037" s="5">
        <v>89914200</v>
      </c>
    </row>
    <row r="1038" spans="1:19" x14ac:dyDescent="0.25">
      <c r="A1038" s="4" t="s">
        <v>61</v>
      </c>
      <c r="B1038" s="4" t="s">
        <v>59</v>
      </c>
      <c r="C1038" s="4" t="s">
        <v>62</v>
      </c>
      <c r="D1038" s="4" t="s">
        <v>63</v>
      </c>
      <c r="E1038" s="4" t="s">
        <v>103</v>
      </c>
      <c r="F1038" s="4" t="s">
        <v>104</v>
      </c>
      <c r="G1038" s="4" t="s">
        <v>105</v>
      </c>
      <c r="H1038" s="4" t="s">
        <v>26</v>
      </c>
      <c r="I1038" s="5">
        <v>155000000</v>
      </c>
      <c r="J1038" s="5">
        <v>152100</v>
      </c>
      <c r="K1038" s="5">
        <v>15210</v>
      </c>
      <c r="L1038" s="4" t="s">
        <v>26</v>
      </c>
      <c r="M1038" s="4" t="s">
        <v>26</v>
      </c>
      <c r="N1038" s="3">
        <v>45889</v>
      </c>
      <c r="O1038" s="4" t="s">
        <v>432</v>
      </c>
      <c r="P1038" s="2">
        <v>1000</v>
      </c>
      <c r="Q1038" s="2">
        <v>4959</v>
      </c>
      <c r="R1038" s="4" t="s">
        <v>755</v>
      </c>
      <c r="S1038" s="5">
        <v>150234500</v>
      </c>
    </row>
    <row r="1039" spans="1:19" x14ac:dyDescent="0.25">
      <c r="A1039" s="4" t="s">
        <v>61</v>
      </c>
      <c r="B1039" s="4" t="s">
        <v>59</v>
      </c>
      <c r="C1039" s="4" t="s">
        <v>62</v>
      </c>
      <c r="D1039" s="4" t="s">
        <v>63</v>
      </c>
      <c r="E1039" s="4" t="s">
        <v>103</v>
      </c>
      <c r="F1039" s="4" t="s">
        <v>104</v>
      </c>
      <c r="G1039" s="4" t="s">
        <v>105</v>
      </c>
      <c r="H1039" s="4" t="s">
        <v>26</v>
      </c>
      <c r="I1039" s="5">
        <v>155000000</v>
      </c>
      <c r="J1039" s="5">
        <v>58500</v>
      </c>
      <c r="K1039" s="5">
        <v>5850</v>
      </c>
      <c r="L1039" s="4" t="s">
        <v>26</v>
      </c>
      <c r="M1039" s="4" t="s">
        <v>26</v>
      </c>
      <c r="N1039" s="3">
        <v>45889</v>
      </c>
      <c r="O1039" s="4" t="s">
        <v>432</v>
      </c>
      <c r="P1039" s="2">
        <v>2000</v>
      </c>
      <c r="Q1039" s="2">
        <v>4959</v>
      </c>
      <c r="R1039" s="4" t="s">
        <v>755</v>
      </c>
      <c r="S1039" s="5">
        <v>150234500</v>
      </c>
    </row>
    <row r="1040" spans="1:19" x14ac:dyDescent="0.25">
      <c r="A1040" s="4" t="s">
        <v>61</v>
      </c>
      <c r="B1040" s="4" t="s">
        <v>59</v>
      </c>
      <c r="C1040" s="4" t="s">
        <v>62</v>
      </c>
      <c r="D1040" s="4" t="s">
        <v>63</v>
      </c>
      <c r="E1040" s="4" t="s">
        <v>103</v>
      </c>
      <c r="F1040" s="4" t="s">
        <v>104</v>
      </c>
      <c r="G1040" s="4" t="s">
        <v>105</v>
      </c>
      <c r="H1040" s="4" t="s">
        <v>26</v>
      </c>
      <c r="I1040" s="5">
        <v>155000000</v>
      </c>
      <c r="J1040" s="5">
        <v>2700</v>
      </c>
      <c r="K1040" s="5">
        <v>270</v>
      </c>
      <c r="L1040" s="4" t="s">
        <v>26</v>
      </c>
      <c r="M1040" s="4" t="s">
        <v>26</v>
      </c>
      <c r="N1040" s="3">
        <v>45889</v>
      </c>
      <c r="O1040" s="4" t="s">
        <v>432</v>
      </c>
      <c r="P1040" s="2">
        <v>3000</v>
      </c>
      <c r="Q1040" s="2">
        <v>4959</v>
      </c>
      <c r="R1040" s="4" t="s">
        <v>755</v>
      </c>
      <c r="S1040" s="5">
        <v>150234500</v>
      </c>
    </row>
    <row r="1041" spans="1:19" x14ac:dyDescent="0.25">
      <c r="A1041" s="4" t="s">
        <v>61</v>
      </c>
      <c r="B1041" s="4" t="s">
        <v>59</v>
      </c>
      <c r="C1041" s="4" t="s">
        <v>62</v>
      </c>
      <c r="D1041" s="4" t="s">
        <v>63</v>
      </c>
      <c r="E1041" s="4" t="s">
        <v>338</v>
      </c>
      <c r="F1041" s="4" t="s">
        <v>339</v>
      </c>
      <c r="G1041" s="4" t="s">
        <v>100</v>
      </c>
      <c r="H1041" s="4" t="s">
        <v>26</v>
      </c>
      <c r="I1041" s="5">
        <v>65000000</v>
      </c>
      <c r="J1041" s="5">
        <v>40000</v>
      </c>
      <c r="K1041" s="5">
        <v>4000</v>
      </c>
      <c r="L1041" s="4" t="s">
        <v>26</v>
      </c>
      <c r="M1041" s="4" t="s">
        <v>26</v>
      </c>
      <c r="N1041" s="3">
        <v>45883</v>
      </c>
      <c r="O1041" s="4" t="s">
        <v>416</v>
      </c>
      <c r="P1041" s="2">
        <v>1000</v>
      </c>
      <c r="Q1041" s="2">
        <v>4975</v>
      </c>
      <c r="R1041" s="4" t="s">
        <v>84</v>
      </c>
      <c r="S1041" s="5">
        <v>61189450</v>
      </c>
    </row>
    <row r="1042" spans="1:19" x14ac:dyDescent="0.25">
      <c r="A1042" s="4" t="s">
        <v>61</v>
      </c>
      <c r="B1042" s="4" t="s">
        <v>59</v>
      </c>
      <c r="C1042" s="4" t="s">
        <v>62</v>
      </c>
      <c r="D1042" s="4" t="s">
        <v>63</v>
      </c>
      <c r="E1042" s="4" t="s">
        <v>338</v>
      </c>
      <c r="F1042" s="4" t="s">
        <v>339</v>
      </c>
      <c r="G1042" s="4" t="s">
        <v>100</v>
      </c>
      <c r="H1042" s="4" t="s">
        <v>26</v>
      </c>
      <c r="I1042" s="5">
        <v>65000000</v>
      </c>
      <c r="J1042" s="5">
        <v>8000</v>
      </c>
      <c r="K1042" s="5">
        <v>800</v>
      </c>
      <c r="L1042" s="4" t="s">
        <v>26</v>
      </c>
      <c r="M1042" s="4" t="s">
        <v>26</v>
      </c>
      <c r="N1042" s="3">
        <v>45883</v>
      </c>
      <c r="O1042" s="4" t="s">
        <v>416</v>
      </c>
      <c r="P1042" s="2">
        <v>2000</v>
      </c>
      <c r="Q1042" s="2">
        <v>4975</v>
      </c>
      <c r="R1042" s="4" t="s">
        <v>84</v>
      </c>
      <c r="S1042" s="5">
        <v>61189450</v>
      </c>
    </row>
    <row r="1043" spans="1:19" x14ac:dyDescent="0.25">
      <c r="A1043" s="4" t="s">
        <v>61</v>
      </c>
      <c r="B1043" s="4" t="s">
        <v>59</v>
      </c>
      <c r="C1043" s="4" t="s">
        <v>62</v>
      </c>
      <c r="D1043" s="4" t="s">
        <v>63</v>
      </c>
      <c r="E1043" s="4" t="s">
        <v>338</v>
      </c>
      <c r="F1043" s="4" t="s">
        <v>339</v>
      </c>
      <c r="G1043" s="4" t="s">
        <v>100</v>
      </c>
      <c r="H1043" s="4" t="s">
        <v>26</v>
      </c>
      <c r="I1043" s="5">
        <v>65000000</v>
      </c>
      <c r="J1043" s="5">
        <v>55000</v>
      </c>
      <c r="K1043" s="5">
        <v>5500</v>
      </c>
      <c r="L1043" s="4" t="s">
        <v>26</v>
      </c>
      <c r="M1043" s="4" t="s">
        <v>26</v>
      </c>
      <c r="N1043" s="3">
        <v>45883</v>
      </c>
      <c r="O1043" s="4" t="s">
        <v>416</v>
      </c>
      <c r="P1043" s="2">
        <v>3000</v>
      </c>
      <c r="Q1043" s="2">
        <v>4975</v>
      </c>
      <c r="R1043" s="4" t="s">
        <v>84</v>
      </c>
      <c r="S1043" s="5">
        <v>61189450</v>
      </c>
    </row>
    <row r="1044" spans="1:19" x14ac:dyDescent="0.25">
      <c r="A1044" s="4" t="s">
        <v>61</v>
      </c>
      <c r="B1044" s="4" t="s">
        <v>59</v>
      </c>
      <c r="C1044" s="4" t="s">
        <v>62</v>
      </c>
      <c r="D1044" s="4" t="s">
        <v>63</v>
      </c>
      <c r="E1044" s="4" t="s">
        <v>338</v>
      </c>
      <c r="F1044" s="4" t="s">
        <v>339</v>
      </c>
      <c r="G1044" s="4" t="s">
        <v>100</v>
      </c>
      <c r="H1044" s="4" t="s">
        <v>26</v>
      </c>
      <c r="I1044" s="5">
        <v>65000000</v>
      </c>
      <c r="J1044" s="5">
        <v>8000</v>
      </c>
      <c r="K1044" s="5">
        <v>800</v>
      </c>
      <c r="L1044" s="4" t="s">
        <v>26</v>
      </c>
      <c r="M1044" s="4" t="s">
        <v>26</v>
      </c>
      <c r="N1044" s="3">
        <v>45883</v>
      </c>
      <c r="O1044" s="4" t="s">
        <v>416</v>
      </c>
      <c r="P1044" s="2">
        <v>4000</v>
      </c>
      <c r="Q1044" s="2">
        <v>4975</v>
      </c>
      <c r="R1044" s="4" t="s">
        <v>84</v>
      </c>
      <c r="S1044" s="5">
        <v>61189450</v>
      </c>
    </row>
    <row r="1045" spans="1:19" x14ac:dyDescent="0.25">
      <c r="A1045" s="4" t="s">
        <v>61</v>
      </c>
      <c r="B1045" s="4" t="s">
        <v>59</v>
      </c>
      <c r="C1045" s="4" t="s">
        <v>62</v>
      </c>
      <c r="D1045" s="4" t="s">
        <v>63</v>
      </c>
      <c r="E1045" s="4" t="s">
        <v>168</v>
      </c>
      <c r="F1045" s="4" t="s">
        <v>169</v>
      </c>
      <c r="G1045" s="4" t="s">
        <v>81</v>
      </c>
      <c r="H1045" s="4" t="s">
        <v>26</v>
      </c>
      <c r="I1045" s="5">
        <v>65000000</v>
      </c>
      <c r="J1045" s="5">
        <v>55000</v>
      </c>
      <c r="K1045" s="5">
        <v>5500</v>
      </c>
      <c r="L1045" s="4" t="s">
        <v>26</v>
      </c>
      <c r="M1045" s="4" t="s">
        <v>26</v>
      </c>
      <c r="N1045" s="3">
        <v>45883</v>
      </c>
      <c r="O1045" s="4" t="s">
        <v>416</v>
      </c>
      <c r="P1045" s="2">
        <v>1000</v>
      </c>
      <c r="Q1045" s="2">
        <v>5001</v>
      </c>
      <c r="R1045" s="4" t="s">
        <v>84</v>
      </c>
      <c r="S1045" s="5">
        <v>64945000</v>
      </c>
    </row>
    <row r="1046" spans="1:19" x14ac:dyDescent="0.25">
      <c r="A1046" s="4" t="s">
        <v>61</v>
      </c>
      <c r="B1046" s="4" t="s">
        <v>59</v>
      </c>
      <c r="C1046" s="4" t="s">
        <v>62</v>
      </c>
      <c r="D1046" s="4" t="s">
        <v>63</v>
      </c>
      <c r="E1046" s="4" t="s">
        <v>118</v>
      </c>
      <c r="F1046" s="4" t="s">
        <v>119</v>
      </c>
      <c r="G1046" s="4" t="s">
        <v>100</v>
      </c>
      <c r="H1046" s="4" t="s">
        <v>26</v>
      </c>
      <c r="I1046" s="5">
        <v>65000000</v>
      </c>
      <c r="J1046" s="5">
        <v>76500</v>
      </c>
      <c r="K1046" s="5">
        <v>7650</v>
      </c>
      <c r="L1046" s="4" t="s">
        <v>120</v>
      </c>
      <c r="M1046" s="4" t="s">
        <v>121</v>
      </c>
      <c r="N1046" s="3">
        <v>45882</v>
      </c>
      <c r="O1046" s="4" t="s">
        <v>51</v>
      </c>
      <c r="P1046" s="2">
        <v>1000</v>
      </c>
      <c r="Q1046" s="2">
        <v>5008</v>
      </c>
      <c r="R1046" s="4" t="s">
        <v>749</v>
      </c>
      <c r="S1046" s="5">
        <v>63851150</v>
      </c>
    </row>
    <row r="1047" spans="1:19" x14ac:dyDescent="0.25">
      <c r="A1047" s="4" t="s">
        <v>61</v>
      </c>
      <c r="B1047" s="4" t="s">
        <v>59</v>
      </c>
      <c r="C1047" s="4" t="s">
        <v>62</v>
      </c>
      <c r="D1047" s="4" t="s">
        <v>63</v>
      </c>
      <c r="E1047" s="4" t="s">
        <v>118</v>
      </c>
      <c r="F1047" s="4" t="s">
        <v>119</v>
      </c>
      <c r="G1047" s="4" t="s">
        <v>100</v>
      </c>
      <c r="H1047" s="4" t="s">
        <v>26</v>
      </c>
      <c r="I1047" s="5">
        <v>65000000</v>
      </c>
      <c r="J1047" s="5">
        <v>108000</v>
      </c>
      <c r="K1047" s="5">
        <v>10800</v>
      </c>
      <c r="L1047" s="4" t="s">
        <v>120</v>
      </c>
      <c r="M1047" s="4" t="s">
        <v>121</v>
      </c>
      <c r="N1047" s="3">
        <v>45882</v>
      </c>
      <c r="O1047" s="4" t="s">
        <v>51</v>
      </c>
      <c r="P1047" s="2">
        <v>2000</v>
      </c>
      <c r="Q1047" s="2">
        <v>5008</v>
      </c>
      <c r="R1047" s="4" t="s">
        <v>749</v>
      </c>
      <c r="S1047" s="5">
        <v>63851150</v>
      </c>
    </row>
    <row r="1048" spans="1:19" x14ac:dyDescent="0.25">
      <c r="A1048" s="4" t="s">
        <v>61</v>
      </c>
      <c r="B1048" s="4" t="s">
        <v>59</v>
      </c>
      <c r="C1048" s="4" t="s">
        <v>62</v>
      </c>
      <c r="D1048" s="4" t="s">
        <v>63</v>
      </c>
      <c r="E1048" s="4" t="s">
        <v>122</v>
      </c>
      <c r="F1048" s="4" t="s">
        <v>123</v>
      </c>
      <c r="G1048" s="4" t="s">
        <v>124</v>
      </c>
      <c r="H1048" s="4" t="s">
        <v>26</v>
      </c>
      <c r="I1048" s="5">
        <v>65000000</v>
      </c>
      <c r="J1048" s="5">
        <v>1250000</v>
      </c>
      <c r="K1048" s="5">
        <v>125000</v>
      </c>
      <c r="L1048" s="4" t="s">
        <v>655</v>
      </c>
      <c r="M1048" s="4" t="s">
        <v>656</v>
      </c>
      <c r="N1048" s="3">
        <v>45898</v>
      </c>
      <c r="O1048" s="4" t="s">
        <v>642</v>
      </c>
      <c r="P1048" s="2">
        <v>1000</v>
      </c>
      <c r="Q1048" s="2">
        <v>5015</v>
      </c>
      <c r="R1048" s="4" t="s">
        <v>746</v>
      </c>
      <c r="S1048" s="5">
        <v>54042090</v>
      </c>
    </row>
    <row r="1049" spans="1:19" x14ac:dyDescent="0.25">
      <c r="A1049" s="4" t="s">
        <v>61</v>
      </c>
      <c r="B1049" s="4" t="s">
        <v>59</v>
      </c>
      <c r="C1049" s="4" t="s">
        <v>62</v>
      </c>
      <c r="D1049" s="4" t="s">
        <v>63</v>
      </c>
      <c r="E1049" s="4" t="s">
        <v>122</v>
      </c>
      <c r="F1049" s="4" t="s">
        <v>123</v>
      </c>
      <c r="G1049" s="4" t="s">
        <v>124</v>
      </c>
      <c r="H1049" s="4" t="s">
        <v>26</v>
      </c>
      <c r="I1049" s="5">
        <v>65000000</v>
      </c>
      <c r="J1049" s="5">
        <v>1250000</v>
      </c>
      <c r="K1049" s="5">
        <v>125000</v>
      </c>
      <c r="L1049" s="4" t="s">
        <v>655</v>
      </c>
      <c r="M1049" s="4" t="s">
        <v>656</v>
      </c>
      <c r="N1049" s="3">
        <v>45898</v>
      </c>
      <c r="O1049" s="4" t="s">
        <v>642</v>
      </c>
      <c r="P1049" s="2">
        <v>2000</v>
      </c>
      <c r="Q1049" s="2">
        <v>5015</v>
      </c>
      <c r="R1049" s="4" t="s">
        <v>746</v>
      </c>
      <c r="S1049" s="5">
        <v>54042090</v>
      </c>
    </row>
    <row r="1050" spans="1:19" x14ac:dyDescent="0.25">
      <c r="A1050" s="4" t="s">
        <v>61</v>
      </c>
      <c r="B1050" s="4" t="s">
        <v>59</v>
      </c>
      <c r="C1050" s="4" t="s">
        <v>62</v>
      </c>
      <c r="D1050" s="4" t="s">
        <v>63</v>
      </c>
      <c r="E1050" s="4" t="s">
        <v>547</v>
      </c>
      <c r="F1050" s="4" t="s">
        <v>548</v>
      </c>
      <c r="G1050" s="4" t="s">
        <v>100</v>
      </c>
      <c r="H1050" s="4" t="s">
        <v>26</v>
      </c>
      <c r="I1050" s="5">
        <v>65000000</v>
      </c>
      <c r="J1050" s="5">
        <v>31000</v>
      </c>
      <c r="K1050" s="5">
        <v>3100</v>
      </c>
      <c r="L1050" s="4" t="s">
        <v>26</v>
      </c>
      <c r="M1050" s="4" t="s">
        <v>26</v>
      </c>
      <c r="N1050" s="3">
        <v>45889</v>
      </c>
      <c r="O1050" s="4" t="s">
        <v>532</v>
      </c>
      <c r="P1050" s="2">
        <v>1000</v>
      </c>
      <c r="Q1050" s="2">
        <v>5017</v>
      </c>
      <c r="R1050" s="4" t="s">
        <v>749</v>
      </c>
      <c r="S1050" s="5">
        <v>64969000</v>
      </c>
    </row>
    <row r="1051" spans="1:19" x14ac:dyDescent="0.25">
      <c r="A1051" s="4" t="s">
        <v>61</v>
      </c>
      <c r="B1051" s="4" t="s">
        <v>59</v>
      </c>
      <c r="C1051" s="4" t="s">
        <v>62</v>
      </c>
      <c r="D1051" s="4" t="s">
        <v>63</v>
      </c>
      <c r="E1051" s="4" t="s">
        <v>259</v>
      </c>
      <c r="F1051" s="4" t="s">
        <v>260</v>
      </c>
      <c r="G1051" s="4" t="s">
        <v>144</v>
      </c>
      <c r="H1051" s="4" t="s">
        <v>26</v>
      </c>
      <c r="I1051" s="5">
        <v>90000000</v>
      </c>
      <c r="J1051" s="5">
        <v>900000</v>
      </c>
      <c r="K1051" s="5">
        <v>90000</v>
      </c>
      <c r="L1051" s="4" t="s">
        <v>261</v>
      </c>
      <c r="M1051" s="4" t="s">
        <v>262</v>
      </c>
      <c r="N1051" s="3">
        <v>45898</v>
      </c>
      <c r="O1051" s="4" t="s">
        <v>642</v>
      </c>
      <c r="P1051" s="2">
        <v>1000</v>
      </c>
      <c r="Q1051" s="2">
        <v>5022</v>
      </c>
      <c r="R1051" s="4" t="s">
        <v>746</v>
      </c>
      <c r="S1051" s="5">
        <v>86406230</v>
      </c>
    </row>
    <row r="1052" spans="1:19" x14ac:dyDescent="0.25">
      <c r="A1052" s="4" t="s">
        <v>61</v>
      </c>
      <c r="B1052" s="4" t="s">
        <v>59</v>
      </c>
      <c r="C1052" s="4" t="s">
        <v>62</v>
      </c>
      <c r="D1052" s="4" t="s">
        <v>63</v>
      </c>
      <c r="E1052" s="4" t="s">
        <v>259</v>
      </c>
      <c r="F1052" s="4" t="s">
        <v>260</v>
      </c>
      <c r="G1052" s="4" t="s">
        <v>144</v>
      </c>
      <c r="H1052" s="4" t="s">
        <v>26</v>
      </c>
      <c r="I1052" s="5">
        <v>90000000</v>
      </c>
      <c r="J1052" s="5">
        <v>1250000</v>
      </c>
      <c r="K1052" s="5">
        <v>125000</v>
      </c>
      <c r="L1052" s="4" t="s">
        <v>261</v>
      </c>
      <c r="M1052" s="4" t="s">
        <v>262</v>
      </c>
      <c r="N1052" s="3">
        <v>45898</v>
      </c>
      <c r="O1052" s="4" t="s">
        <v>642</v>
      </c>
      <c r="P1052" s="2">
        <v>2000</v>
      </c>
      <c r="Q1052" s="2">
        <v>5022</v>
      </c>
      <c r="R1052" s="4" t="s">
        <v>746</v>
      </c>
      <c r="S1052" s="5">
        <v>86406230</v>
      </c>
    </row>
    <row r="1053" spans="1:19" x14ac:dyDescent="0.25">
      <c r="A1053" s="4" t="s">
        <v>61</v>
      </c>
      <c r="B1053" s="4" t="s">
        <v>59</v>
      </c>
      <c r="C1053" s="4" t="s">
        <v>62</v>
      </c>
      <c r="D1053" s="4" t="s">
        <v>63</v>
      </c>
      <c r="E1053" s="4" t="s">
        <v>188</v>
      </c>
      <c r="F1053" s="4" t="s">
        <v>189</v>
      </c>
      <c r="G1053" s="4" t="s">
        <v>190</v>
      </c>
      <c r="H1053" s="4" t="s">
        <v>26</v>
      </c>
      <c r="I1053" s="5">
        <v>90000000</v>
      </c>
      <c r="J1053" s="5">
        <v>74800</v>
      </c>
      <c r="K1053" s="5">
        <v>7480</v>
      </c>
      <c r="L1053" s="4" t="s">
        <v>191</v>
      </c>
      <c r="M1053" s="4" t="s">
        <v>192</v>
      </c>
      <c r="N1053" s="3">
        <v>45889</v>
      </c>
      <c r="O1053" s="4" t="s">
        <v>432</v>
      </c>
      <c r="P1053" s="2">
        <v>1000</v>
      </c>
      <c r="Q1053" s="2">
        <v>5023</v>
      </c>
      <c r="R1053" s="4" t="s">
        <v>755</v>
      </c>
      <c r="S1053" s="5">
        <v>87040690</v>
      </c>
    </row>
    <row r="1054" spans="1:19" x14ac:dyDescent="0.25">
      <c r="A1054" s="4" t="s">
        <v>61</v>
      </c>
      <c r="B1054" s="4" t="s">
        <v>59</v>
      </c>
      <c r="C1054" s="4" t="s">
        <v>62</v>
      </c>
      <c r="D1054" s="4" t="s">
        <v>63</v>
      </c>
      <c r="E1054" s="4" t="s">
        <v>188</v>
      </c>
      <c r="F1054" s="4" t="s">
        <v>189</v>
      </c>
      <c r="G1054" s="4" t="s">
        <v>190</v>
      </c>
      <c r="H1054" s="4" t="s">
        <v>26</v>
      </c>
      <c r="I1054" s="5">
        <v>90000000</v>
      </c>
      <c r="J1054" s="5">
        <v>79900</v>
      </c>
      <c r="K1054" s="5">
        <v>7990</v>
      </c>
      <c r="L1054" s="4" t="s">
        <v>191</v>
      </c>
      <c r="M1054" s="4" t="s">
        <v>192</v>
      </c>
      <c r="N1054" s="3">
        <v>45889</v>
      </c>
      <c r="O1054" s="4" t="s">
        <v>432</v>
      </c>
      <c r="P1054" s="2">
        <v>2000</v>
      </c>
      <c r="Q1054" s="2">
        <v>5023</v>
      </c>
      <c r="R1054" s="4" t="s">
        <v>26</v>
      </c>
      <c r="S1054" s="5">
        <v>87040690</v>
      </c>
    </row>
    <row r="1055" spans="1:19" x14ac:dyDescent="0.25">
      <c r="A1055" s="4" t="s">
        <v>61</v>
      </c>
      <c r="B1055" s="4" t="s">
        <v>59</v>
      </c>
      <c r="C1055" s="4" t="s">
        <v>62</v>
      </c>
      <c r="D1055" s="4" t="s">
        <v>63</v>
      </c>
      <c r="E1055" s="4" t="s">
        <v>188</v>
      </c>
      <c r="F1055" s="4" t="s">
        <v>189</v>
      </c>
      <c r="G1055" s="4" t="s">
        <v>190</v>
      </c>
      <c r="H1055" s="4" t="s">
        <v>26</v>
      </c>
      <c r="I1055" s="5">
        <v>90000000</v>
      </c>
      <c r="J1055" s="5">
        <v>9350</v>
      </c>
      <c r="K1055" s="5">
        <v>935</v>
      </c>
      <c r="L1055" s="4" t="s">
        <v>191</v>
      </c>
      <c r="M1055" s="4" t="s">
        <v>192</v>
      </c>
      <c r="N1055" s="3">
        <v>45889</v>
      </c>
      <c r="O1055" s="4" t="s">
        <v>432</v>
      </c>
      <c r="P1055" s="2">
        <v>3000</v>
      </c>
      <c r="Q1055" s="2">
        <v>5023</v>
      </c>
      <c r="R1055" s="4" t="s">
        <v>755</v>
      </c>
      <c r="S1055" s="5">
        <v>87040690</v>
      </c>
    </row>
    <row r="1056" spans="1:19" x14ac:dyDescent="0.25">
      <c r="A1056" s="4" t="s">
        <v>61</v>
      </c>
      <c r="B1056" s="4" t="s">
        <v>59</v>
      </c>
      <c r="C1056" s="4" t="s">
        <v>62</v>
      </c>
      <c r="D1056" s="4" t="s">
        <v>63</v>
      </c>
      <c r="E1056" s="4" t="s">
        <v>188</v>
      </c>
      <c r="F1056" s="4" t="s">
        <v>189</v>
      </c>
      <c r="G1056" s="4" t="s">
        <v>190</v>
      </c>
      <c r="H1056" s="4" t="s">
        <v>26</v>
      </c>
      <c r="I1056" s="5">
        <v>90000000</v>
      </c>
      <c r="J1056" s="5">
        <v>4250</v>
      </c>
      <c r="K1056" s="5">
        <v>425</v>
      </c>
      <c r="L1056" s="4" t="s">
        <v>191</v>
      </c>
      <c r="M1056" s="4" t="s">
        <v>192</v>
      </c>
      <c r="N1056" s="3">
        <v>45889</v>
      </c>
      <c r="O1056" s="4" t="s">
        <v>432</v>
      </c>
      <c r="P1056" s="2">
        <v>4000</v>
      </c>
      <c r="Q1056" s="2">
        <v>5023</v>
      </c>
      <c r="R1056" s="4" t="s">
        <v>755</v>
      </c>
      <c r="S1056" s="5">
        <v>87040690</v>
      </c>
    </row>
    <row r="1057" spans="1:19" x14ac:dyDescent="0.25">
      <c r="A1057" s="4" t="s">
        <v>61</v>
      </c>
      <c r="B1057" s="4" t="s">
        <v>59</v>
      </c>
      <c r="C1057" s="4" t="s">
        <v>62</v>
      </c>
      <c r="D1057" s="4" t="s">
        <v>63</v>
      </c>
      <c r="E1057" s="4" t="s">
        <v>216</v>
      </c>
      <c r="F1057" s="4" t="s">
        <v>217</v>
      </c>
      <c r="G1057" s="4" t="s">
        <v>97</v>
      </c>
      <c r="H1057" s="4" t="s">
        <v>26</v>
      </c>
      <c r="I1057" s="5">
        <v>155000000</v>
      </c>
      <c r="J1057" s="5">
        <v>69300</v>
      </c>
      <c r="K1057" s="5">
        <v>6930</v>
      </c>
      <c r="L1057" s="4" t="s">
        <v>26</v>
      </c>
      <c r="M1057" s="4" t="s">
        <v>26</v>
      </c>
      <c r="N1057" s="3">
        <v>45891</v>
      </c>
      <c r="O1057" s="4" t="s">
        <v>283</v>
      </c>
      <c r="P1057" s="2">
        <v>1000</v>
      </c>
      <c r="Q1057" s="2">
        <v>5024</v>
      </c>
      <c r="R1057" s="4" t="s">
        <v>755</v>
      </c>
      <c r="S1057" s="5">
        <v>152389300</v>
      </c>
    </row>
    <row r="1058" spans="1:19" x14ac:dyDescent="0.25">
      <c r="A1058" s="4" t="s">
        <v>61</v>
      </c>
      <c r="B1058" s="4" t="s">
        <v>59</v>
      </c>
      <c r="C1058" s="4" t="s">
        <v>62</v>
      </c>
      <c r="D1058" s="4" t="s">
        <v>63</v>
      </c>
      <c r="E1058" s="4" t="s">
        <v>206</v>
      </c>
      <c r="F1058" s="4" t="s">
        <v>207</v>
      </c>
      <c r="G1058" s="4" t="s">
        <v>97</v>
      </c>
      <c r="H1058" s="4" t="s">
        <v>26</v>
      </c>
      <c r="I1058" s="5">
        <v>155000000</v>
      </c>
      <c r="J1058" s="5">
        <v>116200</v>
      </c>
      <c r="K1058" s="5">
        <v>11620</v>
      </c>
      <c r="L1058" s="4" t="s">
        <v>208</v>
      </c>
      <c r="M1058" s="4" t="s">
        <v>209</v>
      </c>
      <c r="N1058" s="3">
        <v>45891</v>
      </c>
      <c r="O1058" s="4" t="s">
        <v>283</v>
      </c>
      <c r="P1058" s="2">
        <v>1000</v>
      </c>
      <c r="Q1058" s="2">
        <v>5085</v>
      </c>
      <c r="R1058" s="4" t="s">
        <v>755</v>
      </c>
      <c r="S1058" s="5">
        <v>153252100</v>
      </c>
    </row>
    <row r="1059" spans="1:19" x14ac:dyDescent="0.25">
      <c r="A1059" s="4" t="s">
        <v>61</v>
      </c>
      <c r="B1059" s="4" t="s">
        <v>59</v>
      </c>
      <c r="C1059" s="4" t="s">
        <v>62</v>
      </c>
      <c r="D1059" s="4" t="s">
        <v>63</v>
      </c>
      <c r="E1059" s="4" t="s">
        <v>92</v>
      </c>
      <c r="F1059" s="4" t="s">
        <v>93</v>
      </c>
      <c r="G1059" s="4" t="s">
        <v>94</v>
      </c>
      <c r="H1059" s="4" t="s">
        <v>26</v>
      </c>
      <c r="I1059" s="5">
        <v>155000000</v>
      </c>
      <c r="J1059" s="5">
        <v>125100</v>
      </c>
      <c r="K1059" s="5">
        <v>12510</v>
      </c>
      <c r="L1059" s="4" t="s">
        <v>26</v>
      </c>
      <c r="M1059" s="4" t="s">
        <v>26</v>
      </c>
      <c r="N1059" s="3">
        <v>45889</v>
      </c>
      <c r="O1059" s="4" t="s">
        <v>432</v>
      </c>
      <c r="P1059" s="2">
        <v>1000</v>
      </c>
      <c r="Q1059" s="2">
        <v>5112</v>
      </c>
      <c r="R1059" s="4" t="s">
        <v>755</v>
      </c>
      <c r="S1059" s="5">
        <v>145558700</v>
      </c>
    </row>
    <row r="1060" spans="1:19" x14ac:dyDescent="0.25">
      <c r="A1060" s="4" t="s">
        <v>61</v>
      </c>
      <c r="B1060" s="4" t="s">
        <v>59</v>
      </c>
      <c r="C1060" s="4" t="s">
        <v>62</v>
      </c>
      <c r="D1060" s="4" t="s">
        <v>63</v>
      </c>
      <c r="E1060" s="4" t="s">
        <v>92</v>
      </c>
      <c r="F1060" s="4" t="s">
        <v>93</v>
      </c>
      <c r="G1060" s="4" t="s">
        <v>94</v>
      </c>
      <c r="H1060" s="4" t="s">
        <v>26</v>
      </c>
      <c r="I1060" s="5">
        <v>155000000</v>
      </c>
      <c r="J1060" s="5">
        <v>22500</v>
      </c>
      <c r="K1060" s="5">
        <v>2250</v>
      </c>
      <c r="L1060" s="4" t="s">
        <v>26</v>
      </c>
      <c r="M1060" s="4" t="s">
        <v>26</v>
      </c>
      <c r="N1060" s="3">
        <v>45889</v>
      </c>
      <c r="O1060" s="4" t="s">
        <v>432</v>
      </c>
      <c r="P1060" s="2">
        <v>2000</v>
      </c>
      <c r="Q1060" s="2">
        <v>5112</v>
      </c>
      <c r="R1060" s="4" t="s">
        <v>755</v>
      </c>
      <c r="S1060" s="5">
        <v>145558700</v>
      </c>
    </row>
    <row r="1061" spans="1:19" x14ac:dyDescent="0.25">
      <c r="A1061" s="4" t="s">
        <v>61</v>
      </c>
      <c r="B1061" s="4" t="s">
        <v>59</v>
      </c>
      <c r="C1061" s="4" t="s">
        <v>62</v>
      </c>
      <c r="D1061" s="4" t="s">
        <v>63</v>
      </c>
      <c r="E1061" s="4" t="s">
        <v>92</v>
      </c>
      <c r="F1061" s="4" t="s">
        <v>93</v>
      </c>
      <c r="G1061" s="4" t="s">
        <v>94</v>
      </c>
      <c r="H1061" s="4" t="s">
        <v>26</v>
      </c>
      <c r="I1061" s="5">
        <v>155000000</v>
      </c>
      <c r="J1061" s="5">
        <v>2700</v>
      </c>
      <c r="K1061" s="5">
        <v>270</v>
      </c>
      <c r="L1061" s="4" t="s">
        <v>26</v>
      </c>
      <c r="M1061" s="4" t="s">
        <v>26</v>
      </c>
      <c r="N1061" s="3">
        <v>45889</v>
      </c>
      <c r="O1061" s="4" t="s">
        <v>432</v>
      </c>
      <c r="P1061" s="2">
        <v>3000</v>
      </c>
      <c r="Q1061" s="2">
        <v>5112</v>
      </c>
      <c r="R1061" s="4" t="s">
        <v>755</v>
      </c>
      <c r="S1061" s="5">
        <v>145558700</v>
      </c>
    </row>
    <row r="1062" spans="1:19" x14ac:dyDescent="0.25">
      <c r="A1062" s="4" t="s">
        <v>61</v>
      </c>
      <c r="B1062" s="4" t="s">
        <v>59</v>
      </c>
      <c r="C1062" s="4" t="s">
        <v>62</v>
      </c>
      <c r="D1062" s="4" t="s">
        <v>63</v>
      </c>
      <c r="E1062" s="4" t="s">
        <v>142</v>
      </c>
      <c r="F1062" s="4" t="s">
        <v>143</v>
      </c>
      <c r="G1062" s="4" t="s">
        <v>144</v>
      </c>
      <c r="H1062" s="4" t="s">
        <v>26</v>
      </c>
      <c r="I1062" s="5">
        <v>90000000</v>
      </c>
      <c r="J1062" s="5">
        <v>-1570410</v>
      </c>
      <c r="K1062" s="5">
        <v>-157041</v>
      </c>
      <c r="L1062" s="4" t="s">
        <v>72</v>
      </c>
      <c r="M1062" s="4" t="s">
        <v>73</v>
      </c>
      <c r="N1062" s="3">
        <v>45899</v>
      </c>
      <c r="O1062" s="4" t="s">
        <v>642</v>
      </c>
      <c r="P1062" s="2">
        <v>1000</v>
      </c>
      <c r="Q1062" s="2">
        <v>5122</v>
      </c>
      <c r="R1062" s="4" t="s">
        <v>774</v>
      </c>
      <c r="S1062" s="5">
        <v>83720070</v>
      </c>
    </row>
    <row r="1063" spans="1:19" x14ac:dyDescent="0.25">
      <c r="A1063" s="4" t="s">
        <v>61</v>
      </c>
      <c r="B1063" s="4" t="s">
        <v>59</v>
      </c>
      <c r="C1063" s="4" t="s">
        <v>62</v>
      </c>
      <c r="D1063" s="4" t="s">
        <v>63</v>
      </c>
      <c r="E1063" s="4" t="s">
        <v>142</v>
      </c>
      <c r="F1063" s="4" t="s">
        <v>143</v>
      </c>
      <c r="G1063" s="4" t="s">
        <v>144</v>
      </c>
      <c r="H1063" s="4" t="s">
        <v>26</v>
      </c>
      <c r="I1063" s="5">
        <v>90000000</v>
      </c>
      <c r="J1063" s="5">
        <v>1963140</v>
      </c>
      <c r="K1063" s="5">
        <v>196314</v>
      </c>
      <c r="L1063" s="4" t="s">
        <v>377</v>
      </c>
      <c r="M1063" s="4" t="s">
        <v>378</v>
      </c>
      <c r="N1063" s="3">
        <v>45899</v>
      </c>
      <c r="O1063" s="4" t="s">
        <v>642</v>
      </c>
      <c r="P1063" s="2">
        <v>1000</v>
      </c>
      <c r="Q1063" s="2">
        <v>5123</v>
      </c>
      <c r="R1063" s="4" t="s">
        <v>774</v>
      </c>
      <c r="S1063" s="5">
        <v>83720070</v>
      </c>
    </row>
    <row r="1064" spans="1:19" x14ac:dyDescent="0.25">
      <c r="A1064" s="4" t="s">
        <v>61</v>
      </c>
      <c r="B1064" s="4" t="s">
        <v>59</v>
      </c>
      <c r="C1064" s="4" t="s">
        <v>62</v>
      </c>
      <c r="D1064" s="4" t="s">
        <v>63</v>
      </c>
      <c r="E1064" s="4" t="s">
        <v>69</v>
      </c>
      <c r="F1064" s="4" t="s">
        <v>70</v>
      </c>
      <c r="G1064" s="4" t="s">
        <v>71</v>
      </c>
      <c r="H1064" s="4" t="s">
        <v>26</v>
      </c>
      <c r="I1064" s="5">
        <v>155000000</v>
      </c>
      <c r="J1064" s="5">
        <v>36500</v>
      </c>
      <c r="K1064" s="5">
        <v>3650</v>
      </c>
      <c r="L1064" s="4" t="s">
        <v>72</v>
      </c>
      <c r="M1064" s="4" t="s">
        <v>73</v>
      </c>
      <c r="N1064" s="3">
        <v>45883</v>
      </c>
      <c r="O1064" s="4" t="s">
        <v>51</v>
      </c>
      <c r="P1064" s="2">
        <v>1000</v>
      </c>
      <c r="Q1064" s="2">
        <v>5148</v>
      </c>
      <c r="R1064" s="4" t="s">
        <v>26</v>
      </c>
      <c r="S1064" s="5">
        <v>143018000</v>
      </c>
    </row>
    <row r="1065" spans="1:19" x14ac:dyDescent="0.25">
      <c r="A1065" s="4" t="s">
        <v>61</v>
      </c>
      <c r="B1065" s="4" t="s">
        <v>59</v>
      </c>
      <c r="C1065" s="4" t="s">
        <v>62</v>
      </c>
      <c r="D1065" s="4" t="s">
        <v>63</v>
      </c>
      <c r="E1065" s="4" t="s">
        <v>69</v>
      </c>
      <c r="F1065" s="4" t="s">
        <v>70</v>
      </c>
      <c r="G1065" s="4" t="s">
        <v>71</v>
      </c>
      <c r="H1065" s="4" t="s">
        <v>26</v>
      </c>
      <c r="I1065" s="5">
        <v>155000000</v>
      </c>
      <c r="J1065" s="5">
        <v>23100</v>
      </c>
      <c r="K1065" s="5">
        <v>2310</v>
      </c>
      <c r="L1065" s="4" t="s">
        <v>72</v>
      </c>
      <c r="M1065" s="4" t="s">
        <v>73</v>
      </c>
      <c r="N1065" s="3">
        <v>45883</v>
      </c>
      <c r="O1065" s="4" t="s">
        <v>51</v>
      </c>
      <c r="P1065" s="2">
        <v>2000</v>
      </c>
      <c r="Q1065" s="2">
        <v>5148</v>
      </c>
      <c r="R1065" s="4" t="s">
        <v>26</v>
      </c>
      <c r="S1065" s="5">
        <v>143018000</v>
      </c>
    </row>
    <row r="1066" spans="1:19" x14ac:dyDescent="0.25">
      <c r="A1066" s="4" t="s">
        <v>61</v>
      </c>
      <c r="B1066" s="4" t="s">
        <v>59</v>
      </c>
      <c r="C1066" s="4" t="s">
        <v>62</v>
      </c>
      <c r="D1066" s="4" t="s">
        <v>63</v>
      </c>
      <c r="E1066" s="4" t="s">
        <v>148</v>
      </c>
      <c r="F1066" s="4" t="s">
        <v>149</v>
      </c>
      <c r="G1066" s="4" t="s">
        <v>50</v>
      </c>
      <c r="H1066" s="4" t="s">
        <v>26</v>
      </c>
      <c r="I1066" s="5">
        <v>65000000</v>
      </c>
      <c r="J1066" s="5">
        <v>34000</v>
      </c>
      <c r="K1066" s="5">
        <v>3400</v>
      </c>
      <c r="L1066" s="4" t="s">
        <v>26</v>
      </c>
      <c r="M1066" s="4" t="s">
        <v>26</v>
      </c>
      <c r="N1066" s="3">
        <v>45890</v>
      </c>
      <c r="O1066" s="4" t="s">
        <v>532</v>
      </c>
      <c r="P1066" s="2">
        <v>1000</v>
      </c>
      <c r="Q1066" s="2">
        <v>5159</v>
      </c>
      <c r="R1066" s="4" t="s">
        <v>84</v>
      </c>
      <c r="S1066" s="5">
        <v>58699710</v>
      </c>
    </row>
    <row r="1067" spans="1:19" x14ac:dyDescent="0.25">
      <c r="A1067" s="4" t="s">
        <v>61</v>
      </c>
      <c r="B1067" s="4" t="s">
        <v>59</v>
      </c>
      <c r="C1067" s="4" t="s">
        <v>62</v>
      </c>
      <c r="D1067" s="4" t="s">
        <v>63</v>
      </c>
      <c r="E1067" s="4" t="s">
        <v>490</v>
      </c>
      <c r="F1067" s="4" t="s">
        <v>491</v>
      </c>
      <c r="G1067" s="4" t="s">
        <v>190</v>
      </c>
      <c r="H1067" s="4" t="s">
        <v>26</v>
      </c>
      <c r="I1067" s="5">
        <v>90000000</v>
      </c>
      <c r="J1067" s="5">
        <v>64500</v>
      </c>
      <c r="K1067" s="5">
        <v>6450</v>
      </c>
      <c r="L1067" s="4" t="s">
        <v>570</v>
      </c>
      <c r="M1067" s="4" t="s">
        <v>571</v>
      </c>
      <c r="N1067" s="3">
        <v>45885</v>
      </c>
      <c r="O1067" s="4" t="s">
        <v>565</v>
      </c>
      <c r="P1067" s="2">
        <v>1000</v>
      </c>
      <c r="Q1067" s="2">
        <v>5199</v>
      </c>
      <c r="R1067" s="4" t="s">
        <v>749</v>
      </c>
      <c r="S1067" s="5">
        <v>89536500</v>
      </c>
    </row>
    <row r="1068" spans="1:19" x14ac:dyDescent="0.25">
      <c r="A1068" s="4" t="s">
        <v>61</v>
      </c>
      <c r="B1068" s="4" t="s">
        <v>59</v>
      </c>
      <c r="C1068" s="4" t="s">
        <v>62</v>
      </c>
      <c r="D1068" s="4" t="s">
        <v>63</v>
      </c>
      <c r="E1068" s="4" t="s">
        <v>490</v>
      </c>
      <c r="F1068" s="4" t="s">
        <v>491</v>
      </c>
      <c r="G1068" s="4" t="s">
        <v>190</v>
      </c>
      <c r="H1068" s="4" t="s">
        <v>26</v>
      </c>
      <c r="I1068" s="5">
        <v>90000000</v>
      </c>
      <c r="J1068" s="5">
        <v>30000</v>
      </c>
      <c r="K1068" s="5">
        <v>3000</v>
      </c>
      <c r="L1068" s="4" t="s">
        <v>570</v>
      </c>
      <c r="M1068" s="4" t="s">
        <v>571</v>
      </c>
      <c r="N1068" s="3">
        <v>45885</v>
      </c>
      <c r="O1068" s="4" t="s">
        <v>565</v>
      </c>
      <c r="P1068" s="2">
        <v>2000</v>
      </c>
      <c r="Q1068" s="2">
        <v>5199</v>
      </c>
      <c r="R1068" s="4" t="s">
        <v>749</v>
      </c>
      <c r="S1068" s="5">
        <v>89536500</v>
      </c>
    </row>
    <row r="1069" spans="1:19" x14ac:dyDescent="0.25">
      <c r="A1069" s="4" t="s">
        <v>61</v>
      </c>
      <c r="B1069" s="4" t="s">
        <v>59</v>
      </c>
      <c r="C1069" s="4" t="s">
        <v>62</v>
      </c>
      <c r="D1069" s="4" t="s">
        <v>63</v>
      </c>
      <c r="E1069" s="4" t="s">
        <v>293</v>
      </c>
      <c r="F1069" s="4" t="s">
        <v>294</v>
      </c>
      <c r="G1069" s="4" t="s">
        <v>100</v>
      </c>
      <c r="H1069" s="4" t="s">
        <v>26</v>
      </c>
      <c r="I1069" s="5">
        <v>65000000</v>
      </c>
      <c r="J1069" s="5">
        <v>88000</v>
      </c>
      <c r="K1069" s="5">
        <v>8800</v>
      </c>
      <c r="L1069" s="4" t="s">
        <v>295</v>
      </c>
      <c r="M1069" s="4" t="s">
        <v>296</v>
      </c>
      <c r="N1069" s="3">
        <v>45892</v>
      </c>
      <c r="O1069" s="4" t="s">
        <v>283</v>
      </c>
      <c r="P1069" s="2">
        <v>1000</v>
      </c>
      <c r="Q1069" s="2">
        <v>5203</v>
      </c>
      <c r="R1069" s="4" t="s">
        <v>755</v>
      </c>
      <c r="S1069" s="5">
        <v>63872000</v>
      </c>
    </row>
    <row r="1070" spans="1:19" x14ac:dyDescent="0.25">
      <c r="A1070" s="4" t="s">
        <v>61</v>
      </c>
      <c r="B1070" s="4" t="s">
        <v>59</v>
      </c>
      <c r="C1070" s="4" t="s">
        <v>62</v>
      </c>
      <c r="D1070" s="4" t="s">
        <v>63</v>
      </c>
      <c r="E1070" s="4" t="s">
        <v>210</v>
      </c>
      <c r="F1070" s="4" t="s">
        <v>211</v>
      </c>
      <c r="G1070" s="4" t="s">
        <v>50</v>
      </c>
      <c r="H1070" s="4" t="s">
        <v>26</v>
      </c>
      <c r="I1070" s="5">
        <v>65000000</v>
      </c>
      <c r="J1070" s="5">
        <v>107800</v>
      </c>
      <c r="K1070" s="5">
        <v>10780</v>
      </c>
      <c r="L1070" s="4" t="s">
        <v>186</v>
      </c>
      <c r="M1070" s="4" t="s">
        <v>187</v>
      </c>
      <c r="N1070" s="3">
        <v>45892</v>
      </c>
      <c r="O1070" s="4" t="s">
        <v>283</v>
      </c>
      <c r="P1070" s="2">
        <v>1000</v>
      </c>
      <c r="Q1070" s="2">
        <v>5206</v>
      </c>
      <c r="R1070" s="4" t="s">
        <v>755</v>
      </c>
      <c r="S1070" s="5">
        <v>63482950</v>
      </c>
    </row>
    <row r="1071" spans="1:19" x14ac:dyDescent="0.25">
      <c r="A1071" s="4" t="s">
        <v>61</v>
      </c>
      <c r="B1071" s="4" t="s">
        <v>59</v>
      </c>
      <c r="C1071" s="4" t="s">
        <v>62</v>
      </c>
      <c r="D1071" s="4" t="s">
        <v>63</v>
      </c>
      <c r="E1071" s="4" t="s">
        <v>210</v>
      </c>
      <c r="F1071" s="4" t="s">
        <v>211</v>
      </c>
      <c r="G1071" s="4" t="s">
        <v>50</v>
      </c>
      <c r="H1071" s="4" t="s">
        <v>26</v>
      </c>
      <c r="I1071" s="5">
        <v>65000000</v>
      </c>
      <c r="J1071" s="5">
        <v>38500</v>
      </c>
      <c r="K1071" s="5">
        <v>3850</v>
      </c>
      <c r="L1071" s="4" t="s">
        <v>186</v>
      </c>
      <c r="M1071" s="4" t="s">
        <v>187</v>
      </c>
      <c r="N1071" s="3">
        <v>45892</v>
      </c>
      <c r="O1071" s="4" t="s">
        <v>283</v>
      </c>
      <c r="P1071" s="2">
        <v>2000</v>
      </c>
      <c r="Q1071" s="2">
        <v>5206</v>
      </c>
      <c r="R1071" s="4" t="s">
        <v>755</v>
      </c>
      <c r="S1071" s="5">
        <v>63482950</v>
      </c>
    </row>
    <row r="1072" spans="1:19" x14ac:dyDescent="0.25">
      <c r="A1072" s="4" t="s">
        <v>61</v>
      </c>
      <c r="B1072" s="4" t="s">
        <v>59</v>
      </c>
      <c r="C1072" s="4" t="s">
        <v>62</v>
      </c>
      <c r="D1072" s="4" t="s">
        <v>63</v>
      </c>
      <c r="E1072" s="4" t="s">
        <v>210</v>
      </c>
      <c r="F1072" s="4" t="s">
        <v>211</v>
      </c>
      <c r="G1072" s="4" t="s">
        <v>50</v>
      </c>
      <c r="H1072" s="4" t="s">
        <v>26</v>
      </c>
      <c r="I1072" s="5">
        <v>65000000</v>
      </c>
      <c r="J1072" s="5">
        <v>7700</v>
      </c>
      <c r="K1072" s="5">
        <v>770</v>
      </c>
      <c r="L1072" s="4" t="s">
        <v>186</v>
      </c>
      <c r="M1072" s="4" t="s">
        <v>187</v>
      </c>
      <c r="N1072" s="3">
        <v>45892</v>
      </c>
      <c r="O1072" s="4" t="s">
        <v>283</v>
      </c>
      <c r="P1072" s="2">
        <v>3000</v>
      </c>
      <c r="Q1072" s="2">
        <v>5206</v>
      </c>
      <c r="R1072" s="4" t="s">
        <v>755</v>
      </c>
      <c r="S1072" s="5">
        <v>63482950</v>
      </c>
    </row>
    <row r="1073" spans="1:19" x14ac:dyDescent="0.25">
      <c r="A1073" s="4" t="s">
        <v>61</v>
      </c>
      <c r="B1073" s="4" t="s">
        <v>59</v>
      </c>
      <c r="C1073" s="4" t="s">
        <v>62</v>
      </c>
      <c r="D1073" s="4" t="s">
        <v>63</v>
      </c>
      <c r="E1073" s="4" t="s">
        <v>142</v>
      </c>
      <c r="F1073" s="4" t="s">
        <v>143</v>
      </c>
      <c r="G1073" s="4" t="s">
        <v>144</v>
      </c>
      <c r="H1073" s="4" t="s">
        <v>26</v>
      </c>
      <c r="I1073" s="5">
        <v>90000000</v>
      </c>
      <c r="J1073" s="5">
        <v>69300</v>
      </c>
      <c r="K1073" s="5">
        <v>6930</v>
      </c>
      <c r="L1073" s="4" t="s">
        <v>218</v>
      </c>
      <c r="M1073" s="4" t="s">
        <v>219</v>
      </c>
      <c r="N1073" s="3">
        <v>45882</v>
      </c>
      <c r="O1073" s="4" t="s">
        <v>459</v>
      </c>
      <c r="P1073" s="2">
        <v>1000</v>
      </c>
      <c r="Q1073" s="2">
        <v>5218</v>
      </c>
      <c r="R1073" s="4" t="s">
        <v>755</v>
      </c>
      <c r="S1073" s="5">
        <v>83720070</v>
      </c>
    </row>
    <row r="1074" spans="1:19" x14ac:dyDescent="0.25">
      <c r="A1074" s="4" t="s">
        <v>61</v>
      </c>
      <c r="B1074" s="4" t="s">
        <v>59</v>
      </c>
      <c r="C1074" s="4" t="s">
        <v>62</v>
      </c>
      <c r="D1074" s="4" t="s">
        <v>63</v>
      </c>
      <c r="E1074" s="4" t="s">
        <v>142</v>
      </c>
      <c r="F1074" s="4" t="s">
        <v>143</v>
      </c>
      <c r="G1074" s="4" t="s">
        <v>144</v>
      </c>
      <c r="H1074" s="4" t="s">
        <v>26</v>
      </c>
      <c r="I1074" s="5">
        <v>90000000</v>
      </c>
      <c r="J1074" s="5">
        <v>46200</v>
      </c>
      <c r="K1074" s="5">
        <v>4620</v>
      </c>
      <c r="L1074" s="4" t="s">
        <v>218</v>
      </c>
      <c r="M1074" s="4" t="s">
        <v>219</v>
      </c>
      <c r="N1074" s="3">
        <v>45882</v>
      </c>
      <c r="O1074" s="4" t="s">
        <v>459</v>
      </c>
      <c r="P1074" s="2">
        <v>2000</v>
      </c>
      <c r="Q1074" s="2">
        <v>5218</v>
      </c>
      <c r="R1074" s="4" t="s">
        <v>755</v>
      </c>
      <c r="S1074" s="5">
        <v>83720070</v>
      </c>
    </row>
    <row r="1075" spans="1:19" x14ac:dyDescent="0.25">
      <c r="A1075" s="4" t="s">
        <v>61</v>
      </c>
      <c r="B1075" s="4" t="s">
        <v>59</v>
      </c>
      <c r="C1075" s="4" t="s">
        <v>62</v>
      </c>
      <c r="D1075" s="4" t="s">
        <v>63</v>
      </c>
      <c r="E1075" s="4" t="s">
        <v>382</v>
      </c>
      <c r="F1075" s="4" t="s">
        <v>383</v>
      </c>
      <c r="G1075" s="4" t="s">
        <v>115</v>
      </c>
      <c r="H1075" s="4" t="s">
        <v>26</v>
      </c>
      <c r="I1075" s="5">
        <v>65000000</v>
      </c>
      <c r="J1075" s="5">
        <v>52800</v>
      </c>
      <c r="K1075" s="5">
        <v>5280</v>
      </c>
      <c r="L1075" s="4" t="s">
        <v>384</v>
      </c>
      <c r="M1075" s="4" t="s">
        <v>385</v>
      </c>
      <c r="N1075" s="3">
        <v>45892</v>
      </c>
      <c r="O1075" s="4" t="s">
        <v>283</v>
      </c>
      <c r="P1075" s="2">
        <v>1000</v>
      </c>
      <c r="Q1075" s="2">
        <v>5223</v>
      </c>
      <c r="R1075" s="4" t="s">
        <v>755</v>
      </c>
      <c r="S1075" s="5">
        <v>50115750</v>
      </c>
    </row>
    <row r="1076" spans="1:19" x14ac:dyDescent="0.25">
      <c r="A1076" s="4" t="s">
        <v>61</v>
      </c>
      <c r="B1076" s="4" t="s">
        <v>59</v>
      </c>
      <c r="C1076" s="4" t="s">
        <v>62</v>
      </c>
      <c r="D1076" s="4" t="s">
        <v>63</v>
      </c>
      <c r="E1076" s="4" t="s">
        <v>103</v>
      </c>
      <c r="F1076" s="4" t="s">
        <v>104</v>
      </c>
      <c r="G1076" s="4" t="s">
        <v>105</v>
      </c>
      <c r="H1076" s="4" t="s">
        <v>26</v>
      </c>
      <c r="I1076" s="5">
        <v>155000000</v>
      </c>
      <c r="J1076" s="5">
        <v>166500</v>
      </c>
      <c r="K1076" s="5">
        <v>16650</v>
      </c>
      <c r="L1076" s="4" t="s">
        <v>26</v>
      </c>
      <c r="M1076" s="4" t="s">
        <v>26</v>
      </c>
      <c r="N1076" s="3">
        <v>45890</v>
      </c>
      <c r="O1076" s="4" t="s">
        <v>432</v>
      </c>
      <c r="P1076" s="2">
        <v>1000</v>
      </c>
      <c r="Q1076" s="2">
        <v>5227</v>
      </c>
      <c r="R1076" s="4" t="s">
        <v>755</v>
      </c>
      <c r="S1076" s="5">
        <v>150234500</v>
      </c>
    </row>
    <row r="1077" spans="1:19" x14ac:dyDescent="0.25">
      <c r="A1077" s="4" t="s">
        <v>61</v>
      </c>
      <c r="B1077" s="4" t="s">
        <v>59</v>
      </c>
      <c r="C1077" s="4" t="s">
        <v>62</v>
      </c>
      <c r="D1077" s="4" t="s">
        <v>63</v>
      </c>
      <c r="E1077" s="4" t="s">
        <v>103</v>
      </c>
      <c r="F1077" s="4" t="s">
        <v>104</v>
      </c>
      <c r="G1077" s="4" t="s">
        <v>105</v>
      </c>
      <c r="H1077" s="4" t="s">
        <v>26</v>
      </c>
      <c r="I1077" s="5">
        <v>155000000</v>
      </c>
      <c r="J1077" s="5">
        <v>152100</v>
      </c>
      <c r="K1077" s="5">
        <v>15210</v>
      </c>
      <c r="L1077" s="4" t="s">
        <v>26</v>
      </c>
      <c r="M1077" s="4" t="s">
        <v>26</v>
      </c>
      <c r="N1077" s="3">
        <v>45890</v>
      </c>
      <c r="O1077" s="4" t="s">
        <v>432</v>
      </c>
      <c r="P1077" s="2">
        <v>2000</v>
      </c>
      <c r="Q1077" s="2">
        <v>5227</v>
      </c>
      <c r="R1077" s="4" t="s">
        <v>755</v>
      </c>
      <c r="S1077" s="5">
        <v>150234500</v>
      </c>
    </row>
    <row r="1078" spans="1:19" x14ac:dyDescent="0.25">
      <c r="A1078" s="4" t="s">
        <v>61</v>
      </c>
      <c r="B1078" s="4" t="s">
        <v>59</v>
      </c>
      <c r="C1078" s="4" t="s">
        <v>62</v>
      </c>
      <c r="D1078" s="4" t="s">
        <v>63</v>
      </c>
      <c r="E1078" s="4" t="s">
        <v>103</v>
      </c>
      <c r="F1078" s="4" t="s">
        <v>104</v>
      </c>
      <c r="G1078" s="4" t="s">
        <v>105</v>
      </c>
      <c r="H1078" s="4" t="s">
        <v>26</v>
      </c>
      <c r="I1078" s="5">
        <v>155000000</v>
      </c>
      <c r="J1078" s="5">
        <v>22500</v>
      </c>
      <c r="K1078" s="5">
        <v>2250</v>
      </c>
      <c r="L1078" s="4" t="s">
        <v>26</v>
      </c>
      <c r="M1078" s="4" t="s">
        <v>26</v>
      </c>
      <c r="N1078" s="3">
        <v>45890</v>
      </c>
      <c r="O1078" s="4" t="s">
        <v>432</v>
      </c>
      <c r="P1078" s="2">
        <v>3000</v>
      </c>
      <c r="Q1078" s="2">
        <v>5227</v>
      </c>
      <c r="R1078" s="4" t="s">
        <v>755</v>
      </c>
      <c r="S1078" s="5">
        <v>150234500</v>
      </c>
    </row>
    <row r="1079" spans="1:19" x14ac:dyDescent="0.25">
      <c r="A1079" s="4" t="s">
        <v>61</v>
      </c>
      <c r="B1079" s="4" t="s">
        <v>59</v>
      </c>
      <c r="C1079" s="4" t="s">
        <v>62</v>
      </c>
      <c r="D1079" s="4" t="s">
        <v>63</v>
      </c>
      <c r="E1079" s="4" t="s">
        <v>92</v>
      </c>
      <c r="F1079" s="4" t="s">
        <v>93</v>
      </c>
      <c r="G1079" s="4" t="s">
        <v>94</v>
      </c>
      <c r="H1079" s="4" t="s">
        <v>26</v>
      </c>
      <c r="I1079" s="5">
        <v>155000000</v>
      </c>
      <c r="J1079" s="5">
        <v>87200</v>
      </c>
      <c r="K1079" s="5">
        <v>8720</v>
      </c>
      <c r="L1079" s="4" t="s">
        <v>26</v>
      </c>
      <c r="M1079" s="4" t="s">
        <v>26</v>
      </c>
      <c r="N1079" s="3">
        <v>45883</v>
      </c>
      <c r="O1079" s="4" t="s">
        <v>51</v>
      </c>
      <c r="P1079" s="2">
        <v>1000</v>
      </c>
      <c r="Q1079" s="2">
        <v>5240</v>
      </c>
      <c r="R1079" s="4" t="s">
        <v>749</v>
      </c>
      <c r="S1079" s="5">
        <v>145558700</v>
      </c>
    </row>
    <row r="1080" spans="1:19" x14ac:dyDescent="0.25">
      <c r="A1080" s="4" t="s">
        <v>61</v>
      </c>
      <c r="B1080" s="4" t="s">
        <v>59</v>
      </c>
      <c r="C1080" s="4" t="s">
        <v>62</v>
      </c>
      <c r="D1080" s="4" t="s">
        <v>63</v>
      </c>
      <c r="E1080" s="4" t="s">
        <v>188</v>
      </c>
      <c r="F1080" s="4" t="s">
        <v>189</v>
      </c>
      <c r="G1080" s="4" t="s">
        <v>190</v>
      </c>
      <c r="H1080" s="4" t="s">
        <v>26</v>
      </c>
      <c r="I1080" s="5">
        <v>90000000</v>
      </c>
      <c r="J1080" s="5">
        <v>49500</v>
      </c>
      <c r="K1080" s="5">
        <v>4950</v>
      </c>
      <c r="L1080" s="4" t="s">
        <v>420</v>
      </c>
      <c r="M1080" s="4" t="s">
        <v>421</v>
      </c>
      <c r="N1080" s="3">
        <v>45883</v>
      </c>
      <c r="O1080" s="4" t="s">
        <v>459</v>
      </c>
      <c r="P1080" s="2">
        <v>1000</v>
      </c>
      <c r="Q1080" s="2">
        <v>5240</v>
      </c>
      <c r="R1080" s="4" t="s">
        <v>747</v>
      </c>
      <c r="S1080" s="5">
        <v>87040690</v>
      </c>
    </row>
    <row r="1081" spans="1:19" x14ac:dyDescent="0.25">
      <c r="A1081" s="4" t="s">
        <v>61</v>
      </c>
      <c r="B1081" s="4" t="s">
        <v>59</v>
      </c>
      <c r="C1081" s="4" t="s">
        <v>62</v>
      </c>
      <c r="D1081" s="4" t="s">
        <v>63</v>
      </c>
      <c r="E1081" s="4" t="s">
        <v>193</v>
      </c>
      <c r="F1081" s="4" t="s">
        <v>194</v>
      </c>
      <c r="G1081" s="4" t="s">
        <v>105</v>
      </c>
      <c r="H1081" s="4" t="s">
        <v>26</v>
      </c>
      <c r="I1081" s="5">
        <v>155000000</v>
      </c>
      <c r="J1081" s="5">
        <v>40500</v>
      </c>
      <c r="K1081" s="5">
        <v>4050</v>
      </c>
      <c r="L1081" s="4" t="s">
        <v>195</v>
      </c>
      <c r="M1081" s="4" t="s">
        <v>196</v>
      </c>
      <c r="N1081" s="3">
        <v>45883</v>
      </c>
      <c r="O1081" s="4" t="s">
        <v>459</v>
      </c>
      <c r="P1081" s="2">
        <v>1000</v>
      </c>
      <c r="Q1081" s="2">
        <v>5242</v>
      </c>
      <c r="R1081" s="4" t="s">
        <v>26</v>
      </c>
      <c r="S1081" s="5">
        <v>149540330</v>
      </c>
    </row>
    <row r="1082" spans="1:19" x14ac:dyDescent="0.25">
      <c r="A1082" s="4" t="s">
        <v>61</v>
      </c>
      <c r="B1082" s="4" t="s">
        <v>59</v>
      </c>
      <c r="C1082" s="4" t="s">
        <v>62</v>
      </c>
      <c r="D1082" s="4" t="s">
        <v>63</v>
      </c>
      <c r="E1082" s="4" t="s">
        <v>193</v>
      </c>
      <c r="F1082" s="4" t="s">
        <v>194</v>
      </c>
      <c r="G1082" s="4" t="s">
        <v>105</v>
      </c>
      <c r="H1082" s="4" t="s">
        <v>26</v>
      </c>
      <c r="I1082" s="5">
        <v>155000000</v>
      </c>
      <c r="J1082" s="5">
        <v>54000</v>
      </c>
      <c r="K1082" s="5">
        <v>5400</v>
      </c>
      <c r="L1082" s="4" t="s">
        <v>195</v>
      </c>
      <c r="M1082" s="4" t="s">
        <v>196</v>
      </c>
      <c r="N1082" s="3">
        <v>45883</v>
      </c>
      <c r="O1082" s="4" t="s">
        <v>459</v>
      </c>
      <c r="P1082" s="2">
        <v>2000</v>
      </c>
      <c r="Q1082" s="2">
        <v>5242</v>
      </c>
      <c r="R1082" s="4" t="s">
        <v>26</v>
      </c>
      <c r="S1082" s="5">
        <v>149540330</v>
      </c>
    </row>
    <row r="1083" spans="1:19" x14ac:dyDescent="0.25">
      <c r="A1083" s="4" t="s">
        <v>61</v>
      </c>
      <c r="B1083" s="4" t="s">
        <v>59</v>
      </c>
      <c r="C1083" s="4" t="s">
        <v>62</v>
      </c>
      <c r="D1083" s="4" t="s">
        <v>63</v>
      </c>
      <c r="E1083" s="4" t="s">
        <v>508</v>
      </c>
      <c r="F1083" s="4" t="s">
        <v>509</v>
      </c>
      <c r="G1083" s="4" t="s">
        <v>381</v>
      </c>
      <c r="H1083" s="4" t="s">
        <v>26</v>
      </c>
      <c r="I1083" s="5">
        <v>90000000</v>
      </c>
      <c r="J1083" s="5">
        <v>58500</v>
      </c>
      <c r="K1083" s="5">
        <v>5850</v>
      </c>
      <c r="L1083" s="4" t="s">
        <v>26</v>
      </c>
      <c r="M1083" s="4" t="s">
        <v>26</v>
      </c>
      <c r="N1083" s="3">
        <v>45883</v>
      </c>
      <c r="O1083" s="4" t="s">
        <v>459</v>
      </c>
      <c r="P1083" s="2">
        <v>1000</v>
      </c>
      <c r="Q1083" s="2">
        <v>5251</v>
      </c>
      <c r="R1083" s="4" t="s">
        <v>747</v>
      </c>
      <c r="S1083" s="5">
        <v>89941500</v>
      </c>
    </row>
    <row r="1084" spans="1:19" x14ac:dyDescent="0.25">
      <c r="A1084" s="4" t="s">
        <v>61</v>
      </c>
      <c r="B1084" s="4" t="s">
        <v>59</v>
      </c>
      <c r="C1084" s="4" t="s">
        <v>62</v>
      </c>
      <c r="D1084" s="4" t="s">
        <v>63</v>
      </c>
      <c r="E1084" s="4" t="s">
        <v>210</v>
      </c>
      <c r="F1084" s="4" t="s">
        <v>211</v>
      </c>
      <c r="G1084" s="4" t="s">
        <v>50</v>
      </c>
      <c r="H1084" s="4" t="s">
        <v>26</v>
      </c>
      <c r="I1084" s="5">
        <v>65000000</v>
      </c>
      <c r="J1084" s="5">
        <v>42000</v>
      </c>
      <c r="K1084" s="5">
        <v>4200</v>
      </c>
      <c r="L1084" s="4" t="s">
        <v>26</v>
      </c>
      <c r="M1084" s="4" t="s">
        <v>26</v>
      </c>
      <c r="N1084" s="3">
        <v>45892</v>
      </c>
      <c r="O1084" s="4" t="s">
        <v>283</v>
      </c>
      <c r="P1084" s="2">
        <v>1000</v>
      </c>
      <c r="Q1084" s="2">
        <v>5254</v>
      </c>
      <c r="R1084" s="4" t="s">
        <v>84</v>
      </c>
      <c r="S1084" s="5">
        <v>63482950</v>
      </c>
    </row>
    <row r="1085" spans="1:19" x14ac:dyDescent="0.25">
      <c r="A1085" s="4" t="s">
        <v>61</v>
      </c>
      <c r="B1085" s="4" t="s">
        <v>59</v>
      </c>
      <c r="C1085" s="4" t="s">
        <v>62</v>
      </c>
      <c r="D1085" s="4" t="s">
        <v>63</v>
      </c>
      <c r="E1085" s="4" t="s">
        <v>69</v>
      </c>
      <c r="F1085" s="4" t="s">
        <v>70</v>
      </c>
      <c r="G1085" s="4" t="s">
        <v>71</v>
      </c>
      <c r="H1085" s="4" t="s">
        <v>26</v>
      </c>
      <c r="I1085" s="5">
        <v>155000000</v>
      </c>
      <c r="J1085" s="5">
        <v>235630</v>
      </c>
      <c r="K1085" s="5">
        <v>23563</v>
      </c>
      <c r="L1085" s="4" t="s">
        <v>72</v>
      </c>
      <c r="M1085" s="4" t="s">
        <v>73</v>
      </c>
      <c r="N1085" s="3">
        <v>45885</v>
      </c>
      <c r="O1085" s="4" t="s">
        <v>716</v>
      </c>
      <c r="P1085" s="2">
        <v>1000</v>
      </c>
      <c r="Q1085" s="2">
        <v>5270</v>
      </c>
      <c r="R1085" s="4" t="s">
        <v>758</v>
      </c>
      <c r="S1085" s="5">
        <v>143018000</v>
      </c>
    </row>
    <row r="1086" spans="1:19" x14ac:dyDescent="0.25">
      <c r="A1086" s="4" t="s">
        <v>61</v>
      </c>
      <c r="B1086" s="4" t="s">
        <v>59</v>
      </c>
      <c r="C1086" s="4" t="s">
        <v>62</v>
      </c>
      <c r="D1086" s="4" t="s">
        <v>63</v>
      </c>
      <c r="E1086" s="4" t="s">
        <v>69</v>
      </c>
      <c r="F1086" s="4" t="s">
        <v>70</v>
      </c>
      <c r="G1086" s="4" t="s">
        <v>71</v>
      </c>
      <c r="H1086" s="4" t="s">
        <v>26</v>
      </c>
      <c r="I1086" s="5">
        <v>155000000</v>
      </c>
      <c r="J1086" s="5">
        <v>75600</v>
      </c>
      <c r="K1086" s="5">
        <v>7560</v>
      </c>
      <c r="L1086" s="4" t="s">
        <v>72</v>
      </c>
      <c r="M1086" s="4" t="s">
        <v>73</v>
      </c>
      <c r="N1086" s="3">
        <v>45885</v>
      </c>
      <c r="O1086" s="4" t="s">
        <v>716</v>
      </c>
      <c r="P1086" s="2">
        <v>2000</v>
      </c>
      <c r="Q1086" s="2">
        <v>5270</v>
      </c>
      <c r="R1086" s="4" t="s">
        <v>758</v>
      </c>
      <c r="S1086" s="5">
        <v>143018000</v>
      </c>
    </row>
    <row r="1087" spans="1:19" x14ac:dyDescent="0.25">
      <c r="A1087" s="4" t="s">
        <v>61</v>
      </c>
      <c r="B1087" s="4" t="s">
        <v>59</v>
      </c>
      <c r="C1087" s="4" t="s">
        <v>62</v>
      </c>
      <c r="D1087" s="4" t="s">
        <v>63</v>
      </c>
      <c r="E1087" s="4" t="s">
        <v>441</v>
      </c>
      <c r="F1087" s="4" t="s">
        <v>442</v>
      </c>
      <c r="G1087" s="4" t="s">
        <v>100</v>
      </c>
      <c r="H1087" s="4" t="s">
        <v>26</v>
      </c>
      <c r="I1087" s="5">
        <v>65000000</v>
      </c>
      <c r="J1087" s="5">
        <v>40500</v>
      </c>
      <c r="K1087" s="5">
        <v>4050</v>
      </c>
      <c r="L1087" s="4" t="s">
        <v>26</v>
      </c>
      <c r="M1087" s="4" t="s">
        <v>26</v>
      </c>
      <c r="N1087" s="3">
        <v>45890</v>
      </c>
      <c r="O1087" s="4" t="s">
        <v>432</v>
      </c>
      <c r="P1087" s="2">
        <v>1000</v>
      </c>
      <c r="Q1087" s="2">
        <v>5278</v>
      </c>
      <c r="R1087" s="4" t="s">
        <v>747</v>
      </c>
      <c r="S1087" s="5">
        <v>64959500</v>
      </c>
    </row>
    <row r="1088" spans="1:19" x14ac:dyDescent="0.25">
      <c r="A1088" s="4" t="s">
        <v>61</v>
      </c>
      <c r="B1088" s="4" t="s">
        <v>59</v>
      </c>
      <c r="C1088" s="4" t="s">
        <v>62</v>
      </c>
      <c r="D1088" s="4" t="s">
        <v>63</v>
      </c>
      <c r="E1088" s="4" t="s">
        <v>174</v>
      </c>
      <c r="F1088" s="4" t="s">
        <v>175</v>
      </c>
      <c r="G1088" s="4" t="s">
        <v>50</v>
      </c>
      <c r="H1088" s="4" t="s">
        <v>26</v>
      </c>
      <c r="I1088" s="5">
        <v>65000000</v>
      </c>
      <c r="J1088" s="5">
        <v>34000</v>
      </c>
      <c r="K1088" s="5">
        <v>3400</v>
      </c>
      <c r="L1088" s="4" t="s">
        <v>176</v>
      </c>
      <c r="M1088" s="4" t="s">
        <v>177</v>
      </c>
      <c r="N1088" s="3">
        <v>45880</v>
      </c>
      <c r="O1088" s="4" t="s">
        <v>154</v>
      </c>
      <c r="P1088" s="2">
        <v>1000</v>
      </c>
      <c r="Q1088" s="2">
        <v>5290</v>
      </c>
      <c r="R1088" s="4" t="s">
        <v>84</v>
      </c>
      <c r="S1088" s="5">
        <v>63740700</v>
      </c>
    </row>
    <row r="1089" spans="1:19" x14ac:dyDescent="0.25">
      <c r="A1089" s="4" t="s">
        <v>61</v>
      </c>
      <c r="B1089" s="4" t="s">
        <v>59</v>
      </c>
      <c r="C1089" s="4" t="s">
        <v>62</v>
      </c>
      <c r="D1089" s="4" t="s">
        <v>63</v>
      </c>
      <c r="E1089" s="4" t="s">
        <v>122</v>
      </c>
      <c r="F1089" s="4" t="s">
        <v>123</v>
      </c>
      <c r="G1089" s="4" t="s">
        <v>124</v>
      </c>
      <c r="H1089" s="4" t="s">
        <v>26</v>
      </c>
      <c r="I1089" s="5">
        <v>65000000</v>
      </c>
      <c r="J1089" s="5">
        <v>135000</v>
      </c>
      <c r="K1089" s="5">
        <v>13500</v>
      </c>
      <c r="L1089" s="4" t="s">
        <v>26</v>
      </c>
      <c r="M1089" s="4" t="s">
        <v>26</v>
      </c>
      <c r="N1089" s="3">
        <v>45883</v>
      </c>
      <c r="O1089" s="4" t="s">
        <v>51</v>
      </c>
      <c r="P1089" s="2">
        <v>1000</v>
      </c>
      <c r="Q1089" s="2">
        <v>5309</v>
      </c>
      <c r="R1089" s="4" t="s">
        <v>749</v>
      </c>
      <c r="S1089" s="5">
        <v>54042090</v>
      </c>
    </row>
    <row r="1090" spans="1:19" x14ac:dyDescent="0.25">
      <c r="A1090" s="4" t="s">
        <v>61</v>
      </c>
      <c r="B1090" s="4" t="s">
        <v>59</v>
      </c>
      <c r="C1090" s="4" t="s">
        <v>62</v>
      </c>
      <c r="D1090" s="4" t="s">
        <v>63</v>
      </c>
      <c r="E1090" s="4" t="s">
        <v>232</v>
      </c>
      <c r="F1090" s="4" t="s">
        <v>233</v>
      </c>
      <c r="G1090" s="4" t="s">
        <v>81</v>
      </c>
      <c r="H1090" s="4" t="s">
        <v>26</v>
      </c>
      <c r="I1090" s="5">
        <v>65000000</v>
      </c>
      <c r="J1090" s="5">
        <v>79900</v>
      </c>
      <c r="K1090" s="5">
        <v>7990</v>
      </c>
      <c r="L1090" s="4" t="s">
        <v>234</v>
      </c>
      <c r="M1090" s="4" t="s">
        <v>235</v>
      </c>
      <c r="N1090" s="3">
        <v>45890</v>
      </c>
      <c r="O1090" s="4" t="s">
        <v>432</v>
      </c>
      <c r="P1090" s="2">
        <v>1000</v>
      </c>
      <c r="Q1090" s="2">
        <v>5318</v>
      </c>
      <c r="R1090" s="4" t="s">
        <v>26</v>
      </c>
      <c r="S1090" s="5">
        <v>56050260</v>
      </c>
    </row>
    <row r="1091" spans="1:19" x14ac:dyDescent="0.25">
      <c r="A1091" s="4" t="s">
        <v>61</v>
      </c>
      <c r="B1091" s="4" t="s">
        <v>59</v>
      </c>
      <c r="C1091" s="4" t="s">
        <v>62</v>
      </c>
      <c r="D1091" s="4" t="s">
        <v>63</v>
      </c>
      <c r="E1091" s="4" t="s">
        <v>232</v>
      </c>
      <c r="F1091" s="4" t="s">
        <v>233</v>
      </c>
      <c r="G1091" s="4" t="s">
        <v>81</v>
      </c>
      <c r="H1091" s="4" t="s">
        <v>26</v>
      </c>
      <c r="I1091" s="5">
        <v>65000000</v>
      </c>
      <c r="J1091" s="5">
        <v>89250</v>
      </c>
      <c r="K1091" s="5">
        <v>8925</v>
      </c>
      <c r="L1091" s="4" t="s">
        <v>234</v>
      </c>
      <c r="M1091" s="4" t="s">
        <v>235</v>
      </c>
      <c r="N1091" s="3">
        <v>45890</v>
      </c>
      <c r="O1091" s="4" t="s">
        <v>432</v>
      </c>
      <c r="P1091" s="2">
        <v>2000</v>
      </c>
      <c r="Q1091" s="2">
        <v>5318</v>
      </c>
      <c r="R1091" s="4" t="s">
        <v>26</v>
      </c>
      <c r="S1091" s="5">
        <v>56050260</v>
      </c>
    </row>
    <row r="1092" spans="1:19" x14ac:dyDescent="0.25">
      <c r="A1092" s="4" t="s">
        <v>61</v>
      </c>
      <c r="B1092" s="4" t="s">
        <v>59</v>
      </c>
      <c r="C1092" s="4" t="s">
        <v>62</v>
      </c>
      <c r="D1092" s="4" t="s">
        <v>63</v>
      </c>
      <c r="E1092" s="4" t="s">
        <v>232</v>
      </c>
      <c r="F1092" s="4" t="s">
        <v>233</v>
      </c>
      <c r="G1092" s="4" t="s">
        <v>81</v>
      </c>
      <c r="H1092" s="4" t="s">
        <v>26</v>
      </c>
      <c r="I1092" s="5">
        <v>65000000</v>
      </c>
      <c r="J1092" s="5">
        <v>47600</v>
      </c>
      <c r="K1092" s="5">
        <v>4760</v>
      </c>
      <c r="L1092" s="4" t="s">
        <v>234</v>
      </c>
      <c r="M1092" s="4" t="s">
        <v>235</v>
      </c>
      <c r="N1092" s="3">
        <v>45890</v>
      </c>
      <c r="O1092" s="4" t="s">
        <v>432</v>
      </c>
      <c r="P1092" s="2">
        <v>3000</v>
      </c>
      <c r="Q1092" s="2">
        <v>5318</v>
      </c>
      <c r="R1092" s="4" t="s">
        <v>26</v>
      </c>
      <c r="S1092" s="5">
        <v>56050260</v>
      </c>
    </row>
    <row r="1093" spans="1:19" x14ac:dyDescent="0.25">
      <c r="A1093" s="4" t="s">
        <v>61</v>
      </c>
      <c r="B1093" s="4" t="s">
        <v>59</v>
      </c>
      <c r="C1093" s="4" t="s">
        <v>62</v>
      </c>
      <c r="D1093" s="4" t="s">
        <v>63</v>
      </c>
      <c r="E1093" s="4" t="s">
        <v>293</v>
      </c>
      <c r="F1093" s="4" t="s">
        <v>294</v>
      </c>
      <c r="G1093" s="4" t="s">
        <v>100</v>
      </c>
      <c r="H1093" s="4" t="s">
        <v>26</v>
      </c>
      <c r="I1093" s="5">
        <v>65000000</v>
      </c>
      <c r="J1093" s="5">
        <v>55000</v>
      </c>
      <c r="K1093" s="5">
        <v>5500</v>
      </c>
      <c r="L1093" s="4" t="s">
        <v>295</v>
      </c>
      <c r="M1093" s="4" t="s">
        <v>296</v>
      </c>
      <c r="N1093" s="3">
        <v>45890</v>
      </c>
      <c r="O1093" s="4" t="s">
        <v>432</v>
      </c>
      <c r="P1093" s="2">
        <v>1000</v>
      </c>
      <c r="Q1093" s="2">
        <v>5319</v>
      </c>
      <c r="R1093" s="4" t="s">
        <v>26</v>
      </c>
      <c r="S1093" s="5">
        <v>63872000</v>
      </c>
    </row>
    <row r="1094" spans="1:19" x14ac:dyDescent="0.25">
      <c r="A1094" s="4" t="s">
        <v>61</v>
      </c>
      <c r="B1094" s="4" t="s">
        <v>59</v>
      </c>
      <c r="C1094" s="4" t="s">
        <v>62</v>
      </c>
      <c r="D1094" s="4" t="s">
        <v>63</v>
      </c>
      <c r="E1094" s="4" t="s">
        <v>649</v>
      </c>
      <c r="F1094" s="4" t="s">
        <v>650</v>
      </c>
      <c r="G1094" s="4" t="s">
        <v>309</v>
      </c>
      <c r="H1094" s="4" t="s">
        <v>26</v>
      </c>
      <c r="I1094" s="5">
        <v>90000000</v>
      </c>
      <c r="J1094" s="5">
        <v>6010000</v>
      </c>
      <c r="K1094" s="5">
        <v>601000</v>
      </c>
      <c r="L1094" s="4" t="s">
        <v>453</v>
      </c>
      <c r="M1094" s="4" t="s">
        <v>454</v>
      </c>
      <c r="N1094" s="3">
        <v>45899</v>
      </c>
      <c r="O1094" s="4" t="s">
        <v>663</v>
      </c>
      <c r="P1094" s="2">
        <v>1000</v>
      </c>
      <c r="Q1094" s="2">
        <v>5319</v>
      </c>
      <c r="R1094" s="4" t="s">
        <v>604</v>
      </c>
      <c r="S1094" s="5">
        <v>72710000</v>
      </c>
    </row>
    <row r="1095" spans="1:19" x14ac:dyDescent="0.25">
      <c r="A1095" s="4" t="s">
        <v>61</v>
      </c>
      <c r="B1095" s="4" t="s">
        <v>59</v>
      </c>
      <c r="C1095" s="4" t="s">
        <v>62</v>
      </c>
      <c r="D1095" s="4" t="s">
        <v>63</v>
      </c>
      <c r="E1095" s="4" t="s">
        <v>293</v>
      </c>
      <c r="F1095" s="4" t="s">
        <v>294</v>
      </c>
      <c r="G1095" s="4" t="s">
        <v>100</v>
      </c>
      <c r="H1095" s="4" t="s">
        <v>26</v>
      </c>
      <c r="I1095" s="5">
        <v>65000000</v>
      </c>
      <c r="J1095" s="5">
        <v>79900</v>
      </c>
      <c r="K1095" s="5">
        <v>7990</v>
      </c>
      <c r="L1095" s="4" t="s">
        <v>295</v>
      </c>
      <c r="M1095" s="4" t="s">
        <v>296</v>
      </c>
      <c r="N1095" s="3">
        <v>45890</v>
      </c>
      <c r="O1095" s="4" t="s">
        <v>432</v>
      </c>
      <c r="P1095" s="2">
        <v>2000</v>
      </c>
      <c r="Q1095" s="2">
        <v>5319</v>
      </c>
      <c r="R1095" s="4" t="s">
        <v>26</v>
      </c>
      <c r="S1095" s="5">
        <v>63872000</v>
      </c>
    </row>
    <row r="1096" spans="1:19" x14ac:dyDescent="0.25">
      <c r="A1096" s="4" t="s">
        <v>61</v>
      </c>
      <c r="B1096" s="4" t="s">
        <v>59</v>
      </c>
      <c r="C1096" s="4" t="s">
        <v>62</v>
      </c>
      <c r="D1096" s="4" t="s">
        <v>63</v>
      </c>
      <c r="E1096" s="4" t="s">
        <v>443</v>
      </c>
      <c r="F1096" s="4" t="s">
        <v>444</v>
      </c>
      <c r="G1096" s="4" t="s">
        <v>157</v>
      </c>
      <c r="H1096" s="4" t="s">
        <v>26</v>
      </c>
      <c r="I1096" s="5">
        <v>90000000</v>
      </c>
      <c r="J1096" s="5">
        <v>116100</v>
      </c>
      <c r="K1096" s="5">
        <v>11610</v>
      </c>
      <c r="L1096" s="4" t="s">
        <v>402</v>
      </c>
      <c r="M1096" s="4" t="s">
        <v>403</v>
      </c>
      <c r="N1096" s="3">
        <v>45890</v>
      </c>
      <c r="O1096" s="4" t="s">
        <v>432</v>
      </c>
      <c r="P1096" s="2">
        <v>1000</v>
      </c>
      <c r="Q1096" s="2">
        <v>5331</v>
      </c>
      <c r="R1096" s="4" t="s">
        <v>755</v>
      </c>
      <c r="S1096" s="5">
        <v>86215260</v>
      </c>
    </row>
    <row r="1097" spans="1:19" x14ac:dyDescent="0.25">
      <c r="A1097" s="4" t="s">
        <v>61</v>
      </c>
      <c r="B1097" s="4" t="s">
        <v>59</v>
      </c>
      <c r="C1097" s="4" t="s">
        <v>62</v>
      </c>
      <c r="D1097" s="4" t="s">
        <v>63</v>
      </c>
      <c r="E1097" s="4" t="s">
        <v>443</v>
      </c>
      <c r="F1097" s="4" t="s">
        <v>444</v>
      </c>
      <c r="G1097" s="4" t="s">
        <v>157</v>
      </c>
      <c r="H1097" s="4" t="s">
        <v>26</v>
      </c>
      <c r="I1097" s="5">
        <v>90000000</v>
      </c>
      <c r="J1097" s="5">
        <v>125100</v>
      </c>
      <c r="K1097" s="5">
        <v>12510</v>
      </c>
      <c r="L1097" s="4" t="s">
        <v>402</v>
      </c>
      <c r="M1097" s="4" t="s">
        <v>403</v>
      </c>
      <c r="N1097" s="3">
        <v>45890</v>
      </c>
      <c r="O1097" s="4" t="s">
        <v>432</v>
      </c>
      <c r="P1097" s="2">
        <v>2000</v>
      </c>
      <c r="Q1097" s="2">
        <v>5331</v>
      </c>
      <c r="R1097" s="4" t="s">
        <v>26</v>
      </c>
      <c r="S1097" s="5">
        <v>86215260</v>
      </c>
    </row>
    <row r="1098" spans="1:19" x14ac:dyDescent="0.25">
      <c r="A1098" s="4" t="s">
        <v>61</v>
      </c>
      <c r="B1098" s="4" t="s">
        <v>59</v>
      </c>
      <c r="C1098" s="4" t="s">
        <v>62</v>
      </c>
      <c r="D1098" s="4" t="s">
        <v>63</v>
      </c>
      <c r="E1098" s="4" t="s">
        <v>127</v>
      </c>
      <c r="F1098" s="4" t="s">
        <v>128</v>
      </c>
      <c r="G1098" s="4" t="s">
        <v>50</v>
      </c>
      <c r="H1098" s="4" t="s">
        <v>26</v>
      </c>
      <c r="I1098" s="5">
        <v>65000000</v>
      </c>
      <c r="J1098" s="5">
        <v>62100</v>
      </c>
      <c r="K1098" s="5">
        <v>6210</v>
      </c>
      <c r="L1098" s="4" t="s">
        <v>129</v>
      </c>
      <c r="M1098" s="4" t="s">
        <v>130</v>
      </c>
      <c r="N1098" s="3">
        <v>45891</v>
      </c>
      <c r="O1098" s="4" t="s">
        <v>532</v>
      </c>
      <c r="P1098" s="2">
        <v>1000</v>
      </c>
      <c r="Q1098" s="2">
        <v>5422</v>
      </c>
      <c r="R1098" s="4" t="s">
        <v>749</v>
      </c>
      <c r="S1098" s="5">
        <v>60417600</v>
      </c>
    </row>
    <row r="1099" spans="1:19" x14ac:dyDescent="0.25">
      <c r="A1099" s="4" t="s">
        <v>61</v>
      </c>
      <c r="B1099" s="4" t="s">
        <v>59</v>
      </c>
      <c r="C1099" s="4" t="s">
        <v>62</v>
      </c>
      <c r="D1099" s="4" t="s">
        <v>63</v>
      </c>
      <c r="E1099" s="4" t="s">
        <v>103</v>
      </c>
      <c r="F1099" s="4" t="s">
        <v>104</v>
      </c>
      <c r="G1099" s="4" t="s">
        <v>105</v>
      </c>
      <c r="H1099" s="4" t="s">
        <v>26</v>
      </c>
      <c r="I1099" s="5">
        <v>155000000</v>
      </c>
      <c r="J1099" s="5">
        <v>39200</v>
      </c>
      <c r="K1099" s="5">
        <v>3920</v>
      </c>
      <c r="L1099" s="4" t="s">
        <v>26</v>
      </c>
      <c r="M1099" s="4" t="s">
        <v>26</v>
      </c>
      <c r="N1099" s="3">
        <v>45880</v>
      </c>
      <c r="O1099" s="4" t="s">
        <v>154</v>
      </c>
      <c r="P1099" s="2">
        <v>1000</v>
      </c>
      <c r="Q1099" s="2">
        <v>5425</v>
      </c>
      <c r="R1099" s="4" t="s">
        <v>749</v>
      </c>
      <c r="S1099" s="5">
        <v>150234500</v>
      </c>
    </row>
    <row r="1100" spans="1:19" x14ac:dyDescent="0.25">
      <c r="A1100" s="4" t="s">
        <v>61</v>
      </c>
      <c r="B1100" s="4" t="s">
        <v>59</v>
      </c>
      <c r="C1100" s="4" t="s">
        <v>62</v>
      </c>
      <c r="D1100" s="4" t="s">
        <v>63</v>
      </c>
      <c r="E1100" s="4" t="s">
        <v>111</v>
      </c>
      <c r="F1100" s="4" t="s">
        <v>112</v>
      </c>
      <c r="G1100" s="4" t="s">
        <v>81</v>
      </c>
      <c r="H1100" s="4" t="s">
        <v>26</v>
      </c>
      <c r="I1100" s="5">
        <v>65000000</v>
      </c>
      <c r="J1100" s="5">
        <v>100100</v>
      </c>
      <c r="K1100" s="5">
        <v>10010</v>
      </c>
      <c r="L1100" s="4" t="s">
        <v>242</v>
      </c>
      <c r="M1100" s="4" t="s">
        <v>243</v>
      </c>
      <c r="N1100" s="3">
        <v>45884</v>
      </c>
      <c r="O1100" s="4" t="s">
        <v>416</v>
      </c>
      <c r="P1100" s="2">
        <v>1000</v>
      </c>
      <c r="Q1100" s="2">
        <v>5453</v>
      </c>
      <c r="R1100" s="4" t="s">
        <v>26</v>
      </c>
      <c r="S1100" s="5">
        <v>61345000</v>
      </c>
    </row>
    <row r="1101" spans="1:19" x14ac:dyDescent="0.25">
      <c r="A1101" s="4" t="s">
        <v>61</v>
      </c>
      <c r="B1101" s="4" t="s">
        <v>59</v>
      </c>
      <c r="C1101" s="4" t="s">
        <v>62</v>
      </c>
      <c r="D1101" s="4" t="s">
        <v>63</v>
      </c>
      <c r="E1101" s="4" t="s">
        <v>111</v>
      </c>
      <c r="F1101" s="4" t="s">
        <v>112</v>
      </c>
      <c r="G1101" s="4" t="s">
        <v>81</v>
      </c>
      <c r="H1101" s="4" t="s">
        <v>26</v>
      </c>
      <c r="I1101" s="5">
        <v>65000000</v>
      </c>
      <c r="J1101" s="5">
        <v>61600</v>
      </c>
      <c r="K1101" s="5">
        <v>6160</v>
      </c>
      <c r="L1101" s="4" t="s">
        <v>242</v>
      </c>
      <c r="M1101" s="4" t="s">
        <v>243</v>
      </c>
      <c r="N1101" s="3">
        <v>45884</v>
      </c>
      <c r="O1101" s="4" t="s">
        <v>416</v>
      </c>
      <c r="P1101" s="2">
        <v>2000</v>
      </c>
      <c r="Q1101" s="2">
        <v>5453</v>
      </c>
      <c r="R1101" s="4" t="s">
        <v>26</v>
      </c>
      <c r="S1101" s="5">
        <v>61345000</v>
      </c>
    </row>
    <row r="1102" spans="1:19" x14ac:dyDescent="0.25">
      <c r="A1102" s="4" t="s">
        <v>61</v>
      </c>
      <c r="B1102" s="4" t="s">
        <v>59</v>
      </c>
      <c r="C1102" s="4" t="s">
        <v>62</v>
      </c>
      <c r="D1102" s="4" t="s">
        <v>63</v>
      </c>
      <c r="E1102" s="4" t="s">
        <v>103</v>
      </c>
      <c r="F1102" s="4" t="s">
        <v>104</v>
      </c>
      <c r="G1102" s="4" t="s">
        <v>105</v>
      </c>
      <c r="H1102" s="4" t="s">
        <v>26</v>
      </c>
      <c r="I1102" s="5">
        <v>155000000</v>
      </c>
      <c r="J1102" s="5">
        <v>152100</v>
      </c>
      <c r="K1102" s="5">
        <v>15210</v>
      </c>
      <c r="L1102" s="4" t="s">
        <v>26</v>
      </c>
      <c r="M1102" s="4" t="s">
        <v>26</v>
      </c>
      <c r="N1102" s="3">
        <v>45891</v>
      </c>
      <c r="O1102" s="4" t="s">
        <v>432</v>
      </c>
      <c r="P1102" s="2">
        <v>1000</v>
      </c>
      <c r="Q1102" s="2">
        <v>5460</v>
      </c>
      <c r="R1102" s="4" t="s">
        <v>755</v>
      </c>
      <c r="S1102" s="5">
        <v>150234500</v>
      </c>
    </row>
    <row r="1103" spans="1:19" x14ac:dyDescent="0.25">
      <c r="A1103" s="4" t="s">
        <v>61</v>
      </c>
      <c r="B1103" s="4" t="s">
        <v>59</v>
      </c>
      <c r="C1103" s="4" t="s">
        <v>62</v>
      </c>
      <c r="D1103" s="4" t="s">
        <v>63</v>
      </c>
      <c r="E1103" s="4" t="s">
        <v>103</v>
      </c>
      <c r="F1103" s="4" t="s">
        <v>104</v>
      </c>
      <c r="G1103" s="4" t="s">
        <v>105</v>
      </c>
      <c r="H1103" s="4" t="s">
        <v>26</v>
      </c>
      <c r="I1103" s="5">
        <v>155000000</v>
      </c>
      <c r="J1103" s="5">
        <v>63000</v>
      </c>
      <c r="K1103" s="5">
        <v>6300</v>
      </c>
      <c r="L1103" s="4" t="s">
        <v>26</v>
      </c>
      <c r="M1103" s="4" t="s">
        <v>26</v>
      </c>
      <c r="N1103" s="3">
        <v>45891</v>
      </c>
      <c r="O1103" s="4" t="s">
        <v>432</v>
      </c>
      <c r="P1103" s="2">
        <v>2000</v>
      </c>
      <c r="Q1103" s="2">
        <v>5460</v>
      </c>
      <c r="R1103" s="4" t="s">
        <v>755</v>
      </c>
      <c r="S1103" s="5">
        <v>150234500</v>
      </c>
    </row>
    <row r="1104" spans="1:19" x14ac:dyDescent="0.25">
      <c r="A1104" s="4" t="s">
        <v>61</v>
      </c>
      <c r="B1104" s="4" t="s">
        <v>59</v>
      </c>
      <c r="C1104" s="4" t="s">
        <v>62</v>
      </c>
      <c r="D1104" s="4" t="s">
        <v>63</v>
      </c>
      <c r="E1104" s="4" t="s">
        <v>103</v>
      </c>
      <c r="F1104" s="4" t="s">
        <v>104</v>
      </c>
      <c r="G1104" s="4" t="s">
        <v>105</v>
      </c>
      <c r="H1104" s="4" t="s">
        <v>26</v>
      </c>
      <c r="I1104" s="5">
        <v>155000000</v>
      </c>
      <c r="J1104" s="5">
        <v>58500</v>
      </c>
      <c r="K1104" s="5">
        <v>5850</v>
      </c>
      <c r="L1104" s="4" t="s">
        <v>26</v>
      </c>
      <c r="M1104" s="4" t="s">
        <v>26</v>
      </c>
      <c r="N1104" s="3">
        <v>45891</v>
      </c>
      <c r="O1104" s="4" t="s">
        <v>432</v>
      </c>
      <c r="P1104" s="2">
        <v>3000</v>
      </c>
      <c r="Q1104" s="2">
        <v>5460</v>
      </c>
      <c r="R1104" s="4" t="s">
        <v>755</v>
      </c>
      <c r="S1104" s="5">
        <v>150234500</v>
      </c>
    </row>
    <row r="1105" spans="1:19" x14ac:dyDescent="0.25">
      <c r="A1105" s="4" t="s">
        <v>61</v>
      </c>
      <c r="B1105" s="4" t="s">
        <v>59</v>
      </c>
      <c r="C1105" s="4" t="s">
        <v>62</v>
      </c>
      <c r="D1105" s="4" t="s">
        <v>63</v>
      </c>
      <c r="E1105" s="4" t="s">
        <v>103</v>
      </c>
      <c r="F1105" s="4" t="s">
        <v>104</v>
      </c>
      <c r="G1105" s="4" t="s">
        <v>105</v>
      </c>
      <c r="H1105" s="4" t="s">
        <v>26</v>
      </c>
      <c r="I1105" s="5">
        <v>155000000</v>
      </c>
      <c r="J1105" s="5">
        <v>22500</v>
      </c>
      <c r="K1105" s="5">
        <v>2250</v>
      </c>
      <c r="L1105" s="4" t="s">
        <v>26</v>
      </c>
      <c r="M1105" s="4" t="s">
        <v>26</v>
      </c>
      <c r="N1105" s="3">
        <v>45891</v>
      </c>
      <c r="O1105" s="4" t="s">
        <v>432</v>
      </c>
      <c r="P1105" s="2">
        <v>4000</v>
      </c>
      <c r="Q1105" s="2">
        <v>5460</v>
      </c>
      <c r="R1105" s="4" t="s">
        <v>755</v>
      </c>
      <c r="S1105" s="5">
        <v>150234500</v>
      </c>
    </row>
    <row r="1106" spans="1:19" x14ac:dyDescent="0.25">
      <c r="A1106" s="4" t="s">
        <v>61</v>
      </c>
      <c r="B1106" s="4" t="s">
        <v>59</v>
      </c>
      <c r="C1106" s="4" t="s">
        <v>62</v>
      </c>
      <c r="D1106" s="4" t="s">
        <v>63</v>
      </c>
      <c r="E1106" s="4" t="s">
        <v>135</v>
      </c>
      <c r="F1106" s="4" t="s">
        <v>136</v>
      </c>
      <c r="G1106" s="4" t="s">
        <v>50</v>
      </c>
      <c r="H1106" s="4" t="s">
        <v>26</v>
      </c>
      <c r="I1106" s="5">
        <v>65000000</v>
      </c>
      <c r="J1106" s="5">
        <v>79200</v>
      </c>
      <c r="K1106" s="5">
        <v>7920</v>
      </c>
      <c r="L1106" s="4" t="s">
        <v>137</v>
      </c>
      <c r="M1106" s="4" t="s">
        <v>138</v>
      </c>
      <c r="N1106" s="3">
        <v>45893</v>
      </c>
      <c r="O1106" s="4" t="s">
        <v>283</v>
      </c>
      <c r="P1106" s="2">
        <v>1000</v>
      </c>
      <c r="Q1106" s="2">
        <v>5468</v>
      </c>
      <c r="R1106" s="4" t="s">
        <v>26</v>
      </c>
      <c r="S1106" s="5">
        <v>64643700</v>
      </c>
    </row>
    <row r="1107" spans="1:19" x14ac:dyDescent="0.25">
      <c r="A1107" s="4" t="s">
        <v>61</v>
      </c>
      <c r="B1107" s="4" t="s">
        <v>59</v>
      </c>
      <c r="C1107" s="4" t="s">
        <v>62</v>
      </c>
      <c r="D1107" s="4" t="s">
        <v>63</v>
      </c>
      <c r="E1107" s="4" t="s">
        <v>386</v>
      </c>
      <c r="F1107" s="4" t="s">
        <v>387</v>
      </c>
      <c r="G1107" s="4" t="s">
        <v>50</v>
      </c>
      <c r="H1107" s="4" t="s">
        <v>26</v>
      </c>
      <c r="I1107" s="5">
        <v>65000000</v>
      </c>
      <c r="J1107" s="5">
        <v>77000</v>
      </c>
      <c r="K1107" s="5">
        <v>7700</v>
      </c>
      <c r="L1107" s="4" t="s">
        <v>26</v>
      </c>
      <c r="M1107" s="4" t="s">
        <v>26</v>
      </c>
      <c r="N1107" s="3">
        <v>45893</v>
      </c>
      <c r="O1107" s="4" t="s">
        <v>283</v>
      </c>
      <c r="P1107" s="2">
        <v>1000</v>
      </c>
      <c r="Q1107" s="2">
        <v>5480</v>
      </c>
      <c r="R1107" s="4" t="s">
        <v>755</v>
      </c>
      <c r="S1107" s="5">
        <v>63916900</v>
      </c>
    </row>
    <row r="1108" spans="1:19" x14ac:dyDescent="0.25">
      <c r="A1108" s="4" t="s">
        <v>61</v>
      </c>
      <c r="B1108" s="4" t="s">
        <v>59</v>
      </c>
      <c r="C1108" s="4" t="s">
        <v>62</v>
      </c>
      <c r="D1108" s="4" t="s">
        <v>63</v>
      </c>
      <c r="E1108" s="4" t="s">
        <v>386</v>
      </c>
      <c r="F1108" s="4" t="s">
        <v>387</v>
      </c>
      <c r="G1108" s="4" t="s">
        <v>50</v>
      </c>
      <c r="H1108" s="4" t="s">
        <v>26</v>
      </c>
      <c r="I1108" s="5">
        <v>65000000</v>
      </c>
      <c r="J1108" s="5">
        <v>46200</v>
      </c>
      <c r="K1108" s="5">
        <v>4620</v>
      </c>
      <c r="L1108" s="4" t="s">
        <v>26</v>
      </c>
      <c r="M1108" s="4" t="s">
        <v>26</v>
      </c>
      <c r="N1108" s="3">
        <v>45893</v>
      </c>
      <c r="O1108" s="4" t="s">
        <v>283</v>
      </c>
      <c r="P1108" s="2">
        <v>2000</v>
      </c>
      <c r="Q1108" s="2">
        <v>5480</v>
      </c>
      <c r="R1108" s="4" t="s">
        <v>755</v>
      </c>
      <c r="S1108" s="5">
        <v>63916900</v>
      </c>
    </row>
    <row r="1109" spans="1:19" x14ac:dyDescent="0.25">
      <c r="A1109" s="4" t="s">
        <v>61</v>
      </c>
      <c r="B1109" s="4" t="s">
        <v>59</v>
      </c>
      <c r="C1109" s="4" t="s">
        <v>62</v>
      </c>
      <c r="D1109" s="4" t="s">
        <v>63</v>
      </c>
      <c r="E1109" s="4" t="s">
        <v>127</v>
      </c>
      <c r="F1109" s="4" t="s">
        <v>128</v>
      </c>
      <c r="G1109" s="4" t="s">
        <v>50</v>
      </c>
      <c r="H1109" s="4" t="s">
        <v>26</v>
      </c>
      <c r="I1109" s="5">
        <v>65000000</v>
      </c>
      <c r="J1109" s="5">
        <v>83300</v>
      </c>
      <c r="K1109" s="5">
        <v>8330</v>
      </c>
      <c r="L1109" s="4" t="s">
        <v>129</v>
      </c>
      <c r="M1109" s="4" t="s">
        <v>130</v>
      </c>
      <c r="N1109" s="3">
        <v>45893</v>
      </c>
      <c r="O1109" s="4" t="s">
        <v>283</v>
      </c>
      <c r="P1109" s="2">
        <v>1000</v>
      </c>
      <c r="Q1109" s="2">
        <v>5486</v>
      </c>
      <c r="R1109" s="4" t="s">
        <v>755</v>
      </c>
      <c r="S1109" s="5">
        <v>60417600</v>
      </c>
    </row>
    <row r="1110" spans="1:19" x14ac:dyDescent="0.25">
      <c r="A1110" s="4" t="s">
        <v>61</v>
      </c>
      <c r="B1110" s="4" t="s">
        <v>59</v>
      </c>
      <c r="C1110" s="4" t="s">
        <v>62</v>
      </c>
      <c r="D1110" s="4" t="s">
        <v>63</v>
      </c>
      <c r="E1110" s="4" t="s">
        <v>127</v>
      </c>
      <c r="F1110" s="4" t="s">
        <v>128</v>
      </c>
      <c r="G1110" s="4" t="s">
        <v>50</v>
      </c>
      <c r="H1110" s="4" t="s">
        <v>26</v>
      </c>
      <c r="I1110" s="5">
        <v>65000000</v>
      </c>
      <c r="J1110" s="5">
        <v>70550</v>
      </c>
      <c r="K1110" s="5">
        <v>7055</v>
      </c>
      <c r="L1110" s="4" t="s">
        <v>129</v>
      </c>
      <c r="M1110" s="4" t="s">
        <v>130</v>
      </c>
      <c r="N1110" s="3">
        <v>45893</v>
      </c>
      <c r="O1110" s="4" t="s">
        <v>283</v>
      </c>
      <c r="P1110" s="2">
        <v>2000</v>
      </c>
      <c r="Q1110" s="2">
        <v>5486</v>
      </c>
      <c r="R1110" s="4" t="s">
        <v>755</v>
      </c>
      <c r="S1110" s="5">
        <v>60417600</v>
      </c>
    </row>
    <row r="1111" spans="1:19" x14ac:dyDescent="0.25">
      <c r="A1111" s="4" t="s">
        <v>61</v>
      </c>
      <c r="B1111" s="4" t="s">
        <v>59</v>
      </c>
      <c r="C1111" s="4" t="s">
        <v>62</v>
      </c>
      <c r="D1111" s="4" t="s">
        <v>63</v>
      </c>
      <c r="E1111" s="4" t="s">
        <v>127</v>
      </c>
      <c r="F1111" s="4" t="s">
        <v>128</v>
      </c>
      <c r="G1111" s="4" t="s">
        <v>50</v>
      </c>
      <c r="H1111" s="4" t="s">
        <v>26</v>
      </c>
      <c r="I1111" s="5">
        <v>65000000</v>
      </c>
      <c r="J1111" s="5">
        <v>28900</v>
      </c>
      <c r="K1111" s="5">
        <v>2890</v>
      </c>
      <c r="L1111" s="4" t="s">
        <v>129</v>
      </c>
      <c r="M1111" s="4" t="s">
        <v>130</v>
      </c>
      <c r="N1111" s="3">
        <v>45893</v>
      </c>
      <c r="O1111" s="4" t="s">
        <v>283</v>
      </c>
      <c r="P1111" s="2">
        <v>3000</v>
      </c>
      <c r="Q1111" s="2">
        <v>5486</v>
      </c>
      <c r="R1111" s="4" t="s">
        <v>755</v>
      </c>
      <c r="S1111" s="5">
        <v>60417600</v>
      </c>
    </row>
    <row r="1112" spans="1:19" x14ac:dyDescent="0.25">
      <c r="A1112" s="4" t="s">
        <v>61</v>
      </c>
      <c r="B1112" s="4" t="s">
        <v>59</v>
      </c>
      <c r="C1112" s="4" t="s">
        <v>62</v>
      </c>
      <c r="D1112" s="4" t="s">
        <v>63</v>
      </c>
      <c r="E1112" s="4" t="s">
        <v>388</v>
      </c>
      <c r="F1112" s="4" t="s">
        <v>389</v>
      </c>
      <c r="G1112" s="4" t="s">
        <v>81</v>
      </c>
      <c r="H1112" s="4" t="s">
        <v>26</v>
      </c>
      <c r="I1112" s="5">
        <v>65000000</v>
      </c>
      <c r="J1112" s="5">
        <v>140800</v>
      </c>
      <c r="K1112" s="5">
        <v>14080</v>
      </c>
      <c r="L1112" s="4" t="s">
        <v>390</v>
      </c>
      <c r="M1112" s="4" t="s">
        <v>391</v>
      </c>
      <c r="N1112" s="3">
        <v>45893</v>
      </c>
      <c r="O1112" s="4" t="s">
        <v>283</v>
      </c>
      <c r="P1112" s="2">
        <v>1000</v>
      </c>
      <c r="Q1112" s="2">
        <v>5494</v>
      </c>
      <c r="R1112" s="4" t="s">
        <v>755</v>
      </c>
      <c r="S1112" s="5">
        <v>64859200</v>
      </c>
    </row>
    <row r="1113" spans="1:19" x14ac:dyDescent="0.25">
      <c r="A1113" s="4" t="s">
        <v>61</v>
      </c>
      <c r="B1113" s="4" t="s">
        <v>59</v>
      </c>
      <c r="C1113" s="4" t="s">
        <v>62</v>
      </c>
      <c r="D1113" s="4" t="s">
        <v>63</v>
      </c>
      <c r="E1113" s="4" t="s">
        <v>202</v>
      </c>
      <c r="F1113" s="4" t="s">
        <v>203</v>
      </c>
      <c r="G1113" s="4" t="s">
        <v>100</v>
      </c>
      <c r="H1113" s="4" t="s">
        <v>26</v>
      </c>
      <c r="I1113" s="5">
        <v>65000000</v>
      </c>
      <c r="J1113" s="5">
        <v>34000</v>
      </c>
      <c r="K1113" s="5">
        <v>3400</v>
      </c>
      <c r="L1113" s="4" t="s">
        <v>26</v>
      </c>
      <c r="M1113" s="4" t="s">
        <v>26</v>
      </c>
      <c r="N1113" s="3">
        <v>45880</v>
      </c>
      <c r="O1113" s="4" t="s">
        <v>154</v>
      </c>
      <c r="P1113" s="2">
        <v>1000</v>
      </c>
      <c r="Q1113" s="2">
        <v>5540</v>
      </c>
      <c r="R1113" s="4" t="s">
        <v>84</v>
      </c>
      <c r="S1113" s="5">
        <v>63226550</v>
      </c>
    </row>
    <row r="1114" spans="1:19" x14ac:dyDescent="0.25">
      <c r="A1114" s="4" t="s">
        <v>61</v>
      </c>
      <c r="B1114" s="4" t="s">
        <v>59</v>
      </c>
      <c r="C1114" s="4" t="s">
        <v>62</v>
      </c>
      <c r="D1114" s="4" t="s">
        <v>63</v>
      </c>
      <c r="E1114" s="4" t="s">
        <v>510</v>
      </c>
      <c r="F1114" s="4" t="s">
        <v>511</v>
      </c>
      <c r="G1114" s="4" t="s">
        <v>115</v>
      </c>
      <c r="H1114" s="4" t="s">
        <v>26</v>
      </c>
      <c r="I1114" s="5">
        <v>65000000</v>
      </c>
      <c r="J1114" s="5">
        <v>45000</v>
      </c>
      <c r="K1114" s="5">
        <v>4500</v>
      </c>
      <c r="L1114" s="4" t="s">
        <v>512</v>
      </c>
      <c r="M1114" s="4" t="s">
        <v>513</v>
      </c>
      <c r="N1114" s="3">
        <v>45883</v>
      </c>
      <c r="O1114" s="4" t="s">
        <v>459</v>
      </c>
      <c r="P1114" s="2">
        <v>1000</v>
      </c>
      <c r="Q1114" s="2">
        <v>5542</v>
      </c>
      <c r="R1114" s="4" t="s">
        <v>84</v>
      </c>
      <c r="S1114" s="5">
        <v>64825000</v>
      </c>
    </row>
    <row r="1115" spans="1:19" x14ac:dyDescent="0.25">
      <c r="A1115" s="4" t="s">
        <v>61</v>
      </c>
      <c r="B1115" s="4" t="s">
        <v>59</v>
      </c>
      <c r="C1115" s="4" t="s">
        <v>62</v>
      </c>
      <c r="D1115" s="4" t="s">
        <v>63</v>
      </c>
      <c r="E1115" s="4" t="s">
        <v>510</v>
      </c>
      <c r="F1115" s="4" t="s">
        <v>511</v>
      </c>
      <c r="G1115" s="4" t="s">
        <v>115</v>
      </c>
      <c r="H1115" s="4" t="s">
        <v>26</v>
      </c>
      <c r="I1115" s="5">
        <v>65000000</v>
      </c>
      <c r="J1115" s="5">
        <v>50000</v>
      </c>
      <c r="K1115" s="5">
        <v>5000</v>
      </c>
      <c r="L1115" s="4" t="s">
        <v>512</v>
      </c>
      <c r="M1115" s="4" t="s">
        <v>513</v>
      </c>
      <c r="N1115" s="3">
        <v>45883</v>
      </c>
      <c r="O1115" s="4" t="s">
        <v>459</v>
      </c>
      <c r="P1115" s="2">
        <v>2000</v>
      </c>
      <c r="Q1115" s="2">
        <v>5542</v>
      </c>
      <c r="R1115" s="4" t="s">
        <v>84</v>
      </c>
      <c r="S1115" s="5">
        <v>64825000</v>
      </c>
    </row>
    <row r="1116" spans="1:19" x14ac:dyDescent="0.25">
      <c r="A1116" s="4" t="s">
        <v>61</v>
      </c>
      <c r="B1116" s="4" t="s">
        <v>59</v>
      </c>
      <c r="C1116" s="4" t="s">
        <v>62</v>
      </c>
      <c r="D1116" s="4" t="s">
        <v>63</v>
      </c>
      <c r="E1116" s="4" t="s">
        <v>510</v>
      </c>
      <c r="F1116" s="4" t="s">
        <v>511</v>
      </c>
      <c r="G1116" s="4" t="s">
        <v>115</v>
      </c>
      <c r="H1116" s="4" t="s">
        <v>26</v>
      </c>
      <c r="I1116" s="5">
        <v>65000000</v>
      </c>
      <c r="J1116" s="5">
        <v>40000</v>
      </c>
      <c r="K1116" s="5">
        <v>4000</v>
      </c>
      <c r="L1116" s="4" t="s">
        <v>512</v>
      </c>
      <c r="M1116" s="4" t="s">
        <v>513</v>
      </c>
      <c r="N1116" s="3">
        <v>45883</v>
      </c>
      <c r="O1116" s="4" t="s">
        <v>459</v>
      </c>
      <c r="P1116" s="2">
        <v>3000</v>
      </c>
      <c r="Q1116" s="2">
        <v>5542</v>
      </c>
      <c r="R1116" s="4" t="s">
        <v>84</v>
      </c>
      <c r="S1116" s="5">
        <v>64825000</v>
      </c>
    </row>
    <row r="1117" spans="1:19" x14ac:dyDescent="0.25">
      <c r="A1117" s="4" t="s">
        <v>61</v>
      </c>
      <c r="B1117" s="4" t="s">
        <v>59</v>
      </c>
      <c r="C1117" s="4" t="s">
        <v>62</v>
      </c>
      <c r="D1117" s="4" t="s">
        <v>63</v>
      </c>
      <c r="E1117" s="4" t="s">
        <v>155</v>
      </c>
      <c r="F1117" s="4" t="s">
        <v>156</v>
      </c>
      <c r="G1117" s="4" t="s">
        <v>157</v>
      </c>
      <c r="H1117" s="4" t="s">
        <v>26</v>
      </c>
      <c r="I1117" s="5">
        <v>90000000</v>
      </c>
      <c r="J1117" s="5">
        <v>59000</v>
      </c>
      <c r="K1117" s="5">
        <v>5900</v>
      </c>
      <c r="L1117" s="4" t="s">
        <v>158</v>
      </c>
      <c r="M1117" s="4" t="s">
        <v>159</v>
      </c>
      <c r="N1117" s="3">
        <v>45892</v>
      </c>
      <c r="O1117" s="4" t="s">
        <v>532</v>
      </c>
      <c r="P1117" s="2">
        <v>1000</v>
      </c>
      <c r="Q1117" s="2">
        <v>5562</v>
      </c>
      <c r="R1117" s="4" t="s">
        <v>749</v>
      </c>
      <c r="S1117" s="5">
        <v>87868500</v>
      </c>
    </row>
    <row r="1118" spans="1:19" x14ac:dyDescent="0.25">
      <c r="A1118" s="4" t="s">
        <v>61</v>
      </c>
      <c r="B1118" s="4" t="s">
        <v>59</v>
      </c>
      <c r="C1118" s="4" t="s">
        <v>62</v>
      </c>
      <c r="D1118" s="4" t="s">
        <v>63</v>
      </c>
      <c r="E1118" s="4" t="s">
        <v>180</v>
      </c>
      <c r="F1118" s="4" t="s">
        <v>181</v>
      </c>
      <c r="G1118" s="4" t="s">
        <v>91</v>
      </c>
      <c r="H1118" s="4" t="s">
        <v>26</v>
      </c>
      <c r="I1118" s="5">
        <v>65000000</v>
      </c>
      <c r="J1118" s="5">
        <v>125100</v>
      </c>
      <c r="K1118" s="5">
        <v>12510</v>
      </c>
      <c r="L1118" s="4" t="s">
        <v>26</v>
      </c>
      <c r="M1118" s="4" t="s">
        <v>26</v>
      </c>
      <c r="N1118" s="3">
        <v>45883</v>
      </c>
      <c r="O1118" s="4" t="s">
        <v>459</v>
      </c>
      <c r="P1118" s="2">
        <v>1000</v>
      </c>
      <c r="Q1118" s="2">
        <v>5574</v>
      </c>
      <c r="R1118" s="4" t="s">
        <v>755</v>
      </c>
      <c r="S1118" s="5">
        <v>60970400</v>
      </c>
    </row>
    <row r="1119" spans="1:19" x14ac:dyDescent="0.25">
      <c r="A1119" s="4" t="s">
        <v>61</v>
      </c>
      <c r="B1119" s="4" t="s">
        <v>59</v>
      </c>
      <c r="C1119" s="4" t="s">
        <v>62</v>
      </c>
      <c r="D1119" s="4" t="s">
        <v>63</v>
      </c>
      <c r="E1119" s="4" t="s">
        <v>188</v>
      </c>
      <c r="F1119" s="4" t="s">
        <v>189</v>
      </c>
      <c r="G1119" s="4" t="s">
        <v>190</v>
      </c>
      <c r="H1119" s="4" t="s">
        <v>26</v>
      </c>
      <c r="I1119" s="5">
        <v>90000000</v>
      </c>
      <c r="J1119" s="5">
        <v>49500</v>
      </c>
      <c r="K1119" s="5">
        <v>4950</v>
      </c>
      <c r="L1119" s="4" t="s">
        <v>191</v>
      </c>
      <c r="M1119" s="4" t="s">
        <v>192</v>
      </c>
      <c r="N1119" s="3">
        <v>45884</v>
      </c>
      <c r="O1119" s="4" t="s">
        <v>459</v>
      </c>
      <c r="P1119" s="2">
        <v>1000</v>
      </c>
      <c r="Q1119" s="2">
        <v>5635</v>
      </c>
      <c r="R1119" s="4" t="s">
        <v>747</v>
      </c>
      <c r="S1119" s="5">
        <v>87040690</v>
      </c>
    </row>
    <row r="1120" spans="1:19" x14ac:dyDescent="0.25">
      <c r="A1120" s="4" t="s">
        <v>61</v>
      </c>
      <c r="B1120" s="4" t="s">
        <v>59</v>
      </c>
      <c r="C1120" s="4" t="s">
        <v>62</v>
      </c>
      <c r="D1120" s="4" t="s">
        <v>63</v>
      </c>
      <c r="E1120" s="4" t="s">
        <v>188</v>
      </c>
      <c r="F1120" s="4" t="s">
        <v>189</v>
      </c>
      <c r="G1120" s="4" t="s">
        <v>190</v>
      </c>
      <c r="H1120" s="4" t="s">
        <v>26</v>
      </c>
      <c r="I1120" s="5">
        <v>90000000</v>
      </c>
      <c r="J1120" s="5">
        <v>40500</v>
      </c>
      <c r="K1120" s="5">
        <v>4050</v>
      </c>
      <c r="L1120" s="4" t="s">
        <v>191</v>
      </c>
      <c r="M1120" s="4" t="s">
        <v>192</v>
      </c>
      <c r="N1120" s="3">
        <v>45884</v>
      </c>
      <c r="O1120" s="4" t="s">
        <v>459</v>
      </c>
      <c r="P1120" s="2">
        <v>2000</v>
      </c>
      <c r="Q1120" s="2">
        <v>5635</v>
      </c>
      <c r="R1120" s="4" t="s">
        <v>747</v>
      </c>
      <c r="S1120" s="5">
        <v>87040690</v>
      </c>
    </row>
    <row r="1121" spans="1:19" x14ac:dyDescent="0.25">
      <c r="A1121" s="4" t="s">
        <v>61</v>
      </c>
      <c r="B1121" s="4" t="s">
        <v>59</v>
      </c>
      <c r="C1121" s="4" t="s">
        <v>62</v>
      </c>
      <c r="D1121" s="4" t="s">
        <v>63</v>
      </c>
      <c r="E1121" s="4" t="s">
        <v>238</v>
      </c>
      <c r="F1121" s="4" t="s">
        <v>239</v>
      </c>
      <c r="G1121" s="4" t="s">
        <v>190</v>
      </c>
      <c r="H1121" s="4" t="s">
        <v>26</v>
      </c>
      <c r="I1121" s="5">
        <v>90000000</v>
      </c>
      <c r="J1121" s="5">
        <v>54000</v>
      </c>
      <c r="K1121" s="5">
        <v>5400</v>
      </c>
      <c r="L1121" s="4" t="s">
        <v>240</v>
      </c>
      <c r="M1121" s="4" t="s">
        <v>241</v>
      </c>
      <c r="N1121" s="3">
        <v>45884</v>
      </c>
      <c r="O1121" s="4" t="s">
        <v>459</v>
      </c>
      <c r="P1121" s="2">
        <v>1000</v>
      </c>
      <c r="Q1121" s="2">
        <v>5638</v>
      </c>
      <c r="R1121" s="4" t="s">
        <v>26</v>
      </c>
      <c r="S1121" s="5">
        <v>88561500</v>
      </c>
    </row>
    <row r="1122" spans="1:19" x14ac:dyDescent="0.25">
      <c r="A1122" s="4" t="s">
        <v>61</v>
      </c>
      <c r="B1122" s="4" t="s">
        <v>59</v>
      </c>
      <c r="C1122" s="4" t="s">
        <v>62</v>
      </c>
      <c r="D1122" s="4" t="s">
        <v>63</v>
      </c>
      <c r="E1122" s="4" t="s">
        <v>193</v>
      </c>
      <c r="F1122" s="4" t="s">
        <v>194</v>
      </c>
      <c r="G1122" s="4" t="s">
        <v>105</v>
      </c>
      <c r="H1122" s="4" t="s">
        <v>26</v>
      </c>
      <c r="I1122" s="5">
        <v>155000000</v>
      </c>
      <c r="J1122" s="5">
        <v>40500</v>
      </c>
      <c r="K1122" s="5">
        <v>4050</v>
      </c>
      <c r="L1122" s="4" t="s">
        <v>195</v>
      </c>
      <c r="M1122" s="4" t="s">
        <v>196</v>
      </c>
      <c r="N1122" s="3">
        <v>45884</v>
      </c>
      <c r="O1122" s="4" t="s">
        <v>459</v>
      </c>
      <c r="P1122" s="2">
        <v>1000</v>
      </c>
      <c r="Q1122" s="2">
        <v>5641</v>
      </c>
      <c r="R1122" s="4" t="s">
        <v>26</v>
      </c>
      <c r="S1122" s="5">
        <v>149540330</v>
      </c>
    </row>
    <row r="1123" spans="1:19" x14ac:dyDescent="0.25">
      <c r="A1123" s="4" t="s">
        <v>61</v>
      </c>
      <c r="B1123" s="4" t="s">
        <v>59</v>
      </c>
      <c r="C1123" s="4" t="s">
        <v>62</v>
      </c>
      <c r="D1123" s="4" t="s">
        <v>63</v>
      </c>
      <c r="E1123" s="4" t="s">
        <v>412</v>
      </c>
      <c r="F1123" s="4" t="s">
        <v>413</v>
      </c>
      <c r="G1123" s="4" t="s">
        <v>157</v>
      </c>
      <c r="H1123" s="4" t="s">
        <v>26</v>
      </c>
      <c r="I1123" s="5">
        <v>90000000</v>
      </c>
      <c r="J1123" s="5">
        <v>49500</v>
      </c>
      <c r="K1123" s="5">
        <v>4950</v>
      </c>
      <c r="L1123" s="4" t="s">
        <v>414</v>
      </c>
      <c r="M1123" s="4" t="s">
        <v>415</v>
      </c>
      <c r="N1123" s="3">
        <v>45884</v>
      </c>
      <c r="O1123" s="4" t="s">
        <v>459</v>
      </c>
      <c r="P1123" s="2">
        <v>1000</v>
      </c>
      <c r="Q1123" s="2">
        <v>5647</v>
      </c>
      <c r="R1123" s="4" t="s">
        <v>747</v>
      </c>
      <c r="S1123" s="5">
        <v>87613200</v>
      </c>
    </row>
    <row r="1124" spans="1:19" x14ac:dyDescent="0.25">
      <c r="A1124" s="4" t="s">
        <v>61</v>
      </c>
      <c r="B1124" s="4" t="s">
        <v>59</v>
      </c>
      <c r="C1124" s="4" t="s">
        <v>62</v>
      </c>
      <c r="D1124" s="4" t="s">
        <v>63</v>
      </c>
      <c r="E1124" s="4" t="s">
        <v>263</v>
      </c>
      <c r="F1124" s="4" t="s">
        <v>264</v>
      </c>
      <c r="G1124" s="4" t="s">
        <v>81</v>
      </c>
      <c r="H1124" s="4" t="s">
        <v>26</v>
      </c>
      <c r="I1124" s="5">
        <v>65000000</v>
      </c>
      <c r="J1124" s="5">
        <v>38500</v>
      </c>
      <c r="K1124" s="5">
        <v>3850</v>
      </c>
      <c r="L1124" s="4" t="s">
        <v>26</v>
      </c>
      <c r="M1124" s="4" t="s">
        <v>26</v>
      </c>
      <c r="N1124" s="3">
        <v>45894</v>
      </c>
      <c r="O1124" s="4" t="s">
        <v>283</v>
      </c>
      <c r="P1124" s="2">
        <v>1000</v>
      </c>
      <c r="Q1124" s="2">
        <v>5663</v>
      </c>
      <c r="R1124" s="4" t="s">
        <v>755</v>
      </c>
      <c r="S1124" s="5">
        <v>54808900</v>
      </c>
    </row>
    <row r="1125" spans="1:19" x14ac:dyDescent="0.25">
      <c r="A1125" s="4" t="s">
        <v>61</v>
      </c>
      <c r="B1125" s="4" t="s">
        <v>59</v>
      </c>
      <c r="C1125" s="4" t="s">
        <v>62</v>
      </c>
      <c r="D1125" s="4" t="s">
        <v>63</v>
      </c>
      <c r="E1125" s="4" t="s">
        <v>263</v>
      </c>
      <c r="F1125" s="4" t="s">
        <v>264</v>
      </c>
      <c r="G1125" s="4" t="s">
        <v>81</v>
      </c>
      <c r="H1125" s="4" t="s">
        <v>26</v>
      </c>
      <c r="I1125" s="5">
        <v>65000000</v>
      </c>
      <c r="J1125" s="5">
        <v>46200</v>
      </c>
      <c r="K1125" s="5">
        <v>4620</v>
      </c>
      <c r="L1125" s="4" t="s">
        <v>26</v>
      </c>
      <c r="M1125" s="4" t="s">
        <v>26</v>
      </c>
      <c r="N1125" s="3">
        <v>45894</v>
      </c>
      <c r="O1125" s="4" t="s">
        <v>283</v>
      </c>
      <c r="P1125" s="2">
        <v>2000</v>
      </c>
      <c r="Q1125" s="2">
        <v>5663</v>
      </c>
      <c r="R1125" s="4" t="s">
        <v>755</v>
      </c>
      <c r="S1125" s="5">
        <v>54808900</v>
      </c>
    </row>
    <row r="1126" spans="1:19" x14ac:dyDescent="0.25">
      <c r="A1126" s="4" t="s">
        <v>61</v>
      </c>
      <c r="B1126" s="4" t="s">
        <v>59</v>
      </c>
      <c r="C1126" s="4" t="s">
        <v>62</v>
      </c>
      <c r="D1126" s="4" t="s">
        <v>63</v>
      </c>
      <c r="E1126" s="4" t="s">
        <v>263</v>
      </c>
      <c r="F1126" s="4" t="s">
        <v>264</v>
      </c>
      <c r="G1126" s="4" t="s">
        <v>81</v>
      </c>
      <c r="H1126" s="4" t="s">
        <v>26</v>
      </c>
      <c r="I1126" s="5">
        <v>65000000</v>
      </c>
      <c r="J1126" s="5">
        <v>53900</v>
      </c>
      <c r="K1126" s="5">
        <v>5390</v>
      </c>
      <c r="L1126" s="4" t="s">
        <v>26</v>
      </c>
      <c r="M1126" s="4" t="s">
        <v>26</v>
      </c>
      <c r="N1126" s="3">
        <v>45894</v>
      </c>
      <c r="O1126" s="4" t="s">
        <v>283</v>
      </c>
      <c r="P1126" s="2">
        <v>3000</v>
      </c>
      <c r="Q1126" s="2">
        <v>5663</v>
      </c>
      <c r="R1126" s="4" t="s">
        <v>755</v>
      </c>
      <c r="S1126" s="5">
        <v>54808900</v>
      </c>
    </row>
    <row r="1127" spans="1:19" x14ac:dyDescent="0.25">
      <c r="A1127" s="4" t="s">
        <v>61</v>
      </c>
      <c r="B1127" s="4" t="s">
        <v>59</v>
      </c>
      <c r="C1127" s="4" t="s">
        <v>62</v>
      </c>
      <c r="D1127" s="4" t="s">
        <v>63</v>
      </c>
      <c r="E1127" s="4" t="s">
        <v>206</v>
      </c>
      <c r="F1127" s="4" t="s">
        <v>207</v>
      </c>
      <c r="G1127" s="4" t="s">
        <v>97</v>
      </c>
      <c r="H1127" s="4" t="s">
        <v>26</v>
      </c>
      <c r="I1127" s="5">
        <v>155000000</v>
      </c>
      <c r="J1127" s="5">
        <v>42500</v>
      </c>
      <c r="K1127" s="5">
        <v>4250</v>
      </c>
      <c r="L1127" s="4" t="s">
        <v>208</v>
      </c>
      <c r="M1127" s="4" t="s">
        <v>209</v>
      </c>
      <c r="N1127" s="3">
        <v>45880</v>
      </c>
      <c r="O1127" s="4" t="s">
        <v>154</v>
      </c>
      <c r="P1127" s="2">
        <v>1000</v>
      </c>
      <c r="Q1127" s="2">
        <v>5668</v>
      </c>
      <c r="R1127" s="4" t="s">
        <v>84</v>
      </c>
      <c r="S1127" s="5">
        <v>153252100</v>
      </c>
    </row>
    <row r="1128" spans="1:19" x14ac:dyDescent="0.25">
      <c r="A1128" s="4" t="s">
        <v>61</v>
      </c>
      <c r="B1128" s="4" t="s">
        <v>59</v>
      </c>
      <c r="C1128" s="4" t="s">
        <v>62</v>
      </c>
      <c r="D1128" s="4" t="s">
        <v>63</v>
      </c>
      <c r="E1128" s="4" t="s">
        <v>148</v>
      </c>
      <c r="F1128" s="4" t="s">
        <v>149</v>
      </c>
      <c r="G1128" s="4" t="s">
        <v>50</v>
      </c>
      <c r="H1128" s="4" t="s">
        <v>26</v>
      </c>
      <c r="I1128" s="5">
        <v>65000000</v>
      </c>
      <c r="J1128" s="5">
        <v>70400</v>
      </c>
      <c r="K1128" s="5">
        <v>7040</v>
      </c>
      <c r="L1128" s="4" t="s">
        <v>392</v>
      </c>
      <c r="M1128" s="4" t="s">
        <v>393</v>
      </c>
      <c r="N1128" s="3">
        <v>45894</v>
      </c>
      <c r="O1128" s="4" t="s">
        <v>283</v>
      </c>
      <c r="P1128" s="2">
        <v>1000</v>
      </c>
      <c r="Q1128" s="2">
        <v>5674</v>
      </c>
      <c r="R1128" s="4" t="s">
        <v>755</v>
      </c>
      <c r="S1128" s="5">
        <v>58699710</v>
      </c>
    </row>
    <row r="1129" spans="1:19" x14ac:dyDescent="0.25">
      <c r="A1129" s="4" t="s">
        <v>61</v>
      </c>
      <c r="B1129" s="4" t="s">
        <v>59</v>
      </c>
      <c r="C1129" s="4" t="s">
        <v>62</v>
      </c>
      <c r="D1129" s="4" t="s">
        <v>63</v>
      </c>
      <c r="E1129" s="4" t="s">
        <v>79</v>
      </c>
      <c r="F1129" s="4" t="s">
        <v>80</v>
      </c>
      <c r="G1129" s="4" t="s">
        <v>81</v>
      </c>
      <c r="H1129" s="4" t="s">
        <v>26</v>
      </c>
      <c r="I1129" s="5">
        <v>65000000</v>
      </c>
      <c r="J1129" s="5">
        <v>77000</v>
      </c>
      <c r="K1129" s="5">
        <v>7700</v>
      </c>
      <c r="L1129" s="4" t="s">
        <v>218</v>
      </c>
      <c r="M1129" s="4" t="s">
        <v>219</v>
      </c>
      <c r="N1129" s="3">
        <v>45894</v>
      </c>
      <c r="O1129" s="4" t="s">
        <v>283</v>
      </c>
      <c r="P1129" s="2">
        <v>1000</v>
      </c>
      <c r="Q1129" s="2">
        <v>5691</v>
      </c>
      <c r="R1129" s="4" t="s">
        <v>755</v>
      </c>
      <c r="S1129" s="5">
        <v>61690700</v>
      </c>
    </row>
    <row r="1130" spans="1:19" x14ac:dyDescent="0.25">
      <c r="A1130" s="4" t="s">
        <v>61</v>
      </c>
      <c r="B1130" s="4" t="s">
        <v>59</v>
      </c>
      <c r="C1130" s="4" t="s">
        <v>62</v>
      </c>
      <c r="D1130" s="4" t="s">
        <v>63</v>
      </c>
      <c r="E1130" s="4" t="s">
        <v>79</v>
      </c>
      <c r="F1130" s="4" t="s">
        <v>80</v>
      </c>
      <c r="G1130" s="4" t="s">
        <v>81</v>
      </c>
      <c r="H1130" s="4" t="s">
        <v>26</v>
      </c>
      <c r="I1130" s="5">
        <v>65000000</v>
      </c>
      <c r="J1130" s="5">
        <v>100100</v>
      </c>
      <c r="K1130" s="5">
        <v>10010</v>
      </c>
      <c r="L1130" s="4" t="s">
        <v>218</v>
      </c>
      <c r="M1130" s="4" t="s">
        <v>219</v>
      </c>
      <c r="N1130" s="3">
        <v>45894</v>
      </c>
      <c r="O1130" s="4" t="s">
        <v>283</v>
      </c>
      <c r="P1130" s="2">
        <v>2000</v>
      </c>
      <c r="Q1130" s="2">
        <v>5691</v>
      </c>
      <c r="R1130" s="4" t="s">
        <v>755</v>
      </c>
      <c r="S1130" s="5">
        <v>61690700</v>
      </c>
    </row>
    <row r="1131" spans="1:19" x14ac:dyDescent="0.25">
      <c r="A1131" s="4" t="s">
        <v>61</v>
      </c>
      <c r="B1131" s="4" t="s">
        <v>59</v>
      </c>
      <c r="C1131" s="4" t="s">
        <v>62</v>
      </c>
      <c r="D1131" s="4" t="s">
        <v>63</v>
      </c>
      <c r="E1131" s="4" t="s">
        <v>79</v>
      </c>
      <c r="F1131" s="4" t="s">
        <v>80</v>
      </c>
      <c r="G1131" s="4" t="s">
        <v>81</v>
      </c>
      <c r="H1131" s="4" t="s">
        <v>26</v>
      </c>
      <c r="I1131" s="5">
        <v>65000000</v>
      </c>
      <c r="J1131" s="5">
        <v>77000</v>
      </c>
      <c r="K1131" s="5">
        <v>7700</v>
      </c>
      <c r="L1131" s="4" t="s">
        <v>218</v>
      </c>
      <c r="M1131" s="4" t="s">
        <v>219</v>
      </c>
      <c r="N1131" s="3">
        <v>45894</v>
      </c>
      <c r="O1131" s="4" t="s">
        <v>283</v>
      </c>
      <c r="P1131" s="2">
        <v>3000</v>
      </c>
      <c r="Q1131" s="2">
        <v>5691</v>
      </c>
      <c r="R1131" s="4" t="s">
        <v>755</v>
      </c>
      <c r="S1131" s="5">
        <v>61690700</v>
      </c>
    </row>
    <row r="1132" spans="1:19" x14ac:dyDescent="0.25">
      <c r="A1132" s="4" t="s">
        <v>61</v>
      </c>
      <c r="B1132" s="4" t="s">
        <v>59</v>
      </c>
      <c r="C1132" s="4" t="s">
        <v>62</v>
      </c>
      <c r="D1132" s="4" t="s">
        <v>63</v>
      </c>
      <c r="E1132" s="4" t="s">
        <v>244</v>
      </c>
      <c r="F1132" s="4" t="s">
        <v>245</v>
      </c>
      <c r="G1132" s="4" t="s">
        <v>246</v>
      </c>
      <c r="H1132" s="4" t="s">
        <v>26</v>
      </c>
      <c r="I1132" s="5">
        <v>155000000</v>
      </c>
      <c r="J1132" s="5">
        <v>49500</v>
      </c>
      <c r="K1132" s="5">
        <v>4950</v>
      </c>
      <c r="L1132" s="4" t="s">
        <v>247</v>
      </c>
      <c r="M1132" s="4" t="s">
        <v>248</v>
      </c>
      <c r="N1132" s="3">
        <v>45884</v>
      </c>
      <c r="O1132" s="4" t="s">
        <v>459</v>
      </c>
      <c r="P1132" s="2">
        <v>1000</v>
      </c>
      <c r="Q1132" s="2">
        <v>5694</v>
      </c>
      <c r="R1132" s="4" t="s">
        <v>26</v>
      </c>
      <c r="S1132" s="5">
        <v>151077800</v>
      </c>
    </row>
    <row r="1133" spans="1:19" x14ac:dyDescent="0.25">
      <c r="A1133" s="4" t="s">
        <v>61</v>
      </c>
      <c r="B1133" s="4" t="s">
        <v>59</v>
      </c>
      <c r="C1133" s="4" t="s">
        <v>62</v>
      </c>
      <c r="D1133" s="4" t="s">
        <v>63</v>
      </c>
      <c r="E1133" s="4" t="s">
        <v>277</v>
      </c>
      <c r="F1133" s="4" t="s">
        <v>278</v>
      </c>
      <c r="G1133" s="4" t="s">
        <v>50</v>
      </c>
      <c r="H1133" s="4" t="s">
        <v>26</v>
      </c>
      <c r="I1133" s="5">
        <v>65000000</v>
      </c>
      <c r="J1133" s="5">
        <v>40000</v>
      </c>
      <c r="K1133" s="5">
        <v>4000</v>
      </c>
      <c r="L1133" s="4" t="s">
        <v>26</v>
      </c>
      <c r="M1133" s="4" t="s">
        <v>26</v>
      </c>
      <c r="N1133" s="3">
        <v>45884</v>
      </c>
      <c r="O1133" s="4" t="s">
        <v>459</v>
      </c>
      <c r="P1133" s="2">
        <v>1000</v>
      </c>
      <c r="Q1133" s="2">
        <v>5715</v>
      </c>
      <c r="R1133" s="4" t="s">
        <v>84</v>
      </c>
      <c r="S1133" s="5">
        <v>64145800</v>
      </c>
    </row>
    <row r="1134" spans="1:19" x14ac:dyDescent="0.25">
      <c r="A1134" s="4" t="s">
        <v>61</v>
      </c>
      <c r="B1134" s="4" t="s">
        <v>59</v>
      </c>
      <c r="C1134" s="4" t="s">
        <v>62</v>
      </c>
      <c r="D1134" s="4" t="s">
        <v>63</v>
      </c>
      <c r="E1134" s="4" t="s">
        <v>227</v>
      </c>
      <c r="F1134" s="4" t="s">
        <v>228</v>
      </c>
      <c r="G1134" s="4" t="s">
        <v>100</v>
      </c>
      <c r="H1134" s="4" t="s">
        <v>26</v>
      </c>
      <c r="I1134" s="5">
        <v>65000000</v>
      </c>
      <c r="J1134" s="5">
        <v>38500</v>
      </c>
      <c r="K1134" s="5">
        <v>3850</v>
      </c>
      <c r="L1134" s="4" t="s">
        <v>236</v>
      </c>
      <c r="M1134" s="4" t="s">
        <v>237</v>
      </c>
      <c r="N1134" s="3">
        <v>45895</v>
      </c>
      <c r="O1134" s="4" t="s">
        <v>283</v>
      </c>
      <c r="P1134" s="2">
        <v>1000</v>
      </c>
      <c r="Q1134" s="2">
        <v>5768</v>
      </c>
      <c r="R1134" s="4" t="s">
        <v>755</v>
      </c>
      <c r="S1134" s="5">
        <v>62005700</v>
      </c>
    </row>
    <row r="1135" spans="1:19" x14ac:dyDescent="0.25">
      <c r="A1135" s="4" t="s">
        <v>61</v>
      </c>
      <c r="B1135" s="4" t="s">
        <v>59</v>
      </c>
      <c r="C1135" s="4" t="s">
        <v>62</v>
      </c>
      <c r="D1135" s="4" t="s">
        <v>63</v>
      </c>
      <c r="E1135" s="4" t="s">
        <v>227</v>
      </c>
      <c r="F1135" s="4" t="s">
        <v>228</v>
      </c>
      <c r="G1135" s="4" t="s">
        <v>100</v>
      </c>
      <c r="H1135" s="4" t="s">
        <v>26</v>
      </c>
      <c r="I1135" s="5">
        <v>65000000</v>
      </c>
      <c r="J1135" s="5">
        <v>88000</v>
      </c>
      <c r="K1135" s="5">
        <v>8800</v>
      </c>
      <c r="L1135" s="4" t="s">
        <v>236</v>
      </c>
      <c r="M1135" s="4" t="s">
        <v>237</v>
      </c>
      <c r="N1135" s="3">
        <v>45895</v>
      </c>
      <c r="O1135" s="4" t="s">
        <v>283</v>
      </c>
      <c r="P1135" s="2">
        <v>2000</v>
      </c>
      <c r="Q1135" s="2">
        <v>5768</v>
      </c>
      <c r="R1135" s="4" t="s">
        <v>755</v>
      </c>
      <c r="S1135" s="5">
        <v>62005700</v>
      </c>
    </row>
    <row r="1136" spans="1:19" x14ac:dyDescent="0.25">
      <c r="A1136" s="4" t="s">
        <v>61</v>
      </c>
      <c r="B1136" s="4" t="s">
        <v>59</v>
      </c>
      <c r="C1136" s="4" t="s">
        <v>62</v>
      </c>
      <c r="D1136" s="4" t="s">
        <v>63</v>
      </c>
      <c r="E1136" s="4" t="s">
        <v>210</v>
      </c>
      <c r="F1136" s="4" t="s">
        <v>211</v>
      </c>
      <c r="G1136" s="4" t="s">
        <v>50</v>
      </c>
      <c r="H1136" s="4" t="s">
        <v>26</v>
      </c>
      <c r="I1136" s="5">
        <v>65000000</v>
      </c>
      <c r="J1136" s="5">
        <v>102000</v>
      </c>
      <c r="K1136" s="5">
        <v>10200</v>
      </c>
      <c r="L1136" s="4" t="s">
        <v>212</v>
      </c>
      <c r="M1136" s="4" t="s">
        <v>213</v>
      </c>
      <c r="N1136" s="3">
        <v>45881</v>
      </c>
      <c r="O1136" s="4" t="s">
        <v>154</v>
      </c>
      <c r="P1136" s="2">
        <v>1000</v>
      </c>
      <c r="Q1136" s="2">
        <v>5772</v>
      </c>
      <c r="R1136" s="4" t="s">
        <v>26</v>
      </c>
      <c r="S1136" s="5">
        <v>63482950</v>
      </c>
    </row>
    <row r="1137" spans="1:19" x14ac:dyDescent="0.25">
      <c r="A1137" s="4" t="s">
        <v>61</v>
      </c>
      <c r="B1137" s="4" t="s">
        <v>59</v>
      </c>
      <c r="C1137" s="4" t="s">
        <v>62</v>
      </c>
      <c r="D1137" s="4" t="s">
        <v>63</v>
      </c>
      <c r="E1137" s="4" t="s">
        <v>210</v>
      </c>
      <c r="F1137" s="4" t="s">
        <v>211</v>
      </c>
      <c r="G1137" s="4" t="s">
        <v>50</v>
      </c>
      <c r="H1137" s="4" t="s">
        <v>26</v>
      </c>
      <c r="I1137" s="5">
        <v>65000000</v>
      </c>
      <c r="J1137" s="5">
        <v>29750</v>
      </c>
      <c r="K1137" s="5">
        <v>2975</v>
      </c>
      <c r="L1137" s="4" t="s">
        <v>212</v>
      </c>
      <c r="M1137" s="4" t="s">
        <v>213</v>
      </c>
      <c r="N1137" s="3">
        <v>45881</v>
      </c>
      <c r="O1137" s="4" t="s">
        <v>154</v>
      </c>
      <c r="P1137" s="2">
        <v>2000</v>
      </c>
      <c r="Q1137" s="2">
        <v>5772</v>
      </c>
      <c r="R1137" s="4" t="s">
        <v>26</v>
      </c>
      <c r="S1137" s="5">
        <v>63482950</v>
      </c>
    </row>
    <row r="1138" spans="1:19" x14ac:dyDescent="0.25">
      <c r="A1138" s="4" t="s">
        <v>61</v>
      </c>
      <c r="B1138" s="4" t="s">
        <v>59</v>
      </c>
      <c r="C1138" s="4" t="s">
        <v>62</v>
      </c>
      <c r="D1138" s="4" t="s">
        <v>63</v>
      </c>
      <c r="E1138" s="4" t="s">
        <v>178</v>
      </c>
      <c r="F1138" s="4" t="s">
        <v>179</v>
      </c>
      <c r="G1138" s="4" t="s">
        <v>124</v>
      </c>
      <c r="H1138" s="4" t="s">
        <v>26</v>
      </c>
      <c r="I1138" s="5">
        <v>65000000</v>
      </c>
      <c r="J1138" s="5">
        <v>29750</v>
      </c>
      <c r="K1138" s="5">
        <v>2975</v>
      </c>
      <c r="L1138" s="4" t="s">
        <v>26</v>
      </c>
      <c r="M1138" s="4" t="s">
        <v>26</v>
      </c>
      <c r="N1138" s="3">
        <v>45881</v>
      </c>
      <c r="O1138" s="4" t="s">
        <v>154</v>
      </c>
      <c r="P1138" s="2">
        <v>1000</v>
      </c>
      <c r="Q1138" s="2">
        <v>5775</v>
      </c>
      <c r="R1138" s="4" t="s">
        <v>84</v>
      </c>
      <c r="S1138" s="5">
        <v>54146650</v>
      </c>
    </row>
    <row r="1139" spans="1:19" x14ac:dyDescent="0.25">
      <c r="A1139" s="4" t="s">
        <v>61</v>
      </c>
      <c r="B1139" s="4" t="s">
        <v>59</v>
      </c>
      <c r="C1139" s="4" t="s">
        <v>62</v>
      </c>
      <c r="D1139" s="4" t="s">
        <v>63</v>
      </c>
      <c r="E1139" s="4" t="s">
        <v>103</v>
      </c>
      <c r="F1139" s="4" t="s">
        <v>104</v>
      </c>
      <c r="G1139" s="4" t="s">
        <v>105</v>
      </c>
      <c r="H1139" s="4" t="s">
        <v>26</v>
      </c>
      <c r="I1139" s="5">
        <v>155000000</v>
      </c>
      <c r="J1139" s="5">
        <v>87200</v>
      </c>
      <c r="K1139" s="5">
        <v>8720</v>
      </c>
      <c r="L1139" s="4" t="s">
        <v>26</v>
      </c>
      <c r="M1139" s="4" t="s">
        <v>26</v>
      </c>
      <c r="N1139" s="3">
        <v>45887</v>
      </c>
      <c r="O1139" s="4" t="s">
        <v>565</v>
      </c>
      <c r="P1139" s="2">
        <v>1000</v>
      </c>
      <c r="Q1139" s="2">
        <v>5786</v>
      </c>
      <c r="R1139" s="4" t="s">
        <v>749</v>
      </c>
      <c r="S1139" s="5">
        <v>150234500</v>
      </c>
    </row>
    <row r="1140" spans="1:19" x14ac:dyDescent="0.25">
      <c r="A1140" s="4" t="s">
        <v>61</v>
      </c>
      <c r="B1140" s="4" t="s">
        <v>59</v>
      </c>
      <c r="C1140" s="4" t="s">
        <v>62</v>
      </c>
      <c r="D1140" s="4" t="s">
        <v>63</v>
      </c>
      <c r="E1140" s="4" t="s">
        <v>125</v>
      </c>
      <c r="F1140" s="4" t="s">
        <v>126</v>
      </c>
      <c r="G1140" s="4" t="s">
        <v>97</v>
      </c>
      <c r="H1140" s="4" t="s">
        <v>26</v>
      </c>
      <c r="I1140" s="5">
        <v>155000000</v>
      </c>
      <c r="J1140" s="5">
        <v>75000</v>
      </c>
      <c r="K1140" s="5">
        <v>7500</v>
      </c>
      <c r="L1140" s="4" t="s">
        <v>26</v>
      </c>
      <c r="M1140" s="4" t="s">
        <v>26</v>
      </c>
      <c r="N1140" s="3">
        <v>45884</v>
      </c>
      <c r="O1140" s="4" t="s">
        <v>51</v>
      </c>
      <c r="P1140" s="2">
        <v>1000</v>
      </c>
      <c r="Q1140" s="2">
        <v>5787</v>
      </c>
      <c r="R1140" s="4" t="s">
        <v>749</v>
      </c>
      <c r="S1140" s="5">
        <v>152550000</v>
      </c>
    </row>
    <row r="1141" spans="1:19" x14ac:dyDescent="0.25">
      <c r="A1141" s="4" t="s">
        <v>61</v>
      </c>
      <c r="B1141" s="4" t="s">
        <v>59</v>
      </c>
      <c r="C1141" s="4" t="s">
        <v>62</v>
      </c>
      <c r="D1141" s="4" t="s">
        <v>63</v>
      </c>
      <c r="E1141" s="4" t="s">
        <v>89</v>
      </c>
      <c r="F1141" s="4" t="s">
        <v>90</v>
      </c>
      <c r="G1141" s="4" t="s">
        <v>91</v>
      </c>
      <c r="H1141" s="4" t="s">
        <v>26</v>
      </c>
      <c r="I1141" s="5">
        <v>65000000</v>
      </c>
      <c r="J1141" s="5">
        <v>70550</v>
      </c>
      <c r="K1141" s="5">
        <v>7055</v>
      </c>
      <c r="L1141" s="4" t="s">
        <v>26</v>
      </c>
      <c r="M1141" s="4" t="s">
        <v>26</v>
      </c>
      <c r="N1141" s="3">
        <v>45884</v>
      </c>
      <c r="O1141" s="4" t="s">
        <v>459</v>
      </c>
      <c r="P1141" s="2">
        <v>1000</v>
      </c>
      <c r="Q1141" s="2">
        <v>5800</v>
      </c>
      <c r="R1141" s="4" t="s">
        <v>755</v>
      </c>
      <c r="S1141" s="5">
        <v>60891200</v>
      </c>
    </row>
    <row r="1142" spans="1:19" x14ac:dyDescent="0.25">
      <c r="A1142" s="4" t="s">
        <v>61</v>
      </c>
      <c r="B1142" s="4" t="s">
        <v>59</v>
      </c>
      <c r="C1142" s="4" t="s">
        <v>62</v>
      </c>
      <c r="D1142" s="4" t="s">
        <v>63</v>
      </c>
      <c r="E1142" s="4" t="s">
        <v>394</v>
      </c>
      <c r="F1142" s="4" t="s">
        <v>395</v>
      </c>
      <c r="G1142" s="4" t="s">
        <v>50</v>
      </c>
      <c r="H1142" s="4" t="s">
        <v>26</v>
      </c>
      <c r="I1142" s="5">
        <v>65000000</v>
      </c>
      <c r="J1142" s="5">
        <v>136000</v>
      </c>
      <c r="K1142" s="5">
        <v>13600</v>
      </c>
      <c r="L1142" s="4" t="s">
        <v>396</v>
      </c>
      <c r="M1142" s="4" t="s">
        <v>397</v>
      </c>
      <c r="N1142" s="3">
        <v>45895</v>
      </c>
      <c r="O1142" s="4" t="s">
        <v>283</v>
      </c>
      <c r="P1142" s="2">
        <v>1000</v>
      </c>
      <c r="Q1142" s="2">
        <v>5813</v>
      </c>
      <c r="R1142" s="4" t="s">
        <v>84</v>
      </c>
      <c r="S1142" s="5">
        <v>54375310</v>
      </c>
    </row>
    <row r="1143" spans="1:19" x14ac:dyDescent="0.25">
      <c r="A1143" s="4" t="s">
        <v>61</v>
      </c>
      <c r="B1143" s="4" t="s">
        <v>59</v>
      </c>
      <c r="C1143" s="4" t="s">
        <v>62</v>
      </c>
      <c r="D1143" s="4" t="s">
        <v>63</v>
      </c>
      <c r="E1143" s="4" t="s">
        <v>394</v>
      </c>
      <c r="F1143" s="4" t="s">
        <v>395</v>
      </c>
      <c r="G1143" s="4" t="s">
        <v>50</v>
      </c>
      <c r="H1143" s="4" t="s">
        <v>26</v>
      </c>
      <c r="I1143" s="5">
        <v>65000000</v>
      </c>
      <c r="J1143" s="5">
        <v>114000</v>
      </c>
      <c r="K1143" s="5">
        <v>11400</v>
      </c>
      <c r="L1143" s="4" t="s">
        <v>396</v>
      </c>
      <c r="M1143" s="4" t="s">
        <v>397</v>
      </c>
      <c r="N1143" s="3">
        <v>45895</v>
      </c>
      <c r="O1143" s="4" t="s">
        <v>283</v>
      </c>
      <c r="P1143" s="2">
        <v>2000</v>
      </c>
      <c r="Q1143" s="2">
        <v>5813</v>
      </c>
      <c r="R1143" s="4" t="s">
        <v>84</v>
      </c>
      <c r="S1143" s="5">
        <v>54375310</v>
      </c>
    </row>
    <row r="1144" spans="1:19" x14ac:dyDescent="0.25">
      <c r="A1144" s="4" t="s">
        <v>61</v>
      </c>
      <c r="B1144" s="4" t="s">
        <v>59</v>
      </c>
      <c r="C1144" s="4" t="s">
        <v>62</v>
      </c>
      <c r="D1144" s="4" t="s">
        <v>63</v>
      </c>
      <c r="E1144" s="4" t="s">
        <v>394</v>
      </c>
      <c r="F1144" s="4" t="s">
        <v>395</v>
      </c>
      <c r="G1144" s="4" t="s">
        <v>50</v>
      </c>
      <c r="H1144" s="4" t="s">
        <v>26</v>
      </c>
      <c r="I1144" s="5">
        <v>65000000</v>
      </c>
      <c r="J1144" s="5">
        <v>140000</v>
      </c>
      <c r="K1144" s="5">
        <v>14000</v>
      </c>
      <c r="L1144" s="4" t="s">
        <v>396</v>
      </c>
      <c r="M1144" s="4" t="s">
        <v>397</v>
      </c>
      <c r="N1144" s="3">
        <v>45895</v>
      </c>
      <c r="O1144" s="4" t="s">
        <v>283</v>
      </c>
      <c r="P1144" s="2">
        <v>3000</v>
      </c>
      <c r="Q1144" s="2">
        <v>5813</v>
      </c>
      <c r="R1144" s="4" t="s">
        <v>84</v>
      </c>
      <c r="S1144" s="5">
        <v>54375310</v>
      </c>
    </row>
    <row r="1145" spans="1:19" x14ac:dyDescent="0.25">
      <c r="A1145" s="4" t="s">
        <v>61</v>
      </c>
      <c r="B1145" s="4" t="s">
        <v>59</v>
      </c>
      <c r="C1145" s="4" t="s">
        <v>62</v>
      </c>
      <c r="D1145" s="4" t="s">
        <v>63</v>
      </c>
      <c r="E1145" s="4" t="s">
        <v>394</v>
      </c>
      <c r="F1145" s="4" t="s">
        <v>395</v>
      </c>
      <c r="G1145" s="4" t="s">
        <v>50</v>
      </c>
      <c r="H1145" s="4" t="s">
        <v>26</v>
      </c>
      <c r="I1145" s="5">
        <v>65000000</v>
      </c>
      <c r="J1145" s="5">
        <v>127000</v>
      </c>
      <c r="K1145" s="5">
        <v>12700</v>
      </c>
      <c r="L1145" s="4" t="s">
        <v>396</v>
      </c>
      <c r="M1145" s="4" t="s">
        <v>397</v>
      </c>
      <c r="N1145" s="3">
        <v>45895</v>
      </c>
      <c r="O1145" s="4" t="s">
        <v>283</v>
      </c>
      <c r="P1145" s="2">
        <v>4000</v>
      </c>
      <c r="Q1145" s="2">
        <v>5813</v>
      </c>
      <c r="R1145" s="4" t="s">
        <v>84</v>
      </c>
      <c r="S1145" s="5">
        <v>54375310</v>
      </c>
    </row>
    <row r="1146" spans="1:19" x14ac:dyDescent="0.25">
      <c r="A1146" s="4" t="s">
        <v>61</v>
      </c>
      <c r="B1146" s="4" t="s">
        <v>59</v>
      </c>
      <c r="C1146" s="4" t="s">
        <v>62</v>
      </c>
      <c r="D1146" s="4" t="s">
        <v>63</v>
      </c>
      <c r="E1146" s="4" t="s">
        <v>69</v>
      </c>
      <c r="F1146" s="4" t="s">
        <v>70</v>
      </c>
      <c r="G1146" s="4" t="s">
        <v>71</v>
      </c>
      <c r="H1146" s="4" t="s">
        <v>26</v>
      </c>
      <c r="I1146" s="5">
        <v>155000000</v>
      </c>
      <c r="J1146" s="5">
        <v>41300</v>
      </c>
      <c r="K1146" s="5">
        <v>4130</v>
      </c>
      <c r="L1146" s="4" t="s">
        <v>72</v>
      </c>
      <c r="M1146" s="4" t="s">
        <v>73</v>
      </c>
      <c r="N1146" s="3">
        <v>45887</v>
      </c>
      <c r="O1146" s="4" t="s">
        <v>565</v>
      </c>
      <c r="P1146" s="2">
        <v>1000</v>
      </c>
      <c r="Q1146" s="2">
        <v>5814</v>
      </c>
      <c r="R1146" s="4" t="s">
        <v>26</v>
      </c>
      <c r="S1146" s="5">
        <v>143018000</v>
      </c>
    </row>
    <row r="1147" spans="1:19" x14ac:dyDescent="0.25">
      <c r="A1147" s="4" t="s">
        <v>61</v>
      </c>
      <c r="B1147" s="4" t="s">
        <v>59</v>
      </c>
      <c r="C1147" s="4" t="s">
        <v>62</v>
      </c>
      <c r="D1147" s="4" t="s">
        <v>63</v>
      </c>
      <c r="E1147" s="4" t="s">
        <v>514</v>
      </c>
      <c r="F1147" s="4" t="s">
        <v>515</v>
      </c>
      <c r="G1147" s="4" t="s">
        <v>190</v>
      </c>
      <c r="H1147" s="4" t="s">
        <v>26</v>
      </c>
      <c r="I1147" s="5">
        <v>90000000</v>
      </c>
      <c r="J1147" s="5">
        <v>30000</v>
      </c>
      <c r="K1147" s="5">
        <v>3000</v>
      </c>
      <c r="L1147" s="4" t="s">
        <v>516</v>
      </c>
      <c r="M1147" s="4" t="s">
        <v>517</v>
      </c>
      <c r="N1147" s="3">
        <v>45884</v>
      </c>
      <c r="O1147" s="4" t="s">
        <v>459</v>
      </c>
      <c r="P1147" s="2">
        <v>1000</v>
      </c>
      <c r="Q1147" s="2">
        <v>5815</v>
      </c>
      <c r="R1147" s="4" t="s">
        <v>84</v>
      </c>
      <c r="S1147" s="5">
        <v>88751000</v>
      </c>
    </row>
    <row r="1148" spans="1:19" x14ac:dyDescent="0.25">
      <c r="A1148" s="4" t="s">
        <v>61</v>
      </c>
      <c r="B1148" s="4" t="s">
        <v>59</v>
      </c>
      <c r="C1148" s="4" t="s">
        <v>62</v>
      </c>
      <c r="D1148" s="4" t="s">
        <v>63</v>
      </c>
      <c r="E1148" s="4" t="s">
        <v>468</v>
      </c>
      <c r="F1148" s="4" t="s">
        <v>469</v>
      </c>
      <c r="G1148" s="4" t="s">
        <v>76</v>
      </c>
      <c r="H1148" s="4" t="s">
        <v>26</v>
      </c>
      <c r="I1148" s="5">
        <v>110000000</v>
      </c>
      <c r="J1148" s="5">
        <v>40500</v>
      </c>
      <c r="K1148" s="5">
        <v>4050</v>
      </c>
      <c r="L1148" s="4" t="s">
        <v>470</v>
      </c>
      <c r="M1148" s="4" t="s">
        <v>471</v>
      </c>
      <c r="N1148" s="3">
        <v>45884</v>
      </c>
      <c r="O1148" s="4" t="s">
        <v>459</v>
      </c>
      <c r="P1148" s="2">
        <v>1000</v>
      </c>
      <c r="Q1148" s="2">
        <v>5817</v>
      </c>
      <c r="R1148" s="4" t="s">
        <v>747</v>
      </c>
      <c r="S1148" s="5">
        <v>109350000</v>
      </c>
    </row>
    <row r="1149" spans="1:19" x14ac:dyDescent="0.25">
      <c r="A1149" s="4" t="s">
        <v>61</v>
      </c>
      <c r="B1149" s="4" t="s">
        <v>59</v>
      </c>
      <c r="C1149" s="4" t="s">
        <v>62</v>
      </c>
      <c r="D1149" s="4" t="s">
        <v>63</v>
      </c>
      <c r="E1149" s="4" t="s">
        <v>468</v>
      </c>
      <c r="F1149" s="4" t="s">
        <v>469</v>
      </c>
      <c r="G1149" s="4" t="s">
        <v>76</v>
      </c>
      <c r="H1149" s="4" t="s">
        <v>26</v>
      </c>
      <c r="I1149" s="5">
        <v>110000000</v>
      </c>
      <c r="J1149" s="5">
        <v>40500</v>
      </c>
      <c r="K1149" s="5">
        <v>4050</v>
      </c>
      <c r="L1149" s="4" t="s">
        <v>470</v>
      </c>
      <c r="M1149" s="4" t="s">
        <v>471</v>
      </c>
      <c r="N1149" s="3">
        <v>45884</v>
      </c>
      <c r="O1149" s="4" t="s">
        <v>459</v>
      </c>
      <c r="P1149" s="2">
        <v>2000</v>
      </c>
      <c r="Q1149" s="2">
        <v>5817</v>
      </c>
      <c r="R1149" s="4" t="s">
        <v>747</v>
      </c>
      <c r="S1149" s="5">
        <v>109350000</v>
      </c>
    </row>
    <row r="1150" spans="1:19" x14ac:dyDescent="0.25">
      <c r="A1150" s="4" t="s">
        <v>61</v>
      </c>
      <c r="B1150" s="4" t="s">
        <v>59</v>
      </c>
      <c r="C1150" s="4" t="s">
        <v>62</v>
      </c>
      <c r="D1150" s="4" t="s">
        <v>63</v>
      </c>
      <c r="E1150" s="4" t="s">
        <v>255</v>
      </c>
      <c r="F1150" s="4" t="s">
        <v>256</v>
      </c>
      <c r="G1150" s="4" t="s">
        <v>144</v>
      </c>
      <c r="H1150" s="4" t="s">
        <v>26</v>
      </c>
      <c r="I1150" s="5">
        <v>90000000</v>
      </c>
      <c r="J1150" s="5">
        <v>38500</v>
      </c>
      <c r="K1150" s="5">
        <v>3850</v>
      </c>
      <c r="L1150" s="4" t="s">
        <v>281</v>
      </c>
      <c r="M1150" s="4" t="s">
        <v>282</v>
      </c>
      <c r="N1150" s="3">
        <v>45895</v>
      </c>
      <c r="O1150" s="4" t="s">
        <v>283</v>
      </c>
      <c r="P1150" s="2">
        <v>1000</v>
      </c>
      <c r="Q1150" s="2">
        <v>5838</v>
      </c>
      <c r="R1150" s="4" t="s">
        <v>755</v>
      </c>
      <c r="S1150" s="5">
        <v>81505500</v>
      </c>
    </row>
    <row r="1151" spans="1:19" x14ac:dyDescent="0.25">
      <c r="A1151" s="4" t="s">
        <v>61</v>
      </c>
      <c r="B1151" s="4" t="s">
        <v>59</v>
      </c>
      <c r="C1151" s="4" t="s">
        <v>62</v>
      </c>
      <c r="D1151" s="4" t="s">
        <v>63</v>
      </c>
      <c r="E1151" s="4" t="s">
        <v>227</v>
      </c>
      <c r="F1151" s="4" t="s">
        <v>228</v>
      </c>
      <c r="G1151" s="4" t="s">
        <v>100</v>
      </c>
      <c r="H1151" s="4" t="s">
        <v>26</v>
      </c>
      <c r="I1151" s="5">
        <v>65000000</v>
      </c>
      <c r="J1151" s="5">
        <v>671400</v>
      </c>
      <c r="K1151" s="5">
        <v>67140</v>
      </c>
      <c r="L1151" s="4" t="s">
        <v>726</v>
      </c>
      <c r="M1151" s="4" t="s">
        <v>727</v>
      </c>
      <c r="N1151" s="3">
        <v>45886</v>
      </c>
      <c r="O1151" s="4" t="s">
        <v>719</v>
      </c>
      <c r="P1151" s="2">
        <v>1000</v>
      </c>
      <c r="Q1151" s="2">
        <v>5838</v>
      </c>
      <c r="R1151" s="4" t="s">
        <v>26</v>
      </c>
      <c r="S1151" s="5">
        <v>62005700</v>
      </c>
    </row>
    <row r="1152" spans="1:19" x14ac:dyDescent="0.25">
      <c r="A1152" s="4" t="s">
        <v>61</v>
      </c>
      <c r="B1152" s="4" t="s">
        <v>59</v>
      </c>
      <c r="C1152" s="4" t="s">
        <v>62</v>
      </c>
      <c r="D1152" s="4" t="s">
        <v>63</v>
      </c>
      <c r="E1152" s="4" t="s">
        <v>170</v>
      </c>
      <c r="F1152" s="4" t="s">
        <v>171</v>
      </c>
      <c r="G1152" s="4" t="s">
        <v>50</v>
      </c>
      <c r="H1152" s="4" t="s">
        <v>26</v>
      </c>
      <c r="I1152" s="5">
        <v>65000000</v>
      </c>
      <c r="J1152" s="5">
        <v>114400</v>
      </c>
      <c r="K1152" s="5">
        <v>11440</v>
      </c>
      <c r="L1152" s="4" t="s">
        <v>172</v>
      </c>
      <c r="M1152" s="4" t="s">
        <v>173</v>
      </c>
      <c r="N1152" s="3">
        <v>45884</v>
      </c>
      <c r="O1152" s="4" t="s">
        <v>459</v>
      </c>
      <c r="P1152" s="2">
        <v>1000</v>
      </c>
      <c r="Q1152" s="2">
        <v>5862</v>
      </c>
      <c r="R1152" s="4" t="s">
        <v>755</v>
      </c>
      <c r="S1152" s="5">
        <v>59051100</v>
      </c>
    </row>
    <row r="1153" spans="1:19" x14ac:dyDescent="0.25">
      <c r="A1153" s="4" t="s">
        <v>61</v>
      </c>
      <c r="B1153" s="4" t="s">
        <v>59</v>
      </c>
      <c r="C1153" s="4" t="s">
        <v>62</v>
      </c>
      <c r="D1153" s="4" t="s">
        <v>63</v>
      </c>
      <c r="E1153" s="4" t="s">
        <v>155</v>
      </c>
      <c r="F1153" s="4" t="s">
        <v>156</v>
      </c>
      <c r="G1153" s="4" t="s">
        <v>157</v>
      </c>
      <c r="H1153" s="4" t="s">
        <v>26</v>
      </c>
      <c r="I1153" s="5">
        <v>90000000</v>
      </c>
      <c r="J1153" s="5">
        <v>50000</v>
      </c>
      <c r="K1153" s="5">
        <v>5000</v>
      </c>
      <c r="L1153" s="4" t="s">
        <v>158</v>
      </c>
      <c r="M1153" s="4" t="s">
        <v>159</v>
      </c>
      <c r="N1153" s="3">
        <v>45884</v>
      </c>
      <c r="O1153" s="4" t="s">
        <v>459</v>
      </c>
      <c r="P1153" s="2">
        <v>1000</v>
      </c>
      <c r="Q1153" s="2">
        <v>5888</v>
      </c>
      <c r="R1153" s="4" t="s">
        <v>747</v>
      </c>
      <c r="S1153" s="5">
        <v>87868500</v>
      </c>
    </row>
    <row r="1154" spans="1:19" x14ac:dyDescent="0.25">
      <c r="A1154" s="4" t="s">
        <v>61</v>
      </c>
      <c r="B1154" s="4" t="s">
        <v>59</v>
      </c>
      <c r="C1154" s="4" t="s">
        <v>62</v>
      </c>
      <c r="D1154" s="4" t="s">
        <v>63</v>
      </c>
      <c r="E1154" s="4" t="s">
        <v>103</v>
      </c>
      <c r="F1154" s="4" t="s">
        <v>104</v>
      </c>
      <c r="G1154" s="4" t="s">
        <v>105</v>
      </c>
      <c r="H1154" s="4" t="s">
        <v>26</v>
      </c>
      <c r="I1154" s="5">
        <v>155000000</v>
      </c>
      <c r="J1154" s="5">
        <v>39200</v>
      </c>
      <c r="K1154" s="5">
        <v>3920</v>
      </c>
      <c r="L1154" s="4" t="s">
        <v>26</v>
      </c>
      <c r="M1154" s="4" t="s">
        <v>26</v>
      </c>
      <c r="N1154" s="3">
        <v>45885</v>
      </c>
      <c r="O1154" s="4" t="s">
        <v>51</v>
      </c>
      <c r="P1154" s="2">
        <v>1000</v>
      </c>
      <c r="Q1154" s="2">
        <v>5921</v>
      </c>
      <c r="R1154" s="4" t="s">
        <v>749</v>
      </c>
      <c r="S1154" s="5">
        <v>150234500</v>
      </c>
    </row>
    <row r="1155" spans="1:19" x14ac:dyDescent="0.25">
      <c r="A1155" s="4" t="s">
        <v>61</v>
      </c>
      <c r="B1155" s="4" t="s">
        <v>59</v>
      </c>
      <c r="C1155" s="4" t="s">
        <v>62</v>
      </c>
      <c r="D1155" s="4" t="s">
        <v>63</v>
      </c>
      <c r="E1155" s="4" t="s">
        <v>79</v>
      </c>
      <c r="F1155" s="4" t="s">
        <v>80</v>
      </c>
      <c r="G1155" s="4" t="s">
        <v>81</v>
      </c>
      <c r="H1155" s="4" t="s">
        <v>26</v>
      </c>
      <c r="I1155" s="5">
        <v>65000000</v>
      </c>
      <c r="J1155" s="5">
        <v>55250</v>
      </c>
      <c r="K1155" s="5">
        <v>5525</v>
      </c>
      <c r="L1155" s="4" t="s">
        <v>518</v>
      </c>
      <c r="M1155" s="4" t="s">
        <v>519</v>
      </c>
      <c r="N1155" s="3">
        <v>45884</v>
      </c>
      <c r="O1155" s="4" t="s">
        <v>459</v>
      </c>
      <c r="P1155" s="2">
        <v>1000</v>
      </c>
      <c r="Q1155" s="2">
        <v>5996</v>
      </c>
      <c r="R1155" s="4" t="s">
        <v>755</v>
      </c>
      <c r="S1155" s="5">
        <v>61690700</v>
      </c>
    </row>
    <row r="1156" spans="1:19" x14ac:dyDescent="0.25">
      <c r="A1156" s="4" t="s">
        <v>61</v>
      </c>
      <c r="B1156" s="4" t="s">
        <v>59</v>
      </c>
      <c r="C1156" s="4" t="s">
        <v>62</v>
      </c>
      <c r="D1156" s="4" t="s">
        <v>63</v>
      </c>
      <c r="E1156" s="4" t="s">
        <v>79</v>
      </c>
      <c r="F1156" s="4" t="s">
        <v>80</v>
      </c>
      <c r="G1156" s="4" t="s">
        <v>81</v>
      </c>
      <c r="H1156" s="4" t="s">
        <v>26</v>
      </c>
      <c r="I1156" s="5">
        <v>65000000</v>
      </c>
      <c r="J1156" s="5">
        <v>46750</v>
      </c>
      <c r="K1156" s="5">
        <v>4675</v>
      </c>
      <c r="L1156" s="4" t="s">
        <v>518</v>
      </c>
      <c r="M1156" s="4" t="s">
        <v>519</v>
      </c>
      <c r="N1156" s="3">
        <v>45884</v>
      </c>
      <c r="O1156" s="4" t="s">
        <v>459</v>
      </c>
      <c r="P1156" s="2">
        <v>2000</v>
      </c>
      <c r="Q1156" s="2">
        <v>5996</v>
      </c>
      <c r="R1156" s="4" t="s">
        <v>755</v>
      </c>
      <c r="S1156" s="5">
        <v>61690700</v>
      </c>
    </row>
    <row r="1157" spans="1:19" x14ac:dyDescent="0.25">
      <c r="A1157" s="4" t="s">
        <v>61</v>
      </c>
      <c r="B1157" s="4" t="s">
        <v>59</v>
      </c>
      <c r="C1157" s="4" t="s">
        <v>62</v>
      </c>
      <c r="D1157" s="4" t="s">
        <v>63</v>
      </c>
      <c r="E1157" s="4" t="s">
        <v>79</v>
      </c>
      <c r="F1157" s="4" t="s">
        <v>80</v>
      </c>
      <c r="G1157" s="4" t="s">
        <v>81</v>
      </c>
      <c r="H1157" s="4" t="s">
        <v>26</v>
      </c>
      <c r="I1157" s="5">
        <v>65000000</v>
      </c>
      <c r="J1157" s="5">
        <v>63750</v>
      </c>
      <c r="K1157" s="5">
        <v>6375</v>
      </c>
      <c r="L1157" s="4" t="s">
        <v>518</v>
      </c>
      <c r="M1157" s="4" t="s">
        <v>519</v>
      </c>
      <c r="N1157" s="3">
        <v>45884</v>
      </c>
      <c r="O1157" s="4" t="s">
        <v>459</v>
      </c>
      <c r="P1157" s="2">
        <v>3000</v>
      </c>
      <c r="Q1157" s="2">
        <v>5996</v>
      </c>
      <c r="R1157" s="4" t="s">
        <v>755</v>
      </c>
      <c r="S1157" s="5">
        <v>61690700</v>
      </c>
    </row>
    <row r="1158" spans="1:19" x14ac:dyDescent="0.25">
      <c r="A1158" s="4" t="s">
        <v>61</v>
      </c>
      <c r="B1158" s="4" t="s">
        <v>59</v>
      </c>
      <c r="C1158" s="4" t="s">
        <v>62</v>
      </c>
      <c r="D1158" s="4" t="s">
        <v>63</v>
      </c>
      <c r="E1158" s="4" t="s">
        <v>79</v>
      </c>
      <c r="F1158" s="4" t="s">
        <v>80</v>
      </c>
      <c r="G1158" s="4" t="s">
        <v>81</v>
      </c>
      <c r="H1158" s="4" t="s">
        <v>26</v>
      </c>
      <c r="I1158" s="5">
        <v>65000000</v>
      </c>
      <c r="J1158" s="5">
        <v>21250</v>
      </c>
      <c r="K1158" s="5">
        <v>2125</v>
      </c>
      <c r="L1158" s="4" t="s">
        <v>518</v>
      </c>
      <c r="M1158" s="4" t="s">
        <v>519</v>
      </c>
      <c r="N1158" s="3">
        <v>45884</v>
      </c>
      <c r="O1158" s="4" t="s">
        <v>459</v>
      </c>
      <c r="P1158" s="2">
        <v>4000</v>
      </c>
      <c r="Q1158" s="2">
        <v>5996</v>
      </c>
      <c r="R1158" s="4" t="s">
        <v>755</v>
      </c>
      <c r="S1158" s="5">
        <v>61690700</v>
      </c>
    </row>
    <row r="1159" spans="1:19" x14ac:dyDescent="0.25">
      <c r="A1159" s="4" t="s">
        <v>61</v>
      </c>
      <c r="B1159" s="4" t="s">
        <v>59</v>
      </c>
      <c r="C1159" s="4" t="s">
        <v>62</v>
      </c>
      <c r="D1159" s="4" t="s">
        <v>63</v>
      </c>
      <c r="E1159" s="4" t="s">
        <v>79</v>
      </c>
      <c r="F1159" s="4" t="s">
        <v>80</v>
      </c>
      <c r="G1159" s="4" t="s">
        <v>81</v>
      </c>
      <c r="H1159" s="4" t="s">
        <v>26</v>
      </c>
      <c r="I1159" s="5">
        <v>65000000</v>
      </c>
      <c r="J1159" s="5">
        <v>140250</v>
      </c>
      <c r="K1159" s="5">
        <v>14025</v>
      </c>
      <c r="L1159" s="4" t="s">
        <v>518</v>
      </c>
      <c r="M1159" s="4" t="s">
        <v>519</v>
      </c>
      <c r="N1159" s="3">
        <v>45884</v>
      </c>
      <c r="O1159" s="4" t="s">
        <v>459</v>
      </c>
      <c r="P1159" s="2">
        <v>5000</v>
      </c>
      <c r="Q1159" s="2">
        <v>5996</v>
      </c>
      <c r="R1159" s="4" t="s">
        <v>755</v>
      </c>
      <c r="S1159" s="5">
        <v>61690700</v>
      </c>
    </row>
    <row r="1160" spans="1:19" x14ac:dyDescent="0.25">
      <c r="A1160" s="4" t="s">
        <v>61</v>
      </c>
      <c r="B1160" s="4" t="s">
        <v>59</v>
      </c>
      <c r="C1160" s="4" t="s">
        <v>62</v>
      </c>
      <c r="D1160" s="4" t="s">
        <v>63</v>
      </c>
      <c r="E1160" s="4" t="s">
        <v>79</v>
      </c>
      <c r="F1160" s="4" t="s">
        <v>80</v>
      </c>
      <c r="G1160" s="4" t="s">
        <v>81</v>
      </c>
      <c r="H1160" s="4" t="s">
        <v>26</v>
      </c>
      <c r="I1160" s="5">
        <v>65000000</v>
      </c>
      <c r="J1160" s="5">
        <v>165750</v>
      </c>
      <c r="K1160" s="5">
        <v>16575</v>
      </c>
      <c r="L1160" s="4" t="s">
        <v>518</v>
      </c>
      <c r="M1160" s="4" t="s">
        <v>519</v>
      </c>
      <c r="N1160" s="3">
        <v>45884</v>
      </c>
      <c r="O1160" s="4" t="s">
        <v>459</v>
      </c>
      <c r="P1160" s="2">
        <v>6000</v>
      </c>
      <c r="Q1160" s="2">
        <v>5996</v>
      </c>
      <c r="R1160" s="4" t="s">
        <v>755</v>
      </c>
      <c r="S1160" s="5">
        <v>61690700</v>
      </c>
    </row>
    <row r="1161" spans="1:19" x14ac:dyDescent="0.25">
      <c r="A1161" s="4" t="s">
        <v>61</v>
      </c>
      <c r="B1161" s="4" t="s">
        <v>59</v>
      </c>
      <c r="C1161" s="4" t="s">
        <v>62</v>
      </c>
      <c r="D1161" s="4" t="s">
        <v>63</v>
      </c>
      <c r="E1161" s="4" t="s">
        <v>79</v>
      </c>
      <c r="F1161" s="4" t="s">
        <v>80</v>
      </c>
      <c r="G1161" s="4" t="s">
        <v>81</v>
      </c>
      <c r="H1161" s="4" t="s">
        <v>26</v>
      </c>
      <c r="I1161" s="5">
        <v>65000000</v>
      </c>
      <c r="J1161" s="5">
        <v>106250</v>
      </c>
      <c r="K1161" s="5">
        <v>10625</v>
      </c>
      <c r="L1161" s="4" t="s">
        <v>518</v>
      </c>
      <c r="M1161" s="4" t="s">
        <v>519</v>
      </c>
      <c r="N1161" s="3">
        <v>45884</v>
      </c>
      <c r="O1161" s="4" t="s">
        <v>459</v>
      </c>
      <c r="P1161" s="2">
        <v>7000</v>
      </c>
      <c r="Q1161" s="2">
        <v>5996</v>
      </c>
      <c r="R1161" s="4" t="s">
        <v>755</v>
      </c>
      <c r="S1161" s="5">
        <v>61690700</v>
      </c>
    </row>
    <row r="1162" spans="1:19" x14ac:dyDescent="0.25">
      <c r="A1162" s="4" t="s">
        <v>61</v>
      </c>
      <c r="B1162" s="4" t="s">
        <v>59</v>
      </c>
      <c r="C1162" s="4" t="s">
        <v>62</v>
      </c>
      <c r="D1162" s="4" t="s">
        <v>63</v>
      </c>
      <c r="E1162" s="4" t="s">
        <v>79</v>
      </c>
      <c r="F1162" s="4" t="s">
        <v>80</v>
      </c>
      <c r="G1162" s="4" t="s">
        <v>81</v>
      </c>
      <c r="H1162" s="4" t="s">
        <v>26</v>
      </c>
      <c r="I1162" s="5">
        <v>65000000</v>
      </c>
      <c r="J1162" s="5">
        <v>21250</v>
      </c>
      <c r="K1162" s="5">
        <v>2125</v>
      </c>
      <c r="L1162" s="4" t="s">
        <v>518</v>
      </c>
      <c r="M1162" s="4" t="s">
        <v>519</v>
      </c>
      <c r="N1162" s="3">
        <v>45884</v>
      </c>
      <c r="O1162" s="4" t="s">
        <v>459</v>
      </c>
      <c r="P1162" s="2">
        <v>8000</v>
      </c>
      <c r="Q1162" s="2">
        <v>5996</v>
      </c>
      <c r="R1162" s="4" t="s">
        <v>755</v>
      </c>
      <c r="S1162" s="5">
        <v>61690700</v>
      </c>
    </row>
    <row r="1163" spans="1:19" x14ac:dyDescent="0.25">
      <c r="A1163" s="4" t="s">
        <v>61</v>
      </c>
      <c r="B1163" s="4" t="s">
        <v>59</v>
      </c>
      <c r="C1163" s="4" t="s">
        <v>62</v>
      </c>
      <c r="D1163" s="4" t="s">
        <v>63</v>
      </c>
      <c r="E1163" s="4" t="s">
        <v>193</v>
      </c>
      <c r="F1163" s="4" t="s">
        <v>194</v>
      </c>
      <c r="G1163" s="4" t="s">
        <v>105</v>
      </c>
      <c r="H1163" s="4" t="s">
        <v>26</v>
      </c>
      <c r="I1163" s="5">
        <v>155000000</v>
      </c>
      <c r="J1163" s="5">
        <v>100100</v>
      </c>
      <c r="K1163" s="5">
        <v>10010</v>
      </c>
      <c r="L1163" s="4" t="s">
        <v>195</v>
      </c>
      <c r="M1163" s="4" t="s">
        <v>196</v>
      </c>
      <c r="N1163" s="3">
        <v>45896</v>
      </c>
      <c r="O1163" s="4" t="s">
        <v>283</v>
      </c>
      <c r="P1163" s="2">
        <v>1000</v>
      </c>
      <c r="Q1163" s="2">
        <v>6008</v>
      </c>
      <c r="R1163" s="4" t="s">
        <v>755</v>
      </c>
      <c r="S1163" s="5">
        <v>149540330</v>
      </c>
    </row>
    <row r="1164" spans="1:19" x14ac:dyDescent="0.25">
      <c r="A1164" s="4" t="s">
        <v>61</v>
      </c>
      <c r="B1164" s="4" t="s">
        <v>59</v>
      </c>
      <c r="C1164" s="4" t="s">
        <v>62</v>
      </c>
      <c r="D1164" s="4" t="s">
        <v>63</v>
      </c>
      <c r="E1164" s="4" t="s">
        <v>193</v>
      </c>
      <c r="F1164" s="4" t="s">
        <v>194</v>
      </c>
      <c r="G1164" s="4" t="s">
        <v>105</v>
      </c>
      <c r="H1164" s="4" t="s">
        <v>26</v>
      </c>
      <c r="I1164" s="5">
        <v>155000000</v>
      </c>
      <c r="J1164" s="5">
        <v>53900</v>
      </c>
      <c r="K1164" s="5">
        <v>5390</v>
      </c>
      <c r="L1164" s="4" t="s">
        <v>195</v>
      </c>
      <c r="M1164" s="4" t="s">
        <v>196</v>
      </c>
      <c r="N1164" s="3">
        <v>45896</v>
      </c>
      <c r="O1164" s="4" t="s">
        <v>283</v>
      </c>
      <c r="P1164" s="2">
        <v>2000</v>
      </c>
      <c r="Q1164" s="2">
        <v>6008</v>
      </c>
      <c r="R1164" s="4" t="s">
        <v>755</v>
      </c>
      <c r="S1164" s="5">
        <v>149540330</v>
      </c>
    </row>
    <row r="1165" spans="1:19" x14ac:dyDescent="0.25">
      <c r="A1165" s="4" t="s">
        <v>61</v>
      </c>
      <c r="B1165" s="4" t="s">
        <v>59</v>
      </c>
      <c r="C1165" s="4" t="s">
        <v>62</v>
      </c>
      <c r="D1165" s="4" t="s">
        <v>63</v>
      </c>
      <c r="E1165" s="4" t="s">
        <v>79</v>
      </c>
      <c r="F1165" s="4" t="s">
        <v>80</v>
      </c>
      <c r="G1165" s="4" t="s">
        <v>81</v>
      </c>
      <c r="H1165" s="4" t="s">
        <v>26</v>
      </c>
      <c r="I1165" s="5">
        <v>65000000</v>
      </c>
      <c r="J1165" s="5">
        <v>166000</v>
      </c>
      <c r="K1165" s="5">
        <v>16600</v>
      </c>
      <c r="L1165" s="4" t="s">
        <v>26</v>
      </c>
      <c r="M1165" s="4" t="s">
        <v>26</v>
      </c>
      <c r="N1165" s="3">
        <v>45884</v>
      </c>
      <c r="O1165" s="4" t="s">
        <v>459</v>
      </c>
      <c r="P1165" s="2">
        <v>1000</v>
      </c>
      <c r="Q1165" s="2">
        <v>6022</v>
      </c>
      <c r="R1165" s="4" t="s">
        <v>768</v>
      </c>
      <c r="S1165" s="5">
        <v>61690700</v>
      </c>
    </row>
    <row r="1166" spans="1:19" x14ac:dyDescent="0.25">
      <c r="A1166" s="4" t="s">
        <v>61</v>
      </c>
      <c r="B1166" s="4" t="s">
        <v>59</v>
      </c>
      <c r="C1166" s="4" t="s">
        <v>62</v>
      </c>
      <c r="D1166" s="4" t="s">
        <v>63</v>
      </c>
      <c r="E1166" s="4" t="s">
        <v>220</v>
      </c>
      <c r="F1166" s="4" t="s">
        <v>221</v>
      </c>
      <c r="G1166" s="4" t="s">
        <v>222</v>
      </c>
      <c r="H1166" s="4" t="s">
        <v>26</v>
      </c>
      <c r="I1166" s="5">
        <v>110000000</v>
      </c>
      <c r="J1166" s="5">
        <v>60000</v>
      </c>
      <c r="K1166" s="5">
        <v>6000</v>
      </c>
      <c r="L1166" s="4" t="s">
        <v>223</v>
      </c>
      <c r="M1166" s="4" t="s">
        <v>224</v>
      </c>
      <c r="N1166" s="3">
        <v>45888</v>
      </c>
      <c r="O1166" s="4" t="s">
        <v>565</v>
      </c>
      <c r="P1166" s="2">
        <v>1000</v>
      </c>
      <c r="Q1166" s="2">
        <v>6023</v>
      </c>
      <c r="R1166" s="4" t="s">
        <v>749</v>
      </c>
      <c r="S1166" s="5">
        <v>109093400</v>
      </c>
    </row>
    <row r="1167" spans="1:19" x14ac:dyDescent="0.25">
      <c r="A1167" s="4" t="s">
        <v>61</v>
      </c>
      <c r="B1167" s="4" t="s">
        <v>59</v>
      </c>
      <c r="C1167" s="4" t="s">
        <v>62</v>
      </c>
      <c r="D1167" s="4" t="s">
        <v>63</v>
      </c>
      <c r="E1167" s="4" t="s">
        <v>220</v>
      </c>
      <c r="F1167" s="4" t="s">
        <v>221</v>
      </c>
      <c r="G1167" s="4" t="s">
        <v>222</v>
      </c>
      <c r="H1167" s="4" t="s">
        <v>26</v>
      </c>
      <c r="I1167" s="5">
        <v>110000000</v>
      </c>
      <c r="J1167" s="5">
        <v>150000</v>
      </c>
      <c r="K1167" s="5">
        <v>15000</v>
      </c>
      <c r="L1167" s="4" t="s">
        <v>223</v>
      </c>
      <c r="M1167" s="4" t="s">
        <v>224</v>
      </c>
      <c r="N1167" s="3">
        <v>45888</v>
      </c>
      <c r="O1167" s="4" t="s">
        <v>565</v>
      </c>
      <c r="P1167" s="2">
        <v>2000</v>
      </c>
      <c r="Q1167" s="2">
        <v>6023</v>
      </c>
      <c r="R1167" s="4" t="s">
        <v>749</v>
      </c>
      <c r="S1167" s="5">
        <v>109093400</v>
      </c>
    </row>
    <row r="1168" spans="1:19" x14ac:dyDescent="0.25">
      <c r="A1168" s="4" t="s">
        <v>61</v>
      </c>
      <c r="B1168" s="4" t="s">
        <v>59</v>
      </c>
      <c r="C1168" s="4" t="s">
        <v>62</v>
      </c>
      <c r="D1168" s="4" t="s">
        <v>63</v>
      </c>
      <c r="E1168" s="4" t="s">
        <v>293</v>
      </c>
      <c r="F1168" s="4" t="s">
        <v>294</v>
      </c>
      <c r="G1168" s="4" t="s">
        <v>100</v>
      </c>
      <c r="H1168" s="4" t="s">
        <v>26</v>
      </c>
      <c r="I1168" s="5">
        <v>65000000</v>
      </c>
      <c r="J1168" s="5">
        <v>79900</v>
      </c>
      <c r="K1168" s="5">
        <v>7990</v>
      </c>
      <c r="L1168" s="4" t="s">
        <v>295</v>
      </c>
      <c r="M1168" s="4" t="s">
        <v>296</v>
      </c>
      <c r="N1168" s="3">
        <v>45893</v>
      </c>
      <c r="O1168" s="4" t="s">
        <v>432</v>
      </c>
      <c r="P1168" s="2">
        <v>1000</v>
      </c>
      <c r="Q1168" s="2">
        <v>6030</v>
      </c>
      <c r="R1168" s="4" t="s">
        <v>755</v>
      </c>
      <c r="S1168" s="5">
        <v>63872000</v>
      </c>
    </row>
    <row r="1169" spans="1:19" x14ac:dyDescent="0.25">
      <c r="A1169" s="4" t="s">
        <v>61</v>
      </c>
      <c r="B1169" s="4" t="s">
        <v>59</v>
      </c>
      <c r="C1169" s="4" t="s">
        <v>62</v>
      </c>
      <c r="D1169" s="4" t="s">
        <v>63</v>
      </c>
      <c r="E1169" s="4" t="s">
        <v>188</v>
      </c>
      <c r="F1169" s="4" t="s">
        <v>189</v>
      </c>
      <c r="G1169" s="4" t="s">
        <v>190</v>
      </c>
      <c r="H1169" s="4" t="s">
        <v>26</v>
      </c>
      <c r="I1169" s="5">
        <v>90000000</v>
      </c>
      <c r="J1169" s="5">
        <v>40500</v>
      </c>
      <c r="K1169" s="5">
        <v>4050</v>
      </c>
      <c r="L1169" s="4" t="s">
        <v>191</v>
      </c>
      <c r="M1169" s="4" t="s">
        <v>192</v>
      </c>
      <c r="N1169" s="3">
        <v>45885</v>
      </c>
      <c r="O1169" s="4" t="s">
        <v>459</v>
      </c>
      <c r="P1169" s="2">
        <v>1000</v>
      </c>
      <c r="Q1169" s="2">
        <v>6054</v>
      </c>
      <c r="R1169" s="4" t="s">
        <v>747</v>
      </c>
      <c r="S1169" s="5">
        <v>87040690</v>
      </c>
    </row>
    <row r="1170" spans="1:19" x14ac:dyDescent="0.25">
      <c r="A1170" s="4" t="s">
        <v>61</v>
      </c>
      <c r="B1170" s="4" t="s">
        <v>59</v>
      </c>
      <c r="C1170" s="4" t="s">
        <v>62</v>
      </c>
      <c r="D1170" s="4" t="s">
        <v>63</v>
      </c>
      <c r="E1170" s="4" t="s">
        <v>549</v>
      </c>
      <c r="F1170" s="4" t="s">
        <v>550</v>
      </c>
      <c r="G1170" s="4" t="s">
        <v>81</v>
      </c>
      <c r="H1170" s="4" t="s">
        <v>26</v>
      </c>
      <c r="I1170" s="5">
        <v>65000000</v>
      </c>
      <c r="J1170" s="5">
        <v>135000</v>
      </c>
      <c r="K1170" s="5">
        <v>13500</v>
      </c>
      <c r="L1170" s="4" t="s">
        <v>26</v>
      </c>
      <c r="M1170" s="4" t="s">
        <v>26</v>
      </c>
      <c r="N1170" s="3">
        <v>45888</v>
      </c>
      <c r="O1170" s="4" t="s">
        <v>565</v>
      </c>
      <c r="P1170" s="2">
        <v>1000</v>
      </c>
      <c r="Q1170" s="2">
        <v>6066</v>
      </c>
      <c r="R1170" s="4" t="s">
        <v>749</v>
      </c>
      <c r="S1170" s="5">
        <v>63437500</v>
      </c>
    </row>
    <row r="1171" spans="1:19" x14ac:dyDescent="0.25">
      <c r="A1171" s="4" t="s">
        <v>61</v>
      </c>
      <c r="B1171" s="4" t="s">
        <v>59</v>
      </c>
      <c r="C1171" s="4" t="s">
        <v>62</v>
      </c>
      <c r="D1171" s="4" t="s">
        <v>63</v>
      </c>
      <c r="E1171" s="4" t="s">
        <v>301</v>
      </c>
      <c r="F1171" s="4" t="s">
        <v>302</v>
      </c>
      <c r="G1171" s="4" t="s">
        <v>157</v>
      </c>
      <c r="H1171" s="4" t="s">
        <v>26</v>
      </c>
      <c r="I1171" s="5">
        <v>90000000</v>
      </c>
      <c r="J1171" s="5">
        <v>125000</v>
      </c>
      <c r="K1171" s="5">
        <v>12500</v>
      </c>
      <c r="L1171" s="4" t="s">
        <v>624</v>
      </c>
      <c r="M1171" s="4" t="s">
        <v>625</v>
      </c>
      <c r="N1171" s="3">
        <v>45887</v>
      </c>
      <c r="O1171" s="4" t="s">
        <v>719</v>
      </c>
      <c r="P1171" s="2">
        <v>1000</v>
      </c>
      <c r="Q1171" s="2">
        <v>6068</v>
      </c>
      <c r="R1171" s="4" t="s">
        <v>769</v>
      </c>
      <c r="S1171" s="5">
        <v>86019450</v>
      </c>
    </row>
    <row r="1172" spans="1:19" x14ac:dyDescent="0.25">
      <c r="A1172" s="4" t="s">
        <v>61</v>
      </c>
      <c r="B1172" s="4" t="s">
        <v>59</v>
      </c>
      <c r="C1172" s="4" t="s">
        <v>62</v>
      </c>
      <c r="D1172" s="4" t="s">
        <v>63</v>
      </c>
      <c r="E1172" s="4" t="s">
        <v>305</v>
      </c>
      <c r="F1172" s="4" t="s">
        <v>306</v>
      </c>
      <c r="G1172" s="4" t="s">
        <v>100</v>
      </c>
      <c r="H1172" s="4" t="s">
        <v>26</v>
      </c>
      <c r="I1172" s="5">
        <v>65000000</v>
      </c>
      <c r="J1172" s="5">
        <v>63000</v>
      </c>
      <c r="K1172" s="5">
        <v>6300</v>
      </c>
      <c r="L1172" s="4" t="s">
        <v>26</v>
      </c>
      <c r="M1172" s="4" t="s">
        <v>26</v>
      </c>
      <c r="N1172" s="3">
        <v>45893</v>
      </c>
      <c r="O1172" s="4" t="s">
        <v>532</v>
      </c>
      <c r="P1172" s="2">
        <v>1000</v>
      </c>
      <c r="Q1172" s="2">
        <v>6069</v>
      </c>
      <c r="R1172" s="4" t="s">
        <v>749</v>
      </c>
      <c r="S1172" s="5">
        <v>64365100</v>
      </c>
    </row>
    <row r="1173" spans="1:19" x14ac:dyDescent="0.25">
      <c r="A1173" s="4" t="s">
        <v>61</v>
      </c>
      <c r="B1173" s="4" t="s">
        <v>59</v>
      </c>
      <c r="C1173" s="4" t="s">
        <v>62</v>
      </c>
      <c r="D1173" s="4" t="s">
        <v>63</v>
      </c>
      <c r="E1173" s="4" t="s">
        <v>127</v>
      </c>
      <c r="F1173" s="4" t="s">
        <v>128</v>
      </c>
      <c r="G1173" s="4" t="s">
        <v>50</v>
      </c>
      <c r="H1173" s="4" t="s">
        <v>26</v>
      </c>
      <c r="I1173" s="5">
        <v>65000000</v>
      </c>
      <c r="J1173" s="5">
        <v>58100</v>
      </c>
      <c r="K1173" s="5">
        <v>5810</v>
      </c>
      <c r="L1173" s="4" t="s">
        <v>26</v>
      </c>
      <c r="M1173" s="4" t="s">
        <v>26</v>
      </c>
      <c r="N1173" s="3">
        <v>45893</v>
      </c>
      <c r="O1173" s="4" t="s">
        <v>432</v>
      </c>
      <c r="P1173" s="2">
        <v>1000</v>
      </c>
      <c r="Q1173" s="2">
        <v>6083</v>
      </c>
      <c r="R1173" s="4" t="s">
        <v>755</v>
      </c>
      <c r="S1173" s="5">
        <v>60417600</v>
      </c>
    </row>
    <row r="1174" spans="1:19" x14ac:dyDescent="0.25">
      <c r="A1174" s="4" t="s">
        <v>61</v>
      </c>
      <c r="B1174" s="4" t="s">
        <v>59</v>
      </c>
      <c r="C1174" s="4" t="s">
        <v>62</v>
      </c>
      <c r="D1174" s="4" t="s">
        <v>63</v>
      </c>
      <c r="E1174" s="4" t="s">
        <v>227</v>
      </c>
      <c r="F1174" s="4" t="s">
        <v>228</v>
      </c>
      <c r="G1174" s="4" t="s">
        <v>100</v>
      </c>
      <c r="H1174" s="4" t="s">
        <v>26</v>
      </c>
      <c r="I1174" s="5">
        <v>65000000</v>
      </c>
      <c r="J1174" s="5">
        <v>176000</v>
      </c>
      <c r="K1174" s="5">
        <v>17600</v>
      </c>
      <c r="L1174" s="4" t="s">
        <v>279</v>
      </c>
      <c r="M1174" s="4" t="s">
        <v>280</v>
      </c>
      <c r="N1174" s="3">
        <v>45897</v>
      </c>
      <c r="O1174" s="4" t="s">
        <v>283</v>
      </c>
      <c r="P1174" s="2">
        <v>1000</v>
      </c>
      <c r="Q1174" s="2">
        <v>6106</v>
      </c>
      <c r="R1174" s="4" t="s">
        <v>755</v>
      </c>
      <c r="S1174" s="5">
        <v>62005700</v>
      </c>
    </row>
    <row r="1175" spans="1:19" x14ac:dyDescent="0.25">
      <c r="A1175" s="4" t="s">
        <v>61</v>
      </c>
      <c r="B1175" s="4" t="s">
        <v>59</v>
      </c>
      <c r="C1175" s="4" t="s">
        <v>62</v>
      </c>
      <c r="D1175" s="4" t="s">
        <v>63</v>
      </c>
      <c r="E1175" s="4" t="s">
        <v>227</v>
      </c>
      <c r="F1175" s="4" t="s">
        <v>228</v>
      </c>
      <c r="G1175" s="4" t="s">
        <v>100</v>
      </c>
      <c r="H1175" s="4" t="s">
        <v>26</v>
      </c>
      <c r="I1175" s="5">
        <v>65000000</v>
      </c>
      <c r="J1175" s="5">
        <v>61600</v>
      </c>
      <c r="K1175" s="5">
        <v>6160</v>
      </c>
      <c r="L1175" s="4" t="s">
        <v>279</v>
      </c>
      <c r="M1175" s="4" t="s">
        <v>280</v>
      </c>
      <c r="N1175" s="3">
        <v>45897</v>
      </c>
      <c r="O1175" s="4" t="s">
        <v>283</v>
      </c>
      <c r="P1175" s="2">
        <v>2000</v>
      </c>
      <c r="Q1175" s="2">
        <v>6106</v>
      </c>
      <c r="R1175" s="4" t="s">
        <v>755</v>
      </c>
      <c r="S1175" s="5">
        <v>62005700</v>
      </c>
    </row>
    <row r="1176" spans="1:19" x14ac:dyDescent="0.25">
      <c r="A1176" s="4" t="s">
        <v>61</v>
      </c>
      <c r="B1176" s="4" t="s">
        <v>59</v>
      </c>
      <c r="C1176" s="4" t="s">
        <v>62</v>
      </c>
      <c r="D1176" s="4" t="s">
        <v>63</v>
      </c>
      <c r="E1176" s="4" t="s">
        <v>227</v>
      </c>
      <c r="F1176" s="4" t="s">
        <v>228</v>
      </c>
      <c r="G1176" s="4" t="s">
        <v>100</v>
      </c>
      <c r="H1176" s="4" t="s">
        <v>26</v>
      </c>
      <c r="I1176" s="5">
        <v>65000000</v>
      </c>
      <c r="J1176" s="5">
        <v>70400</v>
      </c>
      <c r="K1176" s="5">
        <v>7040</v>
      </c>
      <c r="L1176" s="4" t="s">
        <v>279</v>
      </c>
      <c r="M1176" s="4" t="s">
        <v>280</v>
      </c>
      <c r="N1176" s="3">
        <v>45897</v>
      </c>
      <c r="O1176" s="4" t="s">
        <v>283</v>
      </c>
      <c r="P1176" s="2">
        <v>3000</v>
      </c>
      <c r="Q1176" s="2">
        <v>6106</v>
      </c>
      <c r="R1176" s="4" t="s">
        <v>755</v>
      </c>
      <c r="S1176" s="5">
        <v>62005700</v>
      </c>
    </row>
    <row r="1177" spans="1:19" x14ac:dyDescent="0.25">
      <c r="A1177" s="4" t="s">
        <v>61</v>
      </c>
      <c r="B1177" s="4" t="s">
        <v>59</v>
      </c>
      <c r="C1177" s="4" t="s">
        <v>62</v>
      </c>
      <c r="D1177" s="4" t="s">
        <v>63</v>
      </c>
      <c r="E1177" s="4" t="s">
        <v>127</v>
      </c>
      <c r="F1177" s="4" t="s">
        <v>128</v>
      </c>
      <c r="G1177" s="4" t="s">
        <v>50</v>
      </c>
      <c r="H1177" s="4" t="s">
        <v>26</v>
      </c>
      <c r="I1177" s="5">
        <v>65000000</v>
      </c>
      <c r="J1177" s="5">
        <v>50000</v>
      </c>
      <c r="K1177" s="5">
        <v>5000</v>
      </c>
      <c r="L1177" s="4" t="s">
        <v>26</v>
      </c>
      <c r="M1177" s="4" t="s">
        <v>26</v>
      </c>
      <c r="N1177" s="3">
        <v>45893</v>
      </c>
      <c r="O1177" s="4" t="s">
        <v>432</v>
      </c>
      <c r="P1177" s="2">
        <v>1000</v>
      </c>
      <c r="Q1177" s="2">
        <v>6109</v>
      </c>
      <c r="R1177" s="4" t="s">
        <v>747</v>
      </c>
      <c r="S1177" s="5">
        <v>60417600</v>
      </c>
    </row>
    <row r="1178" spans="1:19" x14ac:dyDescent="0.25">
      <c r="A1178" s="4" t="s">
        <v>61</v>
      </c>
      <c r="B1178" s="4" t="s">
        <v>59</v>
      </c>
      <c r="C1178" s="4" t="s">
        <v>62</v>
      </c>
      <c r="D1178" s="4" t="s">
        <v>63</v>
      </c>
      <c r="E1178" s="4" t="s">
        <v>103</v>
      </c>
      <c r="F1178" s="4" t="s">
        <v>104</v>
      </c>
      <c r="G1178" s="4" t="s">
        <v>105</v>
      </c>
      <c r="H1178" s="4" t="s">
        <v>26</v>
      </c>
      <c r="I1178" s="5">
        <v>155000000</v>
      </c>
      <c r="J1178" s="5">
        <v>166500</v>
      </c>
      <c r="K1178" s="5">
        <v>16650</v>
      </c>
      <c r="L1178" s="4" t="s">
        <v>26</v>
      </c>
      <c r="M1178" s="4" t="s">
        <v>26</v>
      </c>
      <c r="N1178" s="3">
        <v>45885</v>
      </c>
      <c r="O1178" s="4" t="s">
        <v>459</v>
      </c>
      <c r="P1178" s="2">
        <v>1000</v>
      </c>
      <c r="Q1178" s="2">
        <v>6151</v>
      </c>
      <c r="R1178" s="4" t="s">
        <v>755</v>
      </c>
      <c r="S1178" s="5">
        <v>150234500</v>
      </c>
    </row>
    <row r="1179" spans="1:19" x14ac:dyDescent="0.25">
      <c r="A1179" s="4" t="s">
        <v>61</v>
      </c>
      <c r="B1179" s="4" t="s">
        <v>59</v>
      </c>
      <c r="C1179" s="4" t="s">
        <v>62</v>
      </c>
      <c r="D1179" s="4" t="s">
        <v>63</v>
      </c>
      <c r="E1179" s="4" t="s">
        <v>103</v>
      </c>
      <c r="F1179" s="4" t="s">
        <v>104</v>
      </c>
      <c r="G1179" s="4" t="s">
        <v>105</v>
      </c>
      <c r="H1179" s="4" t="s">
        <v>26</v>
      </c>
      <c r="I1179" s="5">
        <v>155000000</v>
      </c>
      <c r="J1179" s="5">
        <v>2700</v>
      </c>
      <c r="K1179" s="5">
        <v>270</v>
      </c>
      <c r="L1179" s="4" t="s">
        <v>26</v>
      </c>
      <c r="M1179" s="4" t="s">
        <v>26</v>
      </c>
      <c r="N1179" s="3">
        <v>45885</v>
      </c>
      <c r="O1179" s="4" t="s">
        <v>459</v>
      </c>
      <c r="P1179" s="2">
        <v>2000</v>
      </c>
      <c r="Q1179" s="2">
        <v>6151</v>
      </c>
      <c r="R1179" s="4" t="s">
        <v>755</v>
      </c>
      <c r="S1179" s="5">
        <v>150234500</v>
      </c>
    </row>
    <row r="1180" spans="1:19" x14ac:dyDescent="0.25">
      <c r="A1180" s="4" t="s">
        <v>61</v>
      </c>
      <c r="B1180" s="4" t="s">
        <v>59</v>
      </c>
      <c r="C1180" s="4" t="s">
        <v>62</v>
      </c>
      <c r="D1180" s="4" t="s">
        <v>63</v>
      </c>
      <c r="E1180" s="4" t="s">
        <v>103</v>
      </c>
      <c r="F1180" s="4" t="s">
        <v>104</v>
      </c>
      <c r="G1180" s="4" t="s">
        <v>105</v>
      </c>
      <c r="H1180" s="4" t="s">
        <v>26</v>
      </c>
      <c r="I1180" s="5">
        <v>155000000</v>
      </c>
      <c r="J1180" s="5">
        <v>39200</v>
      </c>
      <c r="K1180" s="5">
        <v>3920</v>
      </c>
      <c r="L1180" s="4" t="s">
        <v>26</v>
      </c>
      <c r="M1180" s="4" t="s">
        <v>26</v>
      </c>
      <c r="N1180" s="3">
        <v>45885</v>
      </c>
      <c r="O1180" s="4" t="s">
        <v>51</v>
      </c>
      <c r="P1180" s="2">
        <v>1000</v>
      </c>
      <c r="Q1180" s="2">
        <v>6160</v>
      </c>
      <c r="R1180" s="4" t="s">
        <v>749</v>
      </c>
      <c r="S1180" s="5">
        <v>150234500</v>
      </c>
    </row>
    <row r="1181" spans="1:19" x14ac:dyDescent="0.25">
      <c r="A1181" s="4" t="s">
        <v>61</v>
      </c>
      <c r="B1181" s="4" t="s">
        <v>59</v>
      </c>
      <c r="C1181" s="4" t="s">
        <v>62</v>
      </c>
      <c r="D1181" s="4" t="s">
        <v>63</v>
      </c>
      <c r="E1181" s="4" t="s">
        <v>69</v>
      </c>
      <c r="F1181" s="4" t="s">
        <v>70</v>
      </c>
      <c r="G1181" s="4" t="s">
        <v>71</v>
      </c>
      <c r="H1181" s="4" t="s">
        <v>26</v>
      </c>
      <c r="I1181" s="5">
        <v>155000000</v>
      </c>
      <c r="J1181" s="5">
        <v>53100</v>
      </c>
      <c r="K1181" s="5">
        <v>5310</v>
      </c>
      <c r="L1181" s="4" t="s">
        <v>72</v>
      </c>
      <c r="M1181" s="4" t="s">
        <v>73</v>
      </c>
      <c r="N1181" s="3">
        <v>45888</v>
      </c>
      <c r="O1181" s="4" t="s">
        <v>565</v>
      </c>
      <c r="P1181" s="2">
        <v>1000</v>
      </c>
      <c r="Q1181" s="2">
        <v>6170</v>
      </c>
      <c r="R1181" s="4" t="s">
        <v>749</v>
      </c>
      <c r="S1181" s="5">
        <v>143018000</v>
      </c>
    </row>
    <row r="1182" spans="1:19" x14ac:dyDescent="0.25">
      <c r="A1182" s="4" t="s">
        <v>61</v>
      </c>
      <c r="B1182" s="4" t="s">
        <v>59</v>
      </c>
      <c r="C1182" s="4" t="s">
        <v>62</v>
      </c>
      <c r="D1182" s="4" t="s">
        <v>63</v>
      </c>
      <c r="E1182" s="4" t="s">
        <v>69</v>
      </c>
      <c r="F1182" s="4" t="s">
        <v>70</v>
      </c>
      <c r="G1182" s="4" t="s">
        <v>71</v>
      </c>
      <c r="H1182" s="4" t="s">
        <v>26</v>
      </c>
      <c r="I1182" s="5">
        <v>155000000</v>
      </c>
      <c r="J1182" s="5">
        <v>152100</v>
      </c>
      <c r="K1182" s="5">
        <v>15210</v>
      </c>
      <c r="L1182" s="4" t="s">
        <v>72</v>
      </c>
      <c r="M1182" s="4" t="s">
        <v>73</v>
      </c>
      <c r="N1182" s="3">
        <v>45888</v>
      </c>
      <c r="O1182" s="4" t="s">
        <v>565</v>
      </c>
      <c r="P1182" s="2">
        <v>2000</v>
      </c>
      <c r="Q1182" s="2">
        <v>6170</v>
      </c>
      <c r="R1182" s="4" t="s">
        <v>749</v>
      </c>
      <c r="S1182" s="5">
        <v>143018000</v>
      </c>
    </row>
    <row r="1183" spans="1:19" x14ac:dyDescent="0.25">
      <c r="A1183" s="4" t="s">
        <v>61</v>
      </c>
      <c r="B1183" s="4" t="s">
        <v>59</v>
      </c>
      <c r="C1183" s="4" t="s">
        <v>62</v>
      </c>
      <c r="D1183" s="4" t="s">
        <v>63</v>
      </c>
      <c r="E1183" s="4" t="s">
        <v>127</v>
      </c>
      <c r="F1183" s="4" t="s">
        <v>128</v>
      </c>
      <c r="G1183" s="4" t="s">
        <v>50</v>
      </c>
      <c r="H1183" s="4" t="s">
        <v>26</v>
      </c>
      <c r="I1183" s="5">
        <v>65000000</v>
      </c>
      <c r="J1183" s="5">
        <v>196000</v>
      </c>
      <c r="K1183" s="5">
        <v>19600</v>
      </c>
      <c r="L1183" s="4" t="s">
        <v>212</v>
      </c>
      <c r="M1183" s="4" t="s">
        <v>213</v>
      </c>
      <c r="N1183" s="3">
        <v>45886</v>
      </c>
      <c r="O1183" s="4" t="s">
        <v>416</v>
      </c>
      <c r="P1183" s="2">
        <v>1000</v>
      </c>
      <c r="Q1183" s="2">
        <v>6179</v>
      </c>
      <c r="R1183" s="4" t="s">
        <v>755</v>
      </c>
      <c r="S1183" s="5">
        <v>60417600</v>
      </c>
    </row>
    <row r="1184" spans="1:19" x14ac:dyDescent="0.25">
      <c r="A1184" s="4" t="s">
        <v>61</v>
      </c>
      <c r="B1184" s="4" t="s">
        <v>59</v>
      </c>
      <c r="C1184" s="4" t="s">
        <v>62</v>
      </c>
      <c r="D1184" s="4" t="s">
        <v>63</v>
      </c>
      <c r="E1184" s="4" t="s">
        <v>127</v>
      </c>
      <c r="F1184" s="4" t="s">
        <v>128</v>
      </c>
      <c r="G1184" s="4" t="s">
        <v>50</v>
      </c>
      <c r="H1184" s="4" t="s">
        <v>26</v>
      </c>
      <c r="I1184" s="5">
        <v>65000000</v>
      </c>
      <c r="J1184" s="5">
        <v>126000</v>
      </c>
      <c r="K1184" s="5">
        <v>12600</v>
      </c>
      <c r="L1184" s="4" t="s">
        <v>212</v>
      </c>
      <c r="M1184" s="4" t="s">
        <v>213</v>
      </c>
      <c r="N1184" s="3">
        <v>45886</v>
      </c>
      <c r="O1184" s="4" t="s">
        <v>416</v>
      </c>
      <c r="P1184" s="2">
        <v>2000</v>
      </c>
      <c r="Q1184" s="2">
        <v>6179</v>
      </c>
      <c r="R1184" s="4" t="s">
        <v>755</v>
      </c>
      <c r="S1184" s="5">
        <v>60417600</v>
      </c>
    </row>
    <row r="1185" spans="1:19" x14ac:dyDescent="0.25">
      <c r="A1185" s="4" t="s">
        <v>61</v>
      </c>
      <c r="B1185" s="4" t="s">
        <v>59</v>
      </c>
      <c r="C1185" s="4" t="s">
        <v>62</v>
      </c>
      <c r="D1185" s="4" t="s">
        <v>63</v>
      </c>
      <c r="E1185" s="4" t="s">
        <v>127</v>
      </c>
      <c r="F1185" s="4" t="s">
        <v>128</v>
      </c>
      <c r="G1185" s="4" t="s">
        <v>50</v>
      </c>
      <c r="H1185" s="4" t="s">
        <v>26</v>
      </c>
      <c r="I1185" s="5">
        <v>65000000</v>
      </c>
      <c r="J1185" s="5">
        <v>140000</v>
      </c>
      <c r="K1185" s="5">
        <v>14000</v>
      </c>
      <c r="L1185" s="4" t="s">
        <v>212</v>
      </c>
      <c r="M1185" s="4" t="s">
        <v>213</v>
      </c>
      <c r="N1185" s="3">
        <v>45886</v>
      </c>
      <c r="O1185" s="4" t="s">
        <v>416</v>
      </c>
      <c r="P1185" s="2">
        <v>3000</v>
      </c>
      <c r="Q1185" s="2">
        <v>6179</v>
      </c>
      <c r="R1185" s="4" t="s">
        <v>755</v>
      </c>
      <c r="S1185" s="5">
        <v>60417600</v>
      </c>
    </row>
    <row r="1186" spans="1:19" x14ac:dyDescent="0.25">
      <c r="A1186" s="4" t="s">
        <v>61</v>
      </c>
      <c r="B1186" s="4" t="s">
        <v>59</v>
      </c>
      <c r="C1186" s="4" t="s">
        <v>62</v>
      </c>
      <c r="D1186" s="4" t="s">
        <v>63</v>
      </c>
      <c r="E1186" s="4" t="s">
        <v>148</v>
      </c>
      <c r="F1186" s="4" t="s">
        <v>149</v>
      </c>
      <c r="G1186" s="4" t="s">
        <v>50</v>
      </c>
      <c r="H1186" s="4" t="s">
        <v>26</v>
      </c>
      <c r="I1186" s="5">
        <v>65000000</v>
      </c>
      <c r="J1186" s="5">
        <v>53900</v>
      </c>
      <c r="K1186" s="5">
        <v>5390</v>
      </c>
      <c r="L1186" s="4" t="s">
        <v>26</v>
      </c>
      <c r="M1186" s="4" t="s">
        <v>26</v>
      </c>
      <c r="N1186" s="3">
        <v>45897</v>
      </c>
      <c r="O1186" s="4" t="s">
        <v>283</v>
      </c>
      <c r="P1186" s="2">
        <v>1000</v>
      </c>
      <c r="Q1186" s="2">
        <v>6181</v>
      </c>
      <c r="R1186" s="4" t="s">
        <v>755</v>
      </c>
      <c r="S1186" s="5">
        <v>58699710</v>
      </c>
    </row>
    <row r="1187" spans="1:19" x14ac:dyDescent="0.25">
      <c r="A1187" s="4" t="s">
        <v>61</v>
      </c>
      <c r="B1187" s="4" t="s">
        <v>59</v>
      </c>
      <c r="C1187" s="4" t="s">
        <v>62</v>
      </c>
      <c r="D1187" s="4" t="s">
        <v>63</v>
      </c>
      <c r="E1187" s="4" t="s">
        <v>275</v>
      </c>
      <c r="F1187" s="4" t="s">
        <v>276</v>
      </c>
      <c r="G1187" s="4" t="s">
        <v>115</v>
      </c>
      <c r="H1187" s="4" t="s">
        <v>26</v>
      </c>
      <c r="I1187" s="5">
        <v>65000000</v>
      </c>
      <c r="J1187" s="5">
        <v>30000</v>
      </c>
      <c r="K1187" s="5">
        <v>3000</v>
      </c>
      <c r="L1187" s="4" t="s">
        <v>26</v>
      </c>
      <c r="M1187" s="4" t="s">
        <v>26</v>
      </c>
      <c r="N1187" s="3">
        <v>45885</v>
      </c>
      <c r="O1187" s="4" t="s">
        <v>459</v>
      </c>
      <c r="P1187" s="2">
        <v>1000</v>
      </c>
      <c r="Q1187" s="2">
        <v>6194</v>
      </c>
      <c r="R1187" s="4" t="s">
        <v>84</v>
      </c>
      <c r="S1187" s="5">
        <v>63302500</v>
      </c>
    </row>
    <row r="1188" spans="1:19" x14ac:dyDescent="0.25">
      <c r="A1188" s="4" t="s">
        <v>61</v>
      </c>
      <c r="B1188" s="4" t="s">
        <v>59</v>
      </c>
      <c r="C1188" s="4" t="s">
        <v>62</v>
      </c>
      <c r="D1188" s="4" t="s">
        <v>63</v>
      </c>
      <c r="E1188" s="4" t="s">
        <v>193</v>
      </c>
      <c r="F1188" s="4" t="s">
        <v>194</v>
      </c>
      <c r="G1188" s="4" t="s">
        <v>105</v>
      </c>
      <c r="H1188" s="4" t="s">
        <v>26</v>
      </c>
      <c r="I1188" s="5">
        <v>155000000</v>
      </c>
      <c r="J1188" s="5">
        <v>127630</v>
      </c>
      <c r="K1188" s="5">
        <v>12763</v>
      </c>
      <c r="L1188" s="4" t="s">
        <v>195</v>
      </c>
      <c r="M1188" s="4" t="s">
        <v>196</v>
      </c>
      <c r="N1188" s="3">
        <v>45897</v>
      </c>
      <c r="O1188" s="4" t="s">
        <v>283</v>
      </c>
      <c r="P1188" s="2">
        <v>1000</v>
      </c>
      <c r="Q1188" s="2">
        <v>6211</v>
      </c>
      <c r="R1188" s="4" t="s">
        <v>26</v>
      </c>
      <c r="S1188" s="5">
        <v>149540330</v>
      </c>
    </row>
    <row r="1189" spans="1:19" x14ac:dyDescent="0.25">
      <c r="A1189" s="4" t="s">
        <v>61</v>
      </c>
      <c r="B1189" s="4" t="s">
        <v>59</v>
      </c>
      <c r="C1189" s="4" t="s">
        <v>62</v>
      </c>
      <c r="D1189" s="4" t="s">
        <v>63</v>
      </c>
      <c r="E1189" s="4" t="s">
        <v>193</v>
      </c>
      <c r="F1189" s="4" t="s">
        <v>194</v>
      </c>
      <c r="G1189" s="4" t="s">
        <v>105</v>
      </c>
      <c r="H1189" s="4" t="s">
        <v>26</v>
      </c>
      <c r="I1189" s="5">
        <v>155000000</v>
      </c>
      <c r="J1189" s="5">
        <v>19630</v>
      </c>
      <c r="K1189" s="5">
        <v>1963</v>
      </c>
      <c r="L1189" s="4" t="s">
        <v>195</v>
      </c>
      <c r="M1189" s="4" t="s">
        <v>196</v>
      </c>
      <c r="N1189" s="3">
        <v>45897</v>
      </c>
      <c r="O1189" s="4" t="s">
        <v>283</v>
      </c>
      <c r="P1189" s="2">
        <v>2000</v>
      </c>
      <c r="Q1189" s="2">
        <v>6211</v>
      </c>
      <c r="R1189" s="4" t="s">
        <v>26</v>
      </c>
      <c r="S1189" s="5">
        <v>149540330</v>
      </c>
    </row>
    <row r="1190" spans="1:19" x14ac:dyDescent="0.25">
      <c r="A1190" s="4" t="s">
        <v>61</v>
      </c>
      <c r="B1190" s="4" t="s">
        <v>59</v>
      </c>
      <c r="C1190" s="4" t="s">
        <v>62</v>
      </c>
      <c r="D1190" s="4" t="s">
        <v>63</v>
      </c>
      <c r="E1190" s="4" t="s">
        <v>193</v>
      </c>
      <c r="F1190" s="4" t="s">
        <v>194</v>
      </c>
      <c r="G1190" s="4" t="s">
        <v>105</v>
      </c>
      <c r="H1190" s="4" t="s">
        <v>26</v>
      </c>
      <c r="I1190" s="5">
        <v>155000000</v>
      </c>
      <c r="J1190" s="5">
        <v>14720</v>
      </c>
      <c r="K1190" s="5">
        <v>1472</v>
      </c>
      <c r="L1190" s="4" t="s">
        <v>195</v>
      </c>
      <c r="M1190" s="4" t="s">
        <v>196</v>
      </c>
      <c r="N1190" s="3">
        <v>45897</v>
      </c>
      <c r="O1190" s="4" t="s">
        <v>283</v>
      </c>
      <c r="P1190" s="2">
        <v>3000</v>
      </c>
      <c r="Q1190" s="2">
        <v>6211</v>
      </c>
      <c r="R1190" s="4" t="s">
        <v>26</v>
      </c>
      <c r="S1190" s="5">
        <v>149540330</v>
      </c>
    </row>
    <row r="1191" spans="1:19" x14ac:dyDescent="0.25">
      <c r="A1191" s="4" t="s">
        <v>61</v>
      </c>
      <c r="B1191" s="4" t="s">
        <v>59</v>
      </c>
      <c r="C1191" s="4" t="s">
        <v>62</v>
      </c>
      <c r="D1191" s="4" t="s">
        <v>63</v>
      </c>
      <c r="E1191" s="4" t="s">
        <v>498</v>
      </c>
      <c r="F1191" s="4" t="s">
        <v>499</v>
      </c>
      <c r="G1191" s="4" t="s">
        <v>144</v>
      </c>
      <c r="H1191" s="4" t="s">
        <v>26</v>
      </c>
      <c r="I1191" s="5">
        <v>90000000</v>
      </c>
      <c r="J1191" s="5">
        <v>99000</v>
      </c>
      <c r="K1191" s="5">
        <v>9900</v>
      </c>
      <c r="L1191" s="4" t="s">
        <v>500</v>
      </c>
      <c r="M1191" s="4" t="s">
        <v>501</v>
      </c>
      <c r="N1191" s="3">
        <v>45885</v>
      </c>
      <c r="O1191" s="4" t="s">
        <v>459</v>
      </c>
      <c r="P1191" s="2">
        <v>1000</v>
      </c>
      <c r="Q1191" s="2">
        <v>6244</v>
      </c>
      <c r="R1191" s="4" t="s">
        <v>26</v>
      </c>
      <c r="S1191" s="5">
        <v>84861850</v>
      </c>
    </row>
    <row r="1192" spans="1:19" x14ac:dyDescent="0.25">
      <c r="A1192" s="4" t="s">
        <v>61</v>
      </c>
      <c r="B1192" s="4" t="s">
        <v>59</v>
      </c>
      <c r="C1192" s="4" t="s">
        <v>62</v>
      </c>
      <c r="D1192" s="4" t="s">
        <v>63</v>
      </c>
      <c r="E1192" s="4" t="s">
        <v>498</v>
      </c>
      <c r="F1192" s="4" t="s">
        <v>499</v>
      </c>
      <c r="G1192" s="4" t="s">
        <v>144</v>
      </c>
      <c r="H1192" s="4" t="s">
        <v>26</v>
      </c>
      <c r="I1192" s="5">
        <v>90000000</v>
      </c>
      <c r="J1192" s="5">
        <v>199000</v>
      </c>
      <c r="K1192" s="5">
        <v>19900</v>
      </c>
      <c r="L1192" s="4" t="s">
        <v>500</v>
      </c>
      <c r="M1192" s="4" t="s">
        <v>501</v>
      </c>
      <c r="N1192" s="3">
        <v>45885</v>
      </c>
      <c r="O1192" s="4" t="s">
        <v>459</v>
      </c>
      <c r="P1192" s="2">
        <v>2000</v>
      </c>
      <c r="Q1192" s="2">
        <v>6244</v>
      </c>
      <c r="R1192" s="4" t="s">
        <v>26</v>
      </c>
      <c r="S1192" s="5">
        <v>84861850</v>
      </c>
    </row>
    <row r="1193" spans="1:19" x14ac:dyDescent="0.25">
      <c r="A1193" s="4" t="s">
        <v>61</v>
      </c>
      <c r="B1193" s="4" t="s">
        <v>59</v>
      </c>
      <c r="C1193" s="4" t="s">
        <v>62</v>
      </c>
      <c r="D1193" s="4" t="s">
        <v>63</v>
      </c>
      <c r="E1193" s="4" t="s">
        <v>498</v>
      </c>
      <c r="F1193" s="4" t="s">
        <v>499</v>
      </c>
      <c r="G1193" s="4" t="s">
        <v>144</v>
      </c>
      <c r="H1193" s="4" t="s">
        <v>26</v>
      </c>
      <c r="I1193" s="5">
        <v>90000000</v>
      </c>
      <c r="J1193" s="5">
        <v>450000</v>
      </c>
      <c r="K1193" s="5">
        <v>45000</v>
      </c>
      <c r="L1193" s="4" t="s">
        <v>500</v>
      </c>
      <c r="M1193" s="4" t="s">
        <v>501</v>
      </c>
      <c r="N1193" s="3">
        <v>45885</v>
      </c>
      <c r="O1193" s="4" t="s">
        <v>459</v>
      </c>
      <c r="P1193" s="2">
        <v>3000</v>
      </c>
      <c r="Q1193" s="2">
        <v>6244</v>
      </c>
      <c r="R1193" s="4" t="s">
        <v>26</v>
      </c>
      <c r="S1193" s="5">
        <v>84861850</v>
      </c>
    </row>
    <row r="1194" spans="1:19" x14ac:dyDescent="0.25">
      <c r="A1194" s="4" t="s">
        <v>61</v>
      </c>
      <c r="B1194" s="4" t="s">
        <v>59</v>
      </c>
      <c r="C1194" s="4" t="s">
        <v>62</v>
      </c>
      <c r="D1194" s="4" t="s">
        <v>63</v>
      </c>
      <c r="E1194" s="4" t="s">
        <v>244</v>
      </c>
      <c r="F1194" s="4" t="s">
        <v>245</v>
      </c>
      <c r="G1194" s="4" t="s">
        <v>246</v>
      </c>
      <c r="H1194" s="4" t="s">
        <v>26</v>
      </c>
      <c r="I1194" s="5">
        <v>155000000</v>
      </c>
      <c r="J1194" s="5">
        <v>54000</v>
      </c>
      <c r="K1194" s="5">
        <v>5400</v>
      </c>
      <c r="L1194" s="4" t="s">
        <v>247</v>
      </c>
      <c r="M1194" s="4" t="s">
        <v>248</v>
      </c>
      <c r="N1194" s="3">
        <v>45885</v>
      </c>
      <c r="O1194" s="4" t="s">
        <v>459</v>
      </c>
      <c r="P1194" s="2">
        <v>1000</v>
      </c>
      <c r="Q1194" s="2">
        <v>6248</v>
      </c>
      <c r="R1194" s="4" t="s">
        <v>747</v>
      </c>
      <c r="S1194" s="5">
        <v>151077800</v>
      </c>
    </row>
    <row r="1195" spans="1:19" x14ac:dyDescent="0.25">
      <c r="A1195" s="4" t="s">
        <v>61</v>
      </c>
      <c r="B1195" s="4" t="s">
        <v>59</v>
      </c>
      <c r="C1195" s="4" t="s">
        <v>62</v>
      </c>
      <c r="D1195" s="4" t="s">
        <v>63</v>
      </c>
      <c r="E1195" s="4" t="s">
        <v>447</v>
      </c>
      <c r="F1195" s="4" t="s">
        <v>448</v>
      </c>
      <c r="G1195" s="4" t="s">
        <v>419</v>
      </c>
      <c r="H1195" s="4" t="s">
        <v>26</v>
      </c>
      <c r="I1195" s="5">
        <v>155000000</v>
      </c>
      <c r="J1195" s="5">
        <v>2328000</v>
      </c>
      <c r="K1195" s="5">
        <v>232800</v>
      </c>
      <c r="L1195" s="4" t="s">
        <v>26</v>
      </c>
      <c r="M1195" s="4" t="s">
        <v>26</v>
      </c>
      <c r="N1195" s="3">
        <v>45888</v>
      </c>
      <c r="O1195" s="4" t="s">
        <v>716</v>
      </c>
      <c r="P1195" s="2">
        <v>1000</v>
      </c>
      <c r="Q1195" s="2">
        <v>6262</v>
      </c>
      <c r="R1195" s="4" t="s">
        <v>771</v>
      </c>
      <c r="S1195" s="5">
        <v>152533250</v>
      </c>
    </row>
    <row r="1196" spans="1:19" x14ac:dyDescent="0.25">
      <c r="A1196" s="4" t="s">
        <v>61</v>
      </c>
      <c r="B1196" s="4" t="s">
        <v>59</v>
      </c>
      <c r="C1196" s="4" t="s">
        <v>62</v>
      </c>
      <c r="D1196" s="4" t="s">
        <v>63</v>
      </c>
      <c r="E1196" s="4" t="s">
        <v>188</v>
      </c>
      <c r="F1196" s="4" t="s">
        <v>189</v>
      </c>
      <c r="G1196" s="4" t="s">
        <v>190</v>
      </c>
      <c r="H1196" s="4" t="s">
        <v>26</v>
      </c>
      <c r="I1196" s="5">
        <v>90000000</v>
      </c>
      <c r="J1196" s="5">
        <v>124600</v>
      </c>
      <c r="K1196" s="5">
        <v>12460</v>
      </c>
      <c r="L1196" s="4" t="s">
        <v>191</v>
      </c>
      <c r="M1196" s="4" t="s">
        <v>192</v>
      </c>
      <c r="N1196" s="3">
        <v>45898</v>
      </c>
      <c r="O1196" s="4" t="s">
        <v>283</v>
      </c>
      <c r="P1196" s="2">
        <v>1000</v>
      </c>
      <c r="Q1196" s="2">
        <v>6291</v>
      </c>
      <c r="R1196" s="4" t="s">
        <v>26</v>
      </c>
      <c r="S1196" s="5">
        <v>87040690</v>
      </c>
    </row>
    <row r="1197" spans="1:19" x14ac:dyDescent="0.25">
      <c r="A1197" s="4" t="s">
        <v>61</v>
      </c>
      <c r="B1197" s="4" t="s">
        <v>59</v>
      </c>
      <c r="C1197" s="4" t="s">
        <v>62</v>
      </c>
      <c r="D1197" s="4" t="s">
        <v>63</v>
      </c>
      <c r="E1197" s="4" t="s">
        <v>549</v>
      </c>
      <c r="F1197" s="4" t="s">
        <v>550</v>
      </c>
      <c r="G1197" s="4" t="s">
        <v>81</v>
      </c>
      <c r="H1197" s="4" t="s">
        <v>26</v>
      </c>
      <c r="I1197" s="5">
        <v>65000000</v>
      </c>
      <c r="J1197" s="5">
        <v>135000</v>
      </c>
      <c r="K1197" s="5">
        <v>13500</v>
      </c>
      <c r="L1197" s="4" t="s">
        <v>26</v>
      </c>
      <c r="M1197" s="4" t="s">
        <v>26</v>
      </c>
      <c r="N1197" s="3">
        <v>45894</v>
      </c>
      <c r="O1197" s="4" t="s">
        <v>532</v>
      </c>
      <c r="P1197" s="2">
        <v>1000</v>
      </c>
      <c r="Q1197" s="2">
        <v>6292</v>
      </c>
      <c r="R1197" s="4" t="s">
        <v>749</v>
      </c>
      <c r="S1197" s="5">
        <v>63437500</v>
      </c>
    </row>
    <row r="1198" spans="1:19" x14ac:dyDescent="0.25">
      <c r="A1198" s="4" t="s">
        <v>61</v>
      </c>
      <c r="B1198" s="4" t="s">
        <v>59</v>
      </c>
      <c r="C1198" s="4" t="s">
        <v>62</v>
      </c>
      <c r="D1198" s="4" t="s">
        <v>63</v>
      </c>
      <c r="E1198" s="4" t="s">
        <v>549</v>
      </c>
      <c r="F1198" s="4" t="s">
        <v>550</v>
      </c>
      <c r="G1198" s="4" t="s">
        <v>81</v>
      </c>
      <c r="H1198" s="4" t="s">
        <v>26</v>
      </c>
      <c r="I1198" s="5">
        <v>65000000</v>
      </c>
      <c r="J1198" s="5">
        <v>67500</v>
      </c>
      <c r="K1198" s="5">
        <v>6750</v>
      </c>
      <c r="L1198" s="4" t="s">
        <v>551</v>
      </c>
      <c r="M1198" s="4" t="s">
        <v>552</v>
      </c>
      <c r="N1198" s="3">
        <v>45894</v>
      </c>
      <c r="O1198" s="4" t="s">
        <v>532</v>
      </c>
      <c r="P1198" s="2">
        <v>1000</v>
      </c>
      <c r="Q1198" s="2">
        <v>6298</v>
      </c>
      <c r="R1198" s="4" t="s">
        <v>26</v>
      </c>
      <c r="S1198" s="5">
        <v>63437500</v>
      </c>
    </row>
    <row r="1199" spans="1:19" x14ac:dyDescent="0.25">
      <c r="A1199" s="4" t="s">
        <v>61</v>
      </c>
      <c r="B1199" s="4" t="s">
        <v>59</v>
      </c>
      <c r="C1199" s="4" t="s">
        <v>62</v>
      </c>
      <c r="D1199" s="4" t="s">
        <v>63</v>
      </c>
      <c r="E1199" s="4" t="s">
        <v>549</v>
      </c>
      <c r="F1199" s="4" t="s">
        <v>550</v>
      </c>
      <c r="G1199" s="4" t="s">
        <v>81</v>
      </c>
      <c r="H1199" s="4" t="s">
        <v>26</v>
      </c>
      <c r="I1199" s="5">
        <v>65000000</v>
      </c>
      <c r="J1199" s="5">
        <v>67500</v>
      </c>
      <c r="K1199" s="5">
        <v>6750</v>
      </c>
      <c r="L1199" s="4" t="s">
        <v>551</v>
      </c>
      <c r="M1199" s="4" t="s">
        <v>552</v>
      </c>
      <c r="N1199" s="3">
        <v>45894</v>
      </c>
      <c r="O1199" s="4" t="s">
        <v>532</v>
      </c>
      <c r="P1199" s="2">
        <v>2000</v>
      </c>
      <c r="Q1199" s="2">
        <v>6298</v>
      </c>
      <c r="R1199" s="4" t="s">
        <v>26</v>
      </c>
      <c r="S1199" s="5">
        <v>63437500</v>
      </c>
    </row>
    <row r="1200" spans="1:19" x14ac:dyDescent="0.25">
      <c r="A1200" s="4" t="s">
        <v>61</v>
      </c>
      <c r="B1200" s="4" t="s">
        <v>59</v>
      </c>
      <c r="C1200" s="4" t="s">
        <v>62</v>
      </c>
      <c r="D1200" s="4" t="s">
        <v>63</v>
      </c>
      <c r="E1200" s="4" t="s">
        <v>127</v>
      </c>
      <c r="F1200" s="4" t="s">
        <v>128</v>
      </c>
      <c r="G1200" s="4" t="s">
        <v>50</v>
      </c>
      <c r="H1200" s="4" t="s">
        <v>26</v>
      </c>
      <c r="I1200" s="5">
        <v>65000000</v>
      </c>
      <c r="J1200" s="5">
        <v>135000</v>
      </c>
      <c r="K1200" s="5">
        <v>13500</v>
      </c>
      <c r="L1200" s="4" t="s">
        <v>129</v>
      </c>
      <c r="M1200" s="4" t="s">
        <v>130</v>
      </c>
      <c r="N1200" s="3">
        <v>45894</v>
      </c>
      <c r="O1200" s="4" t="s">
        <v>532</v>
      </c>
      <c r="P1200" s="2">
        <v>1000</v>
      </c>
      <c r="Q1200" s="2">
        <v>6304</v>
      </c>
      <c r="R1200" s="4" t="s">
        <v>749</v>
      </c>
      <c r="S1200" s="5">
        <v>60417600</v>
      </c>
    </row>
    <row r="1201" spans="1:19" x14ac:dyDescent="0.25">
      <c r="A1201" s="4" t="s">
        <v>61</v>
      </c>
      <c r="B1201" s="4" t="s">
        <v>59</v>
      </c>
      <c r="C1201" s="4" t="s">
        <v>62</v>
      </c>
      <c r="D1201" s="4" t="s">
        <v>63</v>
      </c>
      <c r="E1201" s="4" t="s">
        <v>498</v>
      </c>
      <c r="F1201" s="4" t="s">
        <v>499</v>
      </c>
      <c r="G1201" s="4" t="s">
        <v>144</v>
      </c>
      <c r="H1201" s="4" t="s">
        <v>26</v>
      </c>
      <c r="I1201" s="5">
        <v>90000000</v>
      </c>
      <c r="J1201" s="5">
        <v>198000</v>
      </c>
      <c r="K1201" s="5">
        <v>19800</v>
      </c>
      <c r="L1201" s="4" t="s">
        <v>500</v>
      </c>
      <c r="M1201" s="4" t="s">
        <v>501</v>
      </c>
      <c r="N1201" s="3">
        <v>45894</v>
      </c>
      <c r="O1201" s="4" t="s">
        <v>532</v>
      </c>
      <c r="P1201" s="2">
        <v>1000</v>
      </c>
      <c r="Q1201" s="2">
        <v>6305</v>
      </c>
      <c r="R1201" s="4" t="s">
        <v>749</v>
      </c>
      <c r="S1201" s="5">
        <v>84861850</v>
      </c>
    </row>
    <row r="1202" spans="1:19" x14ac:dyDescent="0.25">
      <c r="A1202" s="4" t="s">
        <v>61</v>
      </c>
      <c r="B1202" s="4" t="s">
        <v>59</v>
      </c>
      <c r="C1202" s="4" t="s">
        <v>62</v>
      </c>
      <c r="D1202" s="4" t="s">
        <v>63</v>
      </c>
      <c r="E1202" s="4" t="s">
        <v>498</v>
      </c>
      <c r="F1202" s="4" t="s">
        <v>499</v>
      </c>
      <c r="G1202" s="4" t="s">
        <v>144</v>
      </c>
      <c r="H1202" s="4" t="s">
        <v>26</v>
      </c>
      <c r="I1202" s="5">
        <v>90000000</v>
      </c>
      <c r="J1202" s="5">
        <v>245000</v>
      </c>
      <c r="K1202" s="5">
        <v>24500</v>
      </c>
      <c r="L1202" s="4" t="s">
        <v>500</v>
      </c>
      <c r="M1202" s="4" t="s">
        <v>501</v>
      </c>
      <c r="N1202" s="3">
        <v>45894</v>
      </c>
      <c r="O1202" s="4" t="s">
        <v>532</v>
      </c>
      <c r="P1202" s="2">
        <v>2000</v>
      </c>
      <c r="Q1202" s="2">
        <v>6305</v>
      </c>
      <c r="R1202" s="4" t="s">
        <v>26</v>
      </c>
      <c r="S1202" s="5">
        <v>84861850</v>
      </c>
    </row>
    <row r="1203" spans="1:19" x14ac:dyDescent="0.25">
      <c r="A1203" s="4" t="s">
        <v>61</v>
      </c>
      <c r="B1203" s="4" t="s">
        <v>59</v>
      </c>
      <c r="C1203" s="4" t="s">
        <v>62</v>
      </c>
      <c r="D1203" s="4" t="s">
        <v>63</v>
      </c>
      <c r="E1203" s="4" t="s">
        <v>127</v>
      </c>
      <c r="F1203" s="4" t="s">
        <v>128</v>
      </c>
      <c r="G1203" s="4" t="s">
        <v>50</v>
      </c>
      <c r="H1203" s="4" t="s">
        <v>26</v>
      </c>
      <c r="I1203" s="5">
        <v>65000000</v>
      </c>
      <c r="J1203" s="5">
        <v>50000</v>
      </c>
      <c r="K1203" s="5">
        <v>5000</v>
      </c>
      <c r="L1203" s="4" t="s">
        <v>129</v>
      </c>
      <c r="M1203" s="4" t="s">
        <v>130</v>
      </c>
      <c r="N1203" s="3">
        <v>45894</v>
      </c>
      <c r="O1203" s="4" t="s">
        <v>532</v>
      </c>
      <c r="P1203" s="2">
        <v>1000</v>
      </c>
      <c r="Q1203" s="2">
        <v>6307</v>
      </c>
      <c r="R1203" s="4" t="s">
        <v>749</v>
      </c>
      <c r="S1203" s="5">
        <v>60417600</v>
      </c>
    </row>
    <row r="1204" spans="1:19" x14ac:dyDescent="0.25">
      <c r="A1204" s="4" t="s">
        <v>61</v>
      </c>
      <c r="B1204" s="4" t="s">
        <v>59</v>
      </c>
      <c r="C1204" s="4" t="s">
        <v>62</v>
      </c>
      <c r="D1204" s="4" t="s">
        <v>63</v>
      </c>
      <c r="E1204" s="4" t="s">
        <v>398</v>
      </c>
      <c r="F1204" s="4" t="s">
        <v>399</v>
      </c>
      <c r="G1204" s="4" t="s">
        <v>309</v>
      </c>
      <c r="H1204" s="4" t="s">
        <v>26</v>
      </c>
      <c r="I1204" s="5">
        <v>90000000</v>
      </c>
      <c r="J1204" s="5">
        <v>131600</v>
      </c>
      <c r="K1204" s="5">
        <v>13160</v>
      </c>
      <c r="L1204" s="4" t="s">
        <v>400</v>
      </c>
      <c r="M1204" s="4" t="s">
        <v>401</v>
      </c>
      <c r="N1204" s="3">
        <v>45898</v>
      </c>
      <c r="O1204" s="4" t="s">
        <v>283</v>
      </c>
      <c r="P1204" s="2">
        <v>1000</v>
      </c>
      <c r="Q1204" s="2">
        <v>6317</v>
      </c>
      <c r="R1204" s="4" t="s">
        <v>755</v>
      </c>
      <c r="S1204" s="5">
        <v>88662000</v>
      </c>
    </row>
    <row r="1205" spans="1:19" x14ac:dyDescent="0.25">
      <c r="A1205" s="4" t="s">
        <v>61</v>
      </c>
      <c r="B1205" s="4" t="s">
        <v>59</v>
      </c>
      <c r="C1205" s="4" t="s">
        <v>62</v>
      </c>
      <c r="D1205" s="4" t="s">
        <v>63</v>
      </c>
      <c r="E1205" s="4" t="s">
        <v>398</v>
      </c>
      <c r="F1205" s="4" t="s">
        <v>399</v>
      </c>
      <c r="G1205" s="4" t="s">
        <v>309</v>
      </c>
      <c r="H1205" s="4" t="s">
        <v>26</v>
      </c>
      <c r="I1205" s="5">
        <v>90000000</v>
      </c>
      <c r="J1205" s="5">
        <v>23100</v>
      </c>
      <c r="K1205" s="5">
        <v>2310</v>
      </c>
      <c r="L1205" s="4" t="s">
        <v>400</v>
      </c>
      <c r="M1205" s="4" t="s">
        <v>401</v>
      </c>
      <c r="N1205" s="3">
        <v>45898</v>
      </c>
      <c r="O1205" s="4" t="s">
        <v>283</v>
      </c>
      <c r="P1205" s="2">
        <v>2000</v>
      </c>
      <c r="Q1205" s="2">
        <v>6317</v>
      </c>
      <c r="R1205" s="4" t="s">
        <v>755</v>
      </c>
      <c r="S1205" s="5">
        <v>88662000</v>
      </c>
    </row>
    <row r="1206" spans="1:19" x14ac:dyDescent="0.25">
      <c r="A1206" s="4" t="s">
        <v>61</v>
      </c>
      <c r="B1206" s="4" t="s">
        <v>59</v>
      </c>
      <c r="C1206" s="4" t="s">
        <v>62</v>
      </c>
      <c r="D1206" s="4" t="s">
        <v>63</v>
      </c>
      <c r="E1206" s="4" t="s">
        <v>398</v>
      </c>
      <c r="F1206" s="4" t="s">
        <v>399</v>
      </c>
      <c r="G1206" s="4" t="s">
        <v>309</v>
      </c>
      <c r="H1206" s="4" t="s">
        <v>26</v>
      </c>
      <c r="I1206" s="5">
        <v>90000000</v>
      </c>
      <c r="J1206" s="5">
        <v>53900</v>
      </c>
      <c r="K1206" s="5">
        <v>5390</v>
      </c>
      <c r="L1206" s="4" t="s">
        <v>400</v>
      </c>
      <c r="M1206" s="4" t="s">
        <v>401</v>
      </c>
      <c r="N1206" s="3">
        <v>45898</v>
      </c>
      <c r="O1206" s="4" t="s">
        <v>283</v>
      </c>
      <c r="P1206" s="2">
        <v>3000</v>
      </c>
      <c r="Q1206" s="2">
        <v>6317</v>
      </c>
      <c r="R1206" s="4" t="s">
        <v>755</v>
      </c>
      <c r="S1206" s="5">
        <v>88662000</v>
      </c>
    </row>
    <row r="1207" spans="1:19" x14ac:dyDescent="0.25">
      <c r="A1207" s="4" t="s">
        <v>61</v>
      </c>
      <c r="B1207" s="4" t="s">
        <v>59</v>
      </c>
      <c r="C1207" s="4" t="s">
        <v>62</v>
      </c>
      <c r="D1207" s="4" t="s">
        <v>63</v>
      </c>
      <c r="E1207" s="4" t="s">
        <v>398</v>
      </c>
      <c r="F1207" s="4" t="s">
        <v>399</v>
      </c>
      <c r="G1207" s="4" t="s">
        <v>309</v>
      </c>
      <c r="H1207" s="4" t="s">
        <v>26</v>
      </c>
      <c r="I1207" s="5">
        <v>90000000</v>
      </c>
      <c r="J1207" s="5">
        <v>15400</v>
      </c>
      <c r="K1207" s="5">
        <v>1540</v>
      </c>
      <c r="L1207" s="4" t="s">
        <v>400</v>
      </c>
      <c r="M1207" s="4" t="s">
        <v>401</v>
      </c>
      <c r="N1207" s="3">
        <v>45898</v>
      </c>
      <c r="O1207" s="4" t="s">
        <v>283</v>
      </c>
      <c r="P1207" s="2">
        <v>4000</v>
      </c>
      <c r="Q1207" s="2">
        <v>6317</v>
      </c>
      <c r="R1207" s="4" t="s">
        <v>755</v>
      </c>
      <c r="S1207" s="5">
        <v>88662000</v>
      </c>
    </row>
    <row r="1208" spans="1:19" x14ac:dyDescent="0.25">
      <c r="A1208" s="4" t="s">
        <v>61</v>
      </c>
      <c r="B1208" s="4" t="s">
        <v>59</v>
      </c>
      <c r="C1208" s="4" t="s">
        <v>62</v>
      </c>
      <c r="D1208" s="4" t="s">
        <v>63</v>
      </c>
      <c r="E1208" s="4" t="s">
        <v>210</v>
      </c>
      <c r="F1208" s="4" t="s">
        <v>211</v>
      </c>
      <c r="G1208" s="4" t="s">
        <v>50</v>
      </c>
      <c r="H1208" s="4" t="s">
        <v>26</v>
      </c>
      <c r="I1208" s="5">
        <v>65000000</v>
      </c>
      <c r="J1208" s="5">
        <v>61600</v>
      </c>
      <c r="K1208" s="5">
        <v>6160</v>
      </c>
      <c r="L1208" s="4" t="s">
        <v>212</v>
      </c>
      <c r="M1208" s="4" t="s">
        <v>213</v>
      </c>
      <c r="N1208" s="3">
        <v>45898</v>
      </c>
      <c r="O1208" s="4" t="s">
        <v>283</v>
      </c>
      <c r="P1208" s="2">
        <v>1000</v>
      </c>
      <c r="Q1208" s="2">
        <v>6343</v>
      </c>
      <c r="R1208" s="4" t="s">
        <v>755</v>
      </c>
      <c r="S1208" s="5">
        <v>63482950</v>
      </c>
    </row>
    <row r="1209" spans="1:19" x14ac:dyDescent="0.25">
      <c r="A1209" s="4" t="s">
        <v>61</v>
      </c>
      <c r="B1209" s="4" t="s">
        <v>59</v>
      </c>
      <c r="C1209" s="4" t="s">
        <v>62</v>
      </c>
      <c r="D1209" s="4" t="s">
        <v>63</v>
      </c>
      <c r="E1209" s="4" t="s">
        <v>210</v>
      </c>
      <c r="F1209" s="4" t="s">
        <v>211</v>
      </c>
      <c r="G1209" s="4" t="s">
        <v>50</v>
      </c>
      <c r="H1209" s="4" t="s">
        <v>26</v>
      </c>
      <c r="I1209" s="5">
        <v>65000000</v>
      </c>
      <c r="J1209" s="5">
        <v>58100</v>
      </c>
      <c r="K1209" s="5">
        <v>5810</v>
      </c>
      <c r="L1209" s="4" t="s">
        <v>212</v>
      </c>
      <c r="M1209" s="4" t="s">
        <v>213</v>
      </c>
      <c r="N1209" s="3">
        <v>45898</v>
      </c>
      <c r="O1209" s="4" t="s">
        <v>283</v>
      </c>
      <c r="P1209" s="2">
        <v>2000</v>
      </c>
      <c r="Q1209" s="2">
        <v>6343</v>
      </c>
      <c r="R1209" s="4" t="s">
        <v>755</v>
      </c>
      <c r="S1209" s="5">
        <v>63482950</v>
      </c>
    </row>
    <row r="1210" spans="1:19" x14ac:dyDescent="0.25">
      <c r="A1210" s="4" t="s">
        <v>61</v>
      </c>
      <c r="B1210" s="4" t="s">
        <v>59</v>
      </c>
      <c r="C1210" s="4" t="s">
        <v>62</v>
      </c>
      <c r="D1210" s="4" t="s">
        <v>63</v>
      </c>
      <c r="E1210" s="4" t="s">
        <v>210</v>
      </c>
      <c r="F1210" s="4" t="s">
        <v>211</v>
      </c>
      <c r="G1210" s="4" t="s">
        <v>50</v>
      </c>
      <c r="H1210" s="4" t="s">
        <v>26</v>
      </c>
      <c r="I1210" s="5">
        <v>65000000</v>
      </c>
      <c r="J1210" s="5">
        <v>58100</v>
      </c>
      <c r="K1210" s="5">
        <v>5810</v>
      </c>
      <c r="L1210" s="4" t="s">
        <v>212</v>
      </c>
      <c r="M1210" s="4" t="s">
        <v>213</v>
      </c>
      <c r="N1210" s="3">
        <v>45898</v>
      </c>
      <c r="O1210" s="4" t="s">
        <v>283</v>
      </c>
      <c r="P1210" s="2">
        <v>3000</v>
      </c>
      <c r="Q1210" s="2">
        <v>6343</v>
      </c>
      <c r="R1210" s="4" t="s">
        <v>755</v>
      </c>
      <c r="S1210" s="5">
        <v>63482950</v>
      </c>
    </row>
    <row r="1211" spans="1:19" x14ac:dyDescent="0.25">
      <c r="A1211" s="4" t="s">
        <v>61</v>
      </c>
      <c r="B1211" s="4" t="s">
        <v>59</v>
      </c>
      <c r="C1211" s="4" t="s">
        <v>62</v>
      </c>
      <c r="D1211" s="4" t="s">
        <v>63</v>
      </c>
      <c r="E1211" s="4" t="s">
        <v>210</v>
      </c>
      <c r="F1211" s="4" t="s">
        <v>211</v>
      </c>
      <c r="G1211" s="4" t="s">
        <v>50</v>
      </c>
      <c r="H1211" s="4" t="s">
        <v>26</v>
      </c>
      <c r="I1211" s="5">
        <v>65000000</v>
      </c>
      <c r="J1211" s="5">
        <v>196000</v>
      </c>
      <c r="K1211" s="5">
        <v>19600</v>
      </c>
      <c r="L1211" s="4" t="s">
        <v>212</v>
      </c>
      <c r="M1211" s="4" t="s">
        <v>213</v>
      </c>
      <c r="N1211" s="3">
        <v>45898</v>
      </c>
      <c r="O1211" s="4" t="s">
        <v>283</v>
      </c>
      <c r="P1211" s="2">
        <v>4000</v>
      </c>
      <c r="Q1211" s="2">
        <v>6343</v>
      </c>
      <c r="R1211" s="4" t="s">
        <v>755</v>
      </c>
      <c r="S1211" s="5">
        <v>63482950</v>
      </c>
    </row>
    <row r="1212" spans="1:19" x14ac:dyDescent="0.25">
      <c r="A1212" s="4" t="s">
        <v>61</v>
      </c>
      <c r="B1212" s="4" t="s">
        <v>59</v>
      </c>
      <c r="C1212" s="4" t="s">
        <v>62</v>
      </c>
      <c r="D1212" s="4" t="s">
        <v>63</v>
      </c>
      <c r="E1212" s="4" t="s">
        <v>255</v>
      </c>
      <c r="F1212" s="4" t="s">
        <v>256</v>
      </c>
      <c r="G1212" s="4" t="s">
        <v>144</v>
      </c>
      <c r="H1212" s="4" t="s">
        <v>26</v>
      </c>
      <c r="I1212" s="5">
        <v>90000000</v>
      </c>
      <c r="J1212" s="5">
        <v>150000</v>
      </c>
      <c r="K1212" s="5">
        <v>15000</v>
      </c>
      <c r="L1212" s="4" t="s">
        <v>257</v>
      </c>
      <c r="M1212" s="4" t="s">
        <v>258</v>
      </c>
      <c r="N1212" s="3">
        <v>45898</v>
      </c>
      <c r="O1212" s="4" t="s">
        <v>283</v>
      </c>
      <c r="P1212" s="2">
        <v>1000</v>
      </c>
      <c r="Q1212" s="2">
        <v>6345</v>
      </c>
      <c r="R1212" s="4" t="s">
        <v>26</v>
      </c>
      <c r="S1212" s="5">
        <v>81505500</v>
      </c>
    </row>
    <row r="1213" spans="1:19" x14ac:dyDescent="0.25">
      <c r="A1213" s="4" t="s">
        <v>61</v>
      </c>
      <c r="B1213" s="4" t="s">
        <v>59</v>
      </c>
      <c r="C1213" s="4" t="s">
        <v>62</v>
      </c>
      <c r="D1213" s="4" t="s">
        <v>63</v>
      </c>
      <c r="E1213" s="4" t="s">
        <v>255</v>
      </c>
      <c r="F1213" s="4" t="s">
        <v>256</v>
      </c>
      <c r="G1213" s="4" t="s">
        <v>144</v>
      </c>
      <c r="H1213" s="4" t="s">
        <v>26</v>
      </c>
      <c r="I1213" s="5">
        <v>90000000</v>
      </c>
      <c r="J1213" s="5">
        <v>211000</v>
      </c>
      <c r="K1213" s="5">
        <v>21100</v>
      </c>
      <c r="L1213" s="4" t="s">
        <v>257</v>
      </c>
      <c r="M1213" s="4" t="s">
        <v>258</v>
      </c>
      <c r="N1213" s="3">
        <v>45898</v>
      </c>
      <c r="O1213" s="4" t="s">
        <v>283</v>
      </c>
      <c r="P1213" s="2">
        <v>2000</v>
      </c>
      <c r="Q1213" s="2">
        <v>6345</v>
      </c>
      <c r="R1213" s="4" t="s">
        <v>26</v>
      </c>
      <c r="S1213" s="5">
        <v>81505500</v>
      </c>
    </row>
    <row r="1214" spans="1:19" x14ac:dyDescent="0.25">
      <c r="A1214" s="4" t="s">
        <v>61</v>
      </c>
      <c r="B1214" s="4" t="s">
        <v>59</v>
      </c>
      <c r="C1214" s="4" t="s">
        <v>62</v>
      </c>
      <c r="D1214" s="4" t="s">
        <v>63</v>
      </c>
      <c r="E1214" s="4" t="s">
        <v>255</v>
      </c>
      <c r="F1214" s="4" t="s">
        <v>256</v>
      </c>
      <c r="G1214" s="4" t="s">
        <v>144</v>
      </c>
      <c r="H1214" s="4" t="s">
        <v>26</v>
      </c>
      <c r="I1214" s="5">
        <v>90000000</v>
      </c>
      <c r="J1214" s="5">
        <v>177000</v>
      </c>
      <c r="K1214" s="5">
        <v>17700</v>
      </c>
      <c r="L1214" s="4" t="s">
        <v>257</v>
      </c>
      <c r="M1214" s="4" t="s">
        <v>258</v>
      </c>
      <c r="N1214" s="3">
        <v>45898</v>
      </c>
      <c r="O1214" s="4" t="s">
        <v>283</v>
      </c>
      <c r="P1214" s="2">
        <v>3000</v>
      </c>
      <c r="Q1214" s="2">
        <v>6345</v>
      </c>
      <c r="R1214" s="4" t="s">
        <v>26</v>
      </c>
      <c r="S1214" s="5">
        <v>81505500</v>
      </c>
    </row>
    <row r="1215" spans="1:19" x14ac:dyDescent="0.25">
      <c r="A1215" s="4" t="s">
        <v>61</v>
      </c>
      <c r="B1215" s="4" t="s">
        <v>59</v>
      </c>
      <c r="C1215" s="4" t="s">
        <v>62</v>
      </c>
      <c r="D1215" s="4" t="s">
        <v>63</v>
      </c>
      <c r="E1215" s="4" t="s">
        <v>255</v>
      </c>
      <c r="F1215" s="4" t="s">
        <v>256</v>
      </c>
      <c r="G1215" s="4" t="s">
        <v>144</v>
      </c>
      <c r="H1215" s="4" t="s">
        <v>26</v>
      </c>
      <c r="I1215" s="5">
        <v>90000000</v>
      </c>
      <c r="J1215" s="5">
        <v>244000</v>
      </c>
      <c r="K1215" s="5">
        <v>24400</v>
      </c>
      <c r="L1215" s="4" t="s">
        <v>257</v>
      </c>
      <c r="M1215" s="4" t="s">
        <v>258</v>
      </c>
      <c r="N1215" s="3">
        <v>45898</v>
      </c>
      <c r="O1215" s="4" t="s">
        <v>283</v>
      </c>
      <c r="P1215" s="2">
        <v>4000</v>
      </c>
      <c r="Q1215" s="2">
        <v>6345</v>
      </c>
      <c r="R1215" s="4" t="s">
        <v>26</v>
      </c>
      <c r="S1215" s="5">
        <v>81505500</v>
      </c>
    </row>
    <row r="1216" spans="1:19" x14ac:dyDescent="0.25">
      <c r="A1216" s="4" t="s">
        <v>61</v>
      </c>
      <c r="B1216" s="4" t="s">
        <v>59</v>
      </c>
      <c r="C1216" s="4" t="s">
        <v>62</v>
      </c>
      <c r="D1216" s="4" t="s">
        <v>63</v>
      </c>
      <c r="E1216" s="4" t="s">
        <v>202</v>
      </c>
      <c r="F1216" s="4" t="s">
        <v>203</v>
      </c>
      <c r="G1216" s="4" t="s">
        <v>100</v>
      </c>
      <c r="H1216" s="4" t="s">
        <v>26</v>
      </c>
      <c r="I1216" s="5">
        <v>65000000</v>
      </c>
      <c r="J1216" s="5">
        <v>67500</v>
      </c>
      <c r="K1216" s="5">
        <v>6750</v>
      </c>
      <c r="L1216" s="4" t="s">
        <v>445</v>
      </c>
      <c r="M1216" s="4" t="s">
        <v>446</v>
      </c>
      <c r="N1216" s="3">
        <v>45894</v>
      </c>
      <c r="O1216" s="4" t="s">
        <v>432</v>
      </c>
      <c r="P1216" s="2">
        <v>1000</v>
      </c>
      <c r="Q1216" s="2">
        <v>6364</v>
      </c>
      <c r="R1216" s="4" t="s">
        <v>755</v>
      </c>
      <c r="S1216" s="5">
        <v>63226550</v>
      </c>
    </row>
    <row r="1217" spans="1:19" x14ac:dyDescent="0.25">
      <c r="A1217" s="4" t="s">
        <v>61</v>
      </c>
      <c r="B1217" s="4" t="s">
        <v>59</v>
      </c>
      <c r="C1217" s="4" t="s">
        <v>62</v>
      </c>
      <c r="D1217" s="4" t="s">
        <v>63</v>
      </c>
      <c r="E1217" s="4" t="s">
        <v>202</v>
      </c>
      <c r="F1217" s="4" t="s">
        <v>203</v>
      </c>
      <c r="G1217" s="4" t="s">
        <v>100</v>
      </c>
      <c r="H1217" s="4" t="s">
        <v>26</v>
      </c>
      <c r="I1217" s="5">
        <v>65000000</v>
      </c>
      <c r="J1217" s="5">
        <v>61200</v>
      </c>
      <c r="K1217" s="5">
        <v>6120</v>
      </c>
      <c r="L1217" s="4" t="s">
        <v>445</v>
      </c>
      <c r="M1217" s="4" t="s">
        <v>446</v>
      </c>
      <c r="N1217" s="3">
        <v>45894</v>
      </c>
      <c r="O1217" s="4" t="s">
        <v>432</v>
      </c>
      <c r="P1217" s="2">
        <v>2000</v>
      </c>
      <c r="Q1217" s="2">
        <v>6364</v>
      </c>
      <c r="R1217" s="4" t="s">
        <v>755</v>
      </c>
      <c r="S1217" s="5">
        <v>63226550</v>
      </c>
    </row>
    <row r="1218" spans="1:19" x14ac:dyDescent="0.25">
      <c r="A1218" s="4" t="s">
        <v>61</v>
      </c>
      <c r="B1218" s="4" t="s">
        <v>59</v>
      </c>
      <c r="C1218" s="4" t="s">
        <v>62</v>
      </c>
      <c r="D1218" s="4" t="s">
        <v>63</v>
      </c>
      <c r="E1218" s="4" t="s">
        <v>103</v>
      </c>
      <c r="F1218" s="4" t="s">
        <v>104</v>
      </c>
      <c r="G1218" s="4" t="s">
        <v>105</v>
      </c>
      <c r="H1218" s="4" t="s">
        <v>26</v>
      </c>
      <c r="I1218" s="5">
        <v>155000000</v>
      </c>
      <c r="J1218" s="5">
        <v>39200</v>
      </c>
      <c r="K1218" s="5">
        <v>3920</v>
      </c>
      <c r="L1218" s="4" t="s">
        <v>26</v>
      </c>
      <c r="M1218" s="4" t="s">
        <v>26</v>
      </c>
      <c r="N1218" s="3">
        <v>45889</v>
      </c>
      <c r="O1218" s="4" t="s">
        <v>565</v>
      </c>
      <c r="P1218" s="2">
        <v>1000</v>
      </c>
      <c r="Q1218" s="2">
        <v>6381</v>
      </c>
      <c r="R1218" s="4" t="s">
        <v>749</v>
      </c>
      <c r="S1218" s="5">
        <v>150234500</v>
      </c>
    </row>
    <row r="1219" spans="1:19" x14ac:dyDescent="0.25">
      <c r="A1219" s="4" t="s">
        <v>61</v>
      </c>
      <c r="B1219" s="4" t="s">
        <v>59</v>
      </c>
      <c r="C1219" s="4" t="s">
        <v>62</v>
      </c>
      <c r="D1219" s="4" t="s">
        <v>63</v>
      </c>
      <c r="E1219" s="4" t="s">
        <v>202</v>
      </c>
      <c r="F1219" s="4" t="s">
        <v>203</v>
      </c>
      <c r="G1219" s="4" t="s">
        <v>100</v>
      </c>
      <c r="H1219" s="4" t="s">
        <v>26</v>
      </c>
      <c r="I1219" s="5">
        <v>65000000</v>
      </c>
      <c r="J1219" s="5">
        <v>136000</v>
      </c>
      <c r="K1219" s="5">
        <v>13600</v>
      </c>
      <c r="L1219" s="4" t="s">
        <v>212</v>
      </c>
      <c r="M1219" s="4" t="s">
        <v>213</v>
      </c>
      <c r="N1219" s="3">
        <v>45887</v>
      </c>
      <c r="O1219" s="4" t="s">
        <v>416</v>
      </c>
      <c r="P1219" s="2">
        <v>1000</v>
      </c>
      <c r="Q1219" s="2">
        <v>6404</v>
      </c>
      <c r="R1219" s="4" t="s">
        <v>26</v>
      </c>
      <c r="S1219" s="5">
        <v>63226550</v>
      </c>
    </row>
    <row r="1220" spans="1:19" x14ac:dyDescent="0.25">
      <c r="A1220" s="4" t="s">
        <v>61</v>
      </c>
      <c r="B1220" s="4" t="s">
        <v>59</v>
      </c>
      <c r="C1220" s="4" t="s">
        <v>62</v>
      </c>
      <c r="D1220" s="4" t="s">
        <v>63</v>
      </c>
      <c r="E1220" s="4" t="s">
        <v>178</v>
      </c>
      <c r="F1220" s="4" t="s">
        <v>179</v>
      </c>
      <c r="G1220" s="4" t="s">
        <v>124</v>
      </c>
      <c r="H1220" s="4" t="s">
        <v>26</v>
      </c>
      <c r="I1220" s="5">
        <v>65000000</v>
      </c>
      <c r="J1220" s="5">
        <v>34000</v>
      </c>
      <c r="K1220" s="5">
        <v>3400</v>
      </c>
      <c r="L1220" s="4" t="s">
        <v>214</v>
      </c>
      <c r="M1220" s="4" t="s">
        <v>215</v>
      </c>
      <c r="N1220" s="3">
        <v>45882</v>
      </c>
      <c r="O1220" s="4" t="s">
        <v>154</v>
      </c>
      <c r="P1220" s="2">
        <v>1000</v>
      </c>
      <c r="Q1220" s="2">
        <v>6415</v>
      </c>
      <c r="R1220" s="4" t="s">
        <v>84</v>
      </c>
      <c r="S1220" s="5">
        <v>54146650</v>
      </c>
    </row>
    <row r="1221" spans="1:19" x14ac:dyDescent="0.25">
      <c r="A1221" s="4" t="s">
        <v>61</v>
      </c>
      <c r="B1221" s="4" t="s">
        <v>59</v>
      </c>
      <c r="C1221" s="4" t="s">
        <v>62</v>
      </c>
      <c r="D1221" s="4" t="s">
        <v>63</v>
      </c>
      <c r="E1221" s="4" t="s">
        <v>528</v>
      </c>
      <c r="F1221" s="4" t="s">
        <v>529</v>
      </c>
      <c r="G1221" s="4" t="s">
        <v>144</v>
      </c>
      <c r="H1221" s="4" t="s">
        <v>26</v>
      </c>
      <c r="I1221" s="5">
        <v>90000000</v>
      </c>
      <c r="J1221" s="5">
        <v>346000</v>
      </c>
      <c r="K1221" s="5">
        <v>34600</v>
      </c>
      <c r="L1221" s="4" t="s">
        <v>530</v>
      </c>
      <c r="M1221" s="4" t="s">
        <v>531</v>
      </c>
      <c r="N1221" s="3">
        <v>45888</v>
      </c>
      <c r="O1221" s="4" t="s">
        <v>716</v>
      </c>
      <c r="P1221" s="2">
        <v>1000</v>
      </c>
      <c r="Q1221" s="2">
        <v>6417</v>
      </c>
      <c r="R1221" s="4" t="s">
        <v>604</v>
      </c>
      <c r="S1221" s="5">
        <v>88125000</v>
      </c>
    </row>
    <row r="1222" spans="1:19" x14ac:dyDescent="0.25">
      <c r="A1222" s="4" t="s">
        <v>61</v>
      </c>
      <c r="B1222" s="4" t="s">
        <v>59</v>
      </c>
      <c r="C1222" s="4" t="s">
        <v>62</v>
      </c>
      <c r="D1222" s="4" t="s">
        <v>63</v>
      </c>
      <c r="E1222" s="4" t="s">
        <v>178</v>
      </c>
      <c r="F1222" s="4" t="s">
        <v>179</v>
      </c>
      <c r="G1222" s="4" t="s">
        <v>124</v>
      </c>
      <c r="H1222" s="4" t="s">
        <v>26</v>
      </c>
      <c r="I1222" s="5">
        <v>65000000</v>
      </c>
      <c r="J1222" s="5">
        <v>55000</v>
      </c>
      <c r="K1222" s="5">
        <v>5500</v>
      </c>
      <c r="L1222" s="4" t="s">
        <v>214</v>
      </c>
      <c r="M1222" s="4" t="s">
        <v>215</v>
      </c>
      <c r="N1222" s="3">
        <v>45882</v>
      </c>
      <c r="O1222" s="4" t="s">
        <v>154</v>
      </c>
      <c r="P1222" s="2">
        <v>1000</v>
      </c>
      <c r="Q1222" s="2">
        <v>6418</v>
      </c>
      <c r="R1222" s="4" t="s">
        <v>749</v>
      </c>
      <c r="S1222" s="5">
        <v>54146650</v>
      </c>
    </row>
    <row r="1223" spans="1:19" x14ac:dyDescent="0.25">
      <c r="A1223" s="4" t="s">
        <v>61</v>
      </c>
      <c r="B1223" s="4" t="s">
        <v>59</v>
      </c>
      <c r="C1223" s="4" t="s">
        <v>62</v>
      </c>
      <c r="D1223" s="4" t="s">
        <v>63</v>
      </c>
      <c r="E1223" s="4" t="s">
        <v>127</v>
      </c>
      <c r="F1223" s="4" t="s">
        <v>128</v>
      </c>
      <c r="G1223" s="4" t="s">
        <v>50</v>
      </c>
      <c r="H1223" s="4" t="s">
        <v>26</v>
      </c>
      <c r="I1223" s="5">
        <v>65000000</v>
      </c>
      <c r="J1223" s="5">
        <v>162000</v>
      </c>
      <c r="K1223" s="5">
        <v>16200</v>
      </c>
      <c r="L1223" s="4" t="s">
        <v>129</v>
      </c>
      <c r="M1223" s="4" t="s">
        <v>130</v>
      </c>
      <c r="N1223" s="3">
        <v>45895</v>
      </c>
      <c r="O1223" s="4" t="s">
        <v>532</v>
      </c>
      <c r="P1223" s="2">
        <v>1000</v>
      </c>
      <c r="Q1223" s="2">
        <v>6503</v>
      </c>
      <c r="R1223" s="4" t="s">
        <v>26</v>
      </c>
      <c r="S1223" s="5">
        <v>60417600</v>
      </c>
    </row>
    <row r="1224" spans="1:19" x14ac:dyDescent="0.25">
      <c r="A1224" s="4" t="s">
        <v>61</v>
      </c>
      <c r="B1224" s="4" t="s">
        <v>59</v>
      </c>
      <c r="C1224" s="4" t="s">
        <v>62</v>
      </c>
      <c r="D1224" s="4" t="s">
        <v>63</v>
      </c>
      <c r="E1224" s="4" t="s">
        <v>127</v>
      </c>
      <c r="F1224" s="4" t="s">
        <v>128</v>
      </c>
      <c r="G1224" s="4" t="s">
        <v>50</v>
      </c>
      <c r="H1224" s="4" t="s">
        <v>26</v>
      </c>
      <c r="I1224" s="5">
        <v>65000000</v>
      </c>
      <c r="J1224" s="5">
        <v>29450</v>
      </c>
      <c r="K1224" s="5">
        <v>2945</v>
      </c>
      <c r="L1224" s="4" t="s">
        <v>129</v>
      </c>
      <c r="M1224" s="4" t="s">
        <v>130</v>
      </c>
      <c r="N1224" s="3">
        <v>45895</v>
      </c>
      <c r="O1224" s="4" t="s">
        <v>532</v>
      </c>
      <c r="P1224" s="2">
        <v>2000</v>
      </c>
      <c r="Q1224" s="2">
        <v>6503</v>
      </c>
      <c r="R1224" s="4" t="s">
        <v>26</v>
      </c>
      <c r="S1224" s="5">
        <v>60417600</v>
      </c>
    </row>
    <row r="1225" spans="1:19" x14ac:dyDescent="0.25">
      <c r="A1225" s="4" t="s">
        <v>61</v>
      </c>
      <c r="B1225" s="4" t="s">
        <v>59</v>
      </c>
      <c r="C1225" s="4" t="s">
        <v>62</v>
      </c>
      <c r="D1225" s="4" t="s">
        <v>63</v>
      </c>
      <c r="E1225" s="4" t="s">
        <v>69</v>
      </c>
      <c r="F1225" s="4" t="s">
        <v>70</v>
      </c>
      <c r="G1225" s="4" t="s">
        <v>71</v>
      </c>
      <c r="H1225" s="4" t="s">
        <v>26</v>
      </c>
      <c r="I1225" s="5">
        <v>155000000</v>
      </c>
      <c r="J1225" s="5">
        <v>41300</v>
      </c>
      <c r="K1225" s="5">
        <v>4130</v>
      </c>
      <c r="L1225" s="4" t="s">
        <v>72</v>
      </c>
      <c r="M1225" s="4" t="s">
        <v>73</v>
      </c>
      <c r="N1225" s="3">
        <v>45895</v>
      </c>
      <c r="O1225" s="4" t="s">
        <v>532</v>
      </c>
      <c r="P1225" s="2">
        <v>1000</v>
      </c>
      <c r="Q1225" s="2">
        <v>6506</v>
      </c>
      <c r="R1225" s="4" t="s">
        <v>749</v>
      </c>
      <c r="S1225" s="5">
        <v>143018000</v>
      </c>
    </row>
    <row r="1226" spans="1:19" x14ac:dyDescent="0.25">
      <c r="A1226" s="4" t="s">
        <v>61</v>
      </c>
      <c r="B1226" s="4" t="s">
        <v>59</v>
      </c>
      <c r="C1226" s="4" t="s">
        <v>62</v>
      </c>
      <c r="D1226" s="4" t="s">
        <v>63</v>
      </c>
      <c r="E1226" s="4" t="s">
        <v>92</v>
      </c>
      <c r="F1226" s="4" t="s">
        <v>93</v>
      </c>
      <c r="G1226" s="4" t="s">
        <v>94</v>
      </c>
      <c r="H1226" s="4" t="s">
        <v>26</v>
      </c>
      <c r="I1226" s="5">
        <v>155000000</v>
      </c>
      <c r="J1226" s="5">
        <v>157500</v>
      </c>
      <c r="K1226" s="5">
        <v>15750</v>
      </c>
      <c r="L1226" s="4" t="s">
        <v>26</v>
      </c>
      <c r="M1226" s="4" t="s">
        <v>26</v>
      </c>
      <c r="N1226" s="3">
        <v>45895</v>
      </c>
      <c r="O1226" s="4" t="s">
        <v>432</v>
      </c>
      <c r="P1226" s="2">
        <v>1000</v>
      </c>
      <c r="Q1226" s="2">
        <v>6514</v>
      </c>
      <c r="R1226" s="4" t="s">
        <v>755</v>
      </c>
      <c r="S1226" s="5">
        <v>145558700</v>
      </c>
    </row>
    <row r="1227" spans="1:19" x14ac:dyDescent="0.25">
      <c r="A1227" s="4" t="s">
        <v>61</v>
      </c>
      <c r="B1227" s="4" t="s">
        <v>59</v>
      </c>
      <c r="C1227" s="4" t="s">
        <v>62</v>
      </c>
      <c r="D1227" s="4" t="s">
        <v>63</v>
      </c>
      <c r="E1227" s="4" t="s">
        <v>92</v>
      </c>
      <c r="F1227" s="4" t="s">
        <v>93</v>
      </c>
      <c r="G1227" s="4" t="s">
        <v>94</v>
      </c>
      <c r="H1227" s="4" t="s">
        <v>26</v>
      </c>
      <c r="I1227" s="5">
        <v>155000000</v>
      </c>
      <c r="J1227" s="5">
        <v>152100</v>
      </c>
      <c r="K1227" s="5">
        <v>15210</v>
      </c>
      <c r="L1227" s="4" t="s">
        <v>26</v>
      </c>
      <c r="M1227" s="4" t="s">
        <v>26</v>
      </c>
      <c r="N1227" s="3">
        <v>45895</v>
      </c>
      <c r="O1227" s="4" t="s">
        <v>432</v>
      </c>
      <c r="P1227" s="2">
        <v>2000</v>
      </c>
      <c r="Q1227" s="2">
        <v>6514</v>
      </c>
      <c r="R1227" s="4" t="s">
        <v>755</v>
      </c>
      <c r="S1227" s="5">
        <v>145558700</v>
      </c>
    </row>
    <row r="1228" spans="1:19" x14ac:dyDescent="0.25">
      <c r="A1228" s="4" t="s">
        <v>61</v>
      </c>
      <c r="B1228" s="4" t="s">
        <v>59</v>
      </c>
      <c r="C1228" s="4" t="s">
        <v>62</v>
      </c>
      <c r="D1228" s="4" t="s">
        <v>63</v>
      </c>
      <c r="E1228" s="4" t="s">
        <v>92</v>
      </c>
      <c r="F1228" s="4" t="s">
        <v>93</v>
      </c>
      <c r="G1228" s="4" t="s">
        <v>94</v>
      </c>
      <c r="H1228" s="4" t="s">
        <v>26</v>
      </c>
      <c r="I1228" s="5">
        <v>155000000</v>
      </c>
      <c r="J1228" s="5">
        <v>22500</v>
      </c>
      <c r="K1228" s="5">
        <v>2250</v>
      </c>
      <c r="L1228" s="4" t="s">
        <v>26</v>
      </c>
      <c r="M1228" s="4" t="s">
        <v>26</v>
      </c>
      <c r="N1228" s="3">
        <v>45895</v>
      </c>
      <c r="O1228" s="4" t="s">
        <v>432</v>
      </c>
      <c r="P1228" s="2">
        <v>3000</v>
      </c>
      <c r="Q1228" s="2">
        <v>6514</v>
      </c>
      <c r="R1228" s="4" t="s">
        <v>755</v>
      </c>
      <c r="S1228" s="5">
        <v>145558700</v>
      </c>
    </row>
    <row r="1229" spans="1:19" x14ac:dyDescent="0.25">
      <c r="A1229" s="4" t="s">
        <v>61</v>
      </c>
      <c r="B1229" s="4" t="s">
        <v>59</v>
      </c>
      <c r="C1229" s="4" t="s">
        <v>62</v>
      </c>
      <c r="D1229" s="4" t="s">
        <v>63</v>
      </c>
      <c r="E1229" s="4" t="s">
        <v>305</v>
      </c>
      <c r="F1229" s="4" t="s">
        <v>306</v>
      </c>
      <c r="G1229" s="4" t="s">
        <v>100</v>
      </c>
      <c r="H1229" s="4" t="s">
        <v>26</v>
      </c>
      <c r="I1229" s="5">
        <v>65000000</v>
      </c>
      <c r="J1229" s="5">
        <v>49500</v>
      </c>
      <c r="K1229" s="5">
        <v>4950</v>
      </c>
      <c r="L1229" s="4" t="s">
        <v>26</v>
      </c>
      <c r="M1229" s="4" t="s">
        <v>26</v>
      </c>
      <c r="N1229" s="3">
        <v>45886</v>
      </c>
      <c r="O1229" s="4" t="s">
        <v>459</v>
      </c>
      <c r="P1229" s="2">
        <v>1000</v>
      </c>
      <c r="Q1229" s="2">
        <v>6542</v>
      </c>
      <c r="R1229" s="4" t="s">
        <v>747</v>
      </c>
      <c r="S1229" s="5">
        <v>64365100</v>
      </c>
    </row>
    <row r="1230" spans="1:19" x14ac:dyDescent="0.25">
      <c r="A1230" s="4" t="s">
        <v>61</v>
      </c>
      <c r="B1230" s="4" t="s">
        <v>59</v>
      </c>
      <c r="C1230" s="4" t="s">
        <v>62</v>
      </c>
      <c r="D1230" s="4" t="s">
        <v>63</v>
      </c>
      <c r="E1230" s="4" t="s">
        <v>305</v>
      </c>
      <c r="F1230" s="4" t="s">
        <v>306</v>
      </c>
      <c r="G1230" s="4" t="s">
        <v>100</v>
      </c>
      <c r="H1230" s="4" t="s">
        <v>26</v>
      </c>
      <c r="I1230" s="5">
        <v>65000000</v>
      </c>
      <c r="J1230" s="5">
        <v>45000</v>
      </c>
      <c r="K1230" s="5">
        <v>4500</v>
      </c>
      <c r="L1230" s="4" t="s">
        <v>26</v>
      </c>
      <c r="M1230" s="4" t="s">
        <v>26</v>
      </c>
      <c r="N1230" s="3">
        <v>45886</v>
      </c>
      <c r="O1230" s="4" t="s">
        <v>459</v>
      </c>
      <c r="P1230" s="2">
        <v>2000</v>
      </c>
      <c r="Q1230" s="2">
        <v>6542</v>
      </c>
      <c r="R1230" s="4" t="s">
        <v>747</v>
      </c>
      <c r="S1230" s="5">
        <v>64365100</v>
      </c>
    </row>
    <row r="1231" spans="1:19" x14ac:dyDescent="0.25">
      <c r="A1231" s="4" t="s">
        <v>61</v>
      </c>
      <c r="B1231" s="4" t="s">
        <v>59</v>
      </c>
      <c r="C1231" s="4" t="s">
        <v>62</v>
      </c>
      <c r="D1231" s="4" t="s">
        <v>63</v>
      </c>
      <c r="E1231" s="4" t="s">
        <v>305</v>
      </c>
      <c r="F1231" s="4" t="s">
        <v>306</v>
      </c>
      <c r="G1231" s="4" t="s">
        <v>100</v>
      </c>
      <c r="H1231" s="4" t="s">
        <v>26</v>
      </c>
      <c r="I1231" s="5">
        <v>65000000</v>
      </c>
      <c r="J1231" s="5">
        <v>49500</v>
      </c>
      <c r="K1231" s="5">
        <v>4950</v>
      </c>
      <c r="L1231" s="4" t="s">
        <v>26</v>
      </c>
      <c r="M1231" s="4" t="s">
        <v>26</v>
      </c>
      <c r="N1231" s="3">
        <v>45886</v>
      </c>
      <c r="O1231" s="4" t="s">
        <v>459</v>
      </c>
      <c r="P1231" s="2">
        <v>3000</v>
      </c>
      <c r="Q1231" s="2">
        <v>6542</v>
      </c>
      <c r="R1231" s="4" t="s">
        <v>747</v>
      </c>
      <c r="S1231" s="5">
        <v>64365100</v>
      </c>
    </row>
    <row r="1232" spans="1:19" x14ac:dyDescent="0.25">
      <c r="A1232" s="4" t="s">
        <v>61</v>
      </c>
      <c r="B1232" s="4" t="s">
        <v>59</v>
      </c>
      <c r="C1232" s="4" t="s">
        <v>62</v>
      </c>
      <c r="D1232" s="4" t="s">
        <v>63</v>
      </c>
      <c r="E1232" s="4" t="s">
        <v>210</v>
      </c>
      <c r="F1232" s="4" t="s">
        <v>211</v>
      </c>
      <c r="G1232" s="4" t="s">
        <v>50</v>
      </c>
      <c r="H1232" s="4" t="s">
        <v>26</v>
      </c>
      <c r="I1232" s="5">
        <v>65000000</v>
      </c>
      <c r="J1232" s="5">
        <v>23800</v>
      </c>
      <c r="K1232" s="5">
        <v>2380</v>
      </c>
      <c r="L1232" s="4" t="s">
        <v>186</v>
      </c>
      <c r="M1232" s="4" t="s">
        <v>187</v>
      </c>
      <c r="N1232" s="3">
        <v>45895</v>
      </c>
      <c r="O1232" s="4" t="s">
        <v>432</v>
      </c>
      <c r="P1232" s="2">
        <v>1000</v>
      </c>
      <c r="Q1232" s="2">
        <v>6555</v>
      </c>
      <c r="R1232" s="4" t="s">
        <v>755</v>
      </c>
      <c r="S1232" s="5">
        <v>63482950</v>
      </c>
    </row>
    <row r="1233" spans="1:19" x14ac:dyDescent="0.25">
      <c r="A1233" s="4" t="s">
        <v>61</v>
      </c>
      <c r="B1233" s="4" t="s">
        <v>59</v>
      </c>
      <c r="C1233" s="4" t="s">
        <v>62</v>
      </c>
      <c r="D1233" s="4" t="s">
        <v>63</v>
      </c>
      <c r="E1233" s="4" t="s">
        <v>210</v>
      </c>
      <c r="F1233" s="4" t="s">
        <v>211</v>
      </c>
      <c r="G1233" s="4" t="s">
        <v>50</v>
      </c>
      <c r="H1233" s="4" t="s">
        <v>26</v>
      </c>
      <c r="I1233" s="5">
        <v>65000000</v>
      </c>
      <c r="J1233" s="5">
        <v>9350</v>
      </c>
      <c r="K1233" s="5">
        <v>935</v>
      </c>
      <c r="L1233" s="4" t="s">
        <v>186</v>
      </c>
      <c r="M1233" s="4" t="s">
        <v>187</v>
      </c>
      <c r="N1233" s="3">
        <v>45895</v>
      </c>
      <c r="O1233" s="4" t="s">
        <v>432</v>
      </c>
      <c r="P1233" s="2">
        <v>2000</v>
      </c>
      <c r="Q1233" s="2">
        <v>6555</v>
      </c>
      <c r="R1233" s="4" t="s">
        <v>755</v>
      </c>
      <c r="S1233" s="5">
        <v>63482950</v>
      </c>
    </row>
    <row r="1234" spans="1:19" x14ac:dyDescent="0.25">
      <c r="A1234" s="4" t="s">
        <v>61</v>
      </c>
      <c r="B1234" s="4" t="s">
        <v>59</v>
      </c>
      <c r="C1234" s="4" t="s">
        <v>62</v>
      </c>
      <c r="D1234" s="4" t="s">
        <v>63</v>
      </c>
      <c r="E1234" s="4" t="s">
        <v>210</v>
      </c>
      <c r="F1234" s="4" t="s">
        <v>211</v>
      </c>
      <c r="G1234" s="4" t="s">
        <v>50</v>
      </c>
      <c r="H1234" s="4" t="s">
        <v>26</v>
      </c>
      <c r="I1234" s="5">
        <v>65000000</v>
      </c>
      <c r="J1234" s="5">
        <v>70550</v>
      </c>
      <c r="K1234" s="5">
        <v>7055</v>
      </c>
      <c r="L1234" s="4" t="s">
        <v>186</v>
      </c>
      <c r="M1234" s="4" t="s">
        <v>187</v>
      </c>
      <c r="N1234" s="3">
        <v>45895</v>
      </c>
      <c r="O1234" s="4" t="s">
        <v>432</v>
      </c>
      <c r="P1234" s="2">
        <v>3000</v>
      </c>
      <c r="Q1234" s="2">
        <v>6555</v>
      </c>
      <c r="R1234" s="4" t="s">
        <v>755</v>
      </c>
      <c r="S1234" s="5">
        <v>63482950</v>
      </c>
    </row>
    <row r="1235" spans="1:19" x14ac:dyDescent="0.25">
      <c r="A1235" s="4" t="s">
        <v>61</v>
      </c>
      <c r="B1235" s="4" t="s">
        <v>59</v>
      </c>
      <c r="C1235" s="4" t="s">
        <v>62</v>
      </c>
      <c r="D1235" s="4" t="s">
        <v>63</v>
      </c>
      <c r="E1235" s="4" t="s">
        <v>210</v>
      </c>
      <c r="F1235" s="4" t="s">
        <v>211</v>
      </c>
      <c r="G1235" s="4" t="s">
        <v>50</v>
      </c>
      <c r="H1235" s="4" t="s">
        <v>26</v>
      </c>
      <c r="I1235" s="5">
        <v>65000000</v>
      </c>
      <c r="J1235" s="5">
        <v>65450</v>
      </c>
      <c r="K1235" s="5">
        <v>6545</v>
      </c>
      <c r="L1235" s="4" t="s">
        <v>186</v>
      </c>
      <c r="M1235" s="4" t="s">
        <v>187</v>
      </c>
      <c r="N1235" s="3">
        <v>45895</v>
      </c>
      <c r="O1235" s="4" t="s">
        <v>432</v>
      </c>
      <c r="P1235" s="2">
        <v>4000</v>
      </c>
      <c r="Q1235" s="2">
        <v>6555</v>
      </c>
      <c r="R1235" s="4" t="s">
        <v>755</v>
      </c>
      <c r="S1235" s="5">
        <v>63482950</v>
      </c>
    </row>
    <row r="1236" spans="1:19" x14ac:dyDescent="0.25">
      <c r="A1236" s="4" t="s">
        <v>61</v>
      </c>
      <c r="B1236" s="4" t="s">
        <v>59</v>
      </c>
      <c r="C1236" s="4" t="s">
        <v>62</v>
      </c>
      <c r="D1236" s="4" t="s">
        <v>63</v>
      </c>
      <c r="E1236" s="4" t="s">
        <v>210</v>
      </c>
      <c r="F1236" s="4" t="s">
        <v>211</v>
      </c>
      <c r="G1236" s="4" t="s">
        <v>50</v>
      </c>
      <c r="H1236" s="4" t="s">
        <v>26</v>
      </c>
      <c r="I1236" s="5">
        <v>65000000</v>
      </c>
      <c r="J1236" s="5">
        <v>79900</v>
      </c>
      <c r="K1236" s="5">
        <v>7990</v>
      </c>
      <c r="L1236" s="4" t="s">
        <v>186</v>
      </c>
      <c r="M1236" s="4" t="s">
        <v>187</v>
      </c>
      <c r="N1236" s="3">
        <v>45895</v>
      </c>
      <c r="O1236" s="4" t="s">
        <v>432</v>
      </c>
      <c r="P1236" s="2">
        <v>5000</v>
      </c>
      <c r="Q1236" s="2">
        <v>6555</v>
      </c>
      <c r="R1236" s="4" t="s">
        <v>755</v>
      </c>
      <c r="S1236" s="5">
        <v>63482950</v>
      </c>
    </row>
    <row r="1237" spans="1:19" x14ac:dyDescent="0.25">
      <c r="A1237" s="4" t="s">
        <v>61</v>
      </c>
      <c r="B1237" s="4" t="s">
        <v>59</v>
      </c>
      <c r="C1237" s="4" t="s">
        <v>62</v>
      </c>
      <c r="D1237" s="4" t="s">
        <v>63</v>
      </c>
      <c r="E1237" s="4" t="s">
        <v>210</v>
      </c>
      <c r="F1237" s="4" t="s">
        <v>211</v>
      </c>
      <c r="G1237" s="4" t="s">
        <v>50</v>
      </c>
      <c r="H1237" s="4" t="s">
        <v>26</v>
      </c>
      <c r="I1237" s="5">
        <v>65000000</v>
      </c>
      <c r="J1237" s="5">
        <v>14450</v>
      </c>
      <c r="K1237" s="5">
        <v>1445</v>
      </c>
      <c r="L1237" s="4" t="s">
        <v>186</v>
      </c>
      <c r="M1237" s="4" t="s">
        <v>187</v>
      </c>
      <c r="N1237" s="3">
        <v>45895</v>
      </c>
      <c r="O1237" s="4" t="s">
        <v>432</v>
      </c>
      <c r="P1237" s="2">
        <v>6000</v>
      </c>
      <c r="Q1237" s="2">
        <v>6555</v>
      </c>
      <c r="R1237" s="4" t="s">
        <v>755</v>
      </c>
      <c r="S1237" s="5">
        <v>63482950</v>
      </c>
    </row>
    <row r="1238" spans="1:19" x14ac:dyDescent="0.25">
      <c r="A1238" s="4" t="s">
        <v>61</v>
      </c>
      <c r="B1238" s="4" t="s">
        <v>59</v>
      </c>
      <c r="C1238" s="4" t="s">
        <v>62</v>
      </c>
      <c r="D1238" s="4" t="s">
        <v>63</v>
      </c>
      <c r="E1238" s="4" t="s">
        <v>92</v>
      </c>
      <c r="F1238" s="4" t="s">
        <v>93</v>
      </c>
      <c r="G1238" s="4" t="s">
        <v>94</v>
      </c>
      <c r="H1238" s="4" t="s">
        <v>26</v>
      </c>
      <c r="I1238" s="5">
        <v>155000000</v>
      </c>
      <c r="J1238" s="5">
        <v>87200</v>
      </c>
      <c r="K1238" s="5">
        <v>8720</v>
      </c>
      <c r="L1238" s="4" t="s">
        <v>26</v>
      </c>
      <c r="M1238" s="4" t="s">
        <v>26</v>
      </c>
      <c r="N1238" s="3">
        <v>45886</v>
      </c>
      <c r="O1238" s="4" t="s">
        <v>51</v>
      </c>
      <c r="P1238" s="2">
        <v>1000</v>
      </c>
      <c r="Q1238" s="2">
        <v>6557</v>
      </c>
      <c r="R1238" s="4" t="s">
        <v>749</v>
      </c>
      <c r="S1238" s="5">
        <v>145558700</v>
      </c>
    </row>
    <row r="1239" spans="1:19" x14ac:dyDescent="0.25">
      <c r="A1239" s="4" t="s">
        <v>61</v>
      </c>
      <c r="B1239" s="4" t="s">
        <v>59</v>
      </c>
      <c r="C1239" s="4" t="s">
        <v>62</v>
      </c>
      <c r="D1239" s="4" t="s">
        <v>63</v>
      </c>
      <c r="E1239" s="4" t="s">
        <v>263</v>
      </c>
      <c r="F1239" s="4" t="s">
        <v>264</v>
      </c>
      <c r="G1239" s="4" t="s">
        <v>81</v>
      </c>
      <c r="H1239" s="4" t="s">
        <v>26</v>
      </c>
      <c r="I1239" s="5">
        <v>65000000</v>
      </c>
      <c r="J1239" s="5">
        <v>126000</v>
      </c>
      <c r="K1239" s="5">
        <v>12600</v>
      </c>
      <c r="L1239" s="4" t="s">
        <v>26</v>
      </c>
      <c r="M1239" s="4" t="s">
        <v>26</v>
      </c>
      <c r="N1239" s="3">
        <v>45899</v>
      </c>
      <c r="O1239" s="4" t="s">
        <v>283</v>
      </c>
      <c r="P1239" s="2">
        <v>1000</v>
      </c>
      <c r="Q1239" s="2">
        <v>6562</v>
      </c>
      <c r="R1239" s="4" t="s">
        <v>755</v>
      </c>
      <c r="S1239" s="5">
        <v>54808900</v>
      </c>
    </row>
    <row r="1240" spans="1:19" x14ac:dyDescent="0.25">
      <c r="A1240" s="4" t="s">
        <v>61</v>
      </c>
      <c r="B1240" s="4" t="s">
        <v>59</v>
      </c>
      <c r="C1240" s="4" t="s">
        <v>62</v>
      </c>
      <c r="D1240" s="4" t="s">
        <v>63</v>
      </c>
      <c r="E1240" s="4" t="s">
        <v>263</v>
      </c>
      <c r="F1240" s="4" t="s">
        <v>264</v>
      </c>
      <c r="G1240" s="4" t="s">
        <v>81</v>
      </c>
      <c r="H1240" s="4" t="s">
        <v>26</v>
      </c>
      <c r="I1240" s="5">
        <v>65000000</v>
      </c>
      <c r="J1240" s="5">
        <v>53900</v>
      </c>
      <c r="K1240" s="5">
        <v>5390</v>
      </c>
      <c r="L1240" s="4" t="s">
        <v>26</v>
      </c>
      <c r="M1240" s="4" t="s">
        <v>26</v>
      </c>
      <c r="N1240" s="3">
        <v>45899</v>
      </c>
      <c r="O1240" s="4" t="s">
        <v>283</v>
      </c>
      <c r="P1240" s="2">
        <v>2000</v>
      </c>
      <c r="Q1240" s="2">
        <v>6562</v>
      </c>
      <c r="R1240" s="4" t="s">
        <v>755</v>
      </c>
      <c r="S1240" s="5">
        <v>54808900</v>
      </c>
    </row>
    <row r="1241" spans="1:19" x14ac:dyDescent="0.25">
      <c r="A1241" s="4" t="s">
        <v>61</v>
      </c>
      <c r="B1241" s="4" t="s">
        <v>59</v>
      </c>
      <c r="C1241" s="4" t="s">
        <v>62</v>
      </c>
      <c r="D1241" s="4" t="s">
        <v>63</v>
      </c>
      <c r="E1241" s="4" t="s">
        <v>263</v>
      </c>
      <c r="F1241" s="4" t="s">
        <v>264</v>
      </c>
      <c r="G1241" s="4" t="s">
        <v>81</v>
      </c>
      <c r="H1241" s="4" t="s">
        <v>26</v>
      </c>
      <c r="I1241" s="5">
        <v>65000000</v>
      </c>
      <c r="J1241" s="5">
        <v>46200</v>
      </c>
      <c r="K1241" s="5">
        <v>4620</v>
      </c>
      <c r="L1241" s="4" t="s">
        <v>26</v>
      </c>
      <c r="M1241" s="4" t="s">
        <v>26</v>
      </c>
      <c r="N1241" s="3">
        <v>45899</v>
      </c>
      <c r="O1241" s="4" t="s">
        <v>283</v>
      </c>
      <c r="P1241" s="2">
        <v>3000</v>
      </c>
      <c r="Q1241" s="2">
        <v>6562</v>
      </c>
      <c r="R1241" s="4" t="s">
        <v>755</v>
      </c>
      <c r="S1241" s="5">
        <v>54808900</v>
      </c>
    </row>
    <row r="1242" spans="1:19" x14ac:dyDescent="0.25">
      <c r="A1242" s="4" t="s">
        <v>61</v>
      </c>
      <c r="B1242" s="4" t="s">
        <v>59</v>
      </c>
      <c r="C1242" s="4" t="s">
        <v>62</v>
      </c>
      <c r="D1242" s="4" t="s">
        <v>63</v>
      </c>
      <c r="E1242" s="4" t="s">
        <v>125</v>
      </c>
      <c r="F1242" s="4" t="s">
        <v>126</v>
      </c>
      <c r="G1242" s="4" t="s">
        <v>97</v>
      </c>
      <c r="H1242" s="4" t="s">
        <v>26</v>
      </c>
      <c r="I1242" s="5">
        <v>155000000</v>
      </c>
      <c r="J1242" s="5">
        <v>1100000</v>
      </c>
      <c r="K1242" s="5">
        <v>110000</v>
      </c>
      <c r="L1242" s="4" t="s">
        <v>728</v>
      </c>
      <c r="M1242" s="4" t="s">
        <v>729</v>
      </c>
      <c r="N1242" s="3">
        <v>45888</v>
      </c>
      <c r="O1242" s="4" t="s">
        <v>719</v>
      </c>
      <c r="P1242" s="2">
        <v>1000</v>
      </c>
      <c r="Q1242" s="2">
        <v>6592</v>
      </c>
      <c r="R1242" s="4" t="s">
        <v>26</v>
      </c>
      <c r="S1242" s="5">
        <v>152550000</v>
      </c>
    </row>
    <row r="1243" spans="1:19" x14ac:dyDescent="0.25">
      <c r="A1243" s="4" t="s">
        <v>61</v>
      </c>
      <c r="B1243" s="4" t="s">
        <v>59</v>
      </c>
      <c r="C1243" s="4" t="s">
        <v>62</v>
      </c>
      <c r="D1243" s="4" t="s">
        <v>63</v>
      </c>
      <c r="E1243" s="4" t="s">
        <v>330</v>
      </c>
      <c r="F1243" s="4" t="s">
        <v>331</v>
      </c>
      <c r="G1243" s="4" t="s">
        <v>124</v>
      </c>
      <c r="H1243" s="4" t="s">
        <v>26</v>
      </c>
      <c r="I1243" s="5">
        <v>65000000</v>
      </c>
      <c r="J1243" s="5">
        <v>58500</v>
      </c>
      <c r="K1243" s="5">
        <v>5850</v>
      </c>
      <c r="L1243" s="4" t="s">
        <v>26</v>
      </c>
      <c r="M1243" s="4" t="s">
        <v>26</v>
      </c>
      <c r="N1243" s="3">
        <v>45899</v>
      </c>
      <c r="O1243" s="4" t="s">
        <v>283</v>
      </c>
      <c r="P1243" s="2">
        <v>1000</v>
      </c>
      <c r="Q1243" s="2">
        <v>6596</v>
      </c>
      <c r="R1243" s="4" t="s">
        <v>747</v>
      </c>
      <c r="S1243" s="5">
        <v>62496720</v>
      </c>
    </row>
    <row r="1244" spans="1:19" x14ac:dyDescent="0.25">
      <c r="A1244" s="4" t="s">
        <v>61</v>
      </c>
      <c r="B1244" s="4" t="s">
        <v>59</v>
      </c>
      <c r="C1244" s="4" t="s">
        <v>62</v>
      </c>
      <c r="D1244" s="4" t="s">
        <v>63</v>
      </c>
      <c r="E1244" s="4" t="s">
        <v>330</v>
      </c>
      <c r="F1244" s="4" t="s">
        <v>331</v>
      </c>
      <c r="G1244" s="4" t="s">
        <v>124</v>
      </c>
      <c r="H1244" s="4" t="s">
        <v>26</v>
      </c>
      <c r="I1244" s="5">
        <v>65000000</v>
      </c>
      <c r="J1244" s="5">
        <v>54000</v>
      </c>
      <c r="K1244" s="5">
        <v>5400</v>
      </c>
      <c r="L1244" s="4" t="s">
        <v>26</v>
      </c>
      <c r="M1244" s="4" t="s">
        <v>26</v>
      </c>
      <c r="N1244" s="3">
        <v>45899</v>
      </c>
      <c r="O1244" s="4" t="s">
        <v>283</v>
      </c>
      <c r="P1244" s="2">
        <v>2000</v>
      </c>
      <c r="Q1244" s="2">
        <v>6596</v>
      </c>
      <c r="R1244" s="4" t="s">
        <v>747</v>
      </c>
      <c r="S1244" s="5">
        <v>62496720</v>
      </c>
    </row>
    <row r="1245" spans="1:19" x14ac:dyDescent="0.25">
      <c r="A1245" s="4" t="s">
        <v>61</v>
      </c>
      <c r="B1245" s="4" t="s">
        <v>59</v>
      </c>
      <c r="C1245" s="4" t="s">
        <v>62</v>
      </c>
      <c r="D1245" s="4" t="s">
        <v>63</v>
      </c>
      <c r="E1245" s="4" t="s">
        <v>125</v>
      </c>
      <c r="F1245" s="4" t="s">
        <v>126</v>
      </c>
      <c r="G1245" s="4" t="s">
        <v>97</v>
      </c>
      <c r="H1245" s="4" t="s">
        <v>26</v>
      </c>
      <c r="I1245" s="5">
        <v>155000000</v>
      </c>
      <c r="J1245" s="5">
        <v>275000</v>
      </c>
      <c r="K1245" s="5">
        <v>27500</v>
      </c>
      <c r="L1245" s="4" t="s">
        <v>728</v>
      </c>
      <c r="M1245" s="4" t="s">
        <v>729</v>
      </c>
      <c r="N1245" s="3">
        <v>45888</v>
      </c>
      <c r="O1245" s="4" t="s">
        <v>719</v>
      </c>
      <c r="P1245" s="2">
        <v>1000</v>
      </c>
      <c r="Q1245" s="2">
        <v>6598</v>
      </c>
      <c r="R1245" s="4" t="s">
        <v>769</v>
      </c>
      <c r="S1245" s="5">
        <v>152550000</v>
      </c>
    </row>
    <row r="1246" spans="1:19" x14ac:dyDescent="0.25">
      <c r="A1246" s="4" t="s">
        <v>61</v>
      </c>
      <c r="B1246" s="4" t="s">
        <v>59</v>
      </c>
      <c r="C1246" s="4" t="s">
        <v>62</v>
      </c>
      <c r="D1246" s="4" t="s">
        <v>63</v>
      </c>
      <c r="E1246" s="4" t="s">
        <v>125</v>
      </c>
      <c r="F1246" s="4" t="s">
        <v>126</v>
      </c>
      <c r="G1246" s="4" t="s">
        <v>97</v>
      </c>
      <c r="H1246" s="4" t="s">
        <v>26</v>
      </c>
      <c r="I1246" s="5">
        <v>155000000</v>
      </c>
      <c r="J1246" s="5">
        <v>825000</v>
      </c>
      <c r="K1246" s="5">
        <v>82500</v>
      </c>
      <c r="L1246" s="4" t="s">
        <v>728</v>
      </c>
      <c r="M1246" s="4" t="s">
        <v>729</v>
      </c>
      <c r="N1246" s="3">
        <v>45888</v>
      </c>
      <c r="O1246" s="4" t="s">
        <v>719</v>
      </c>
      <c r="P1246" s="2">
        <v>2000</v>
      </c>
      <c r="Q1246" s="2">
        <v>6598</v>
      </c>
      <c r="R1246" s="4" t="s">
        <v>769</v>
      </c>
      <c r="S1246" s="5">
        <v>152550000</v>
      </c>
    </row>
    <row r="1247" spans="1:19" x14ac:dyDescent="0.25">
      <c r="A1247" s="4" t="s">
        <v>61</v>
      </c>
      <c r="B1247" s="4" t="s">
        <v>59</v>
      </c>
      <c r="C1247" s="4" t="s">
        <v>62</v>
      </c>
      <c r="D1247" s="4" t="s">
        <v>63</v>
      </c>
      <c r="E1247" s="4" t="s">
        <v>386</v>
      </c>
      <c r="F1247" s="4" t="s">
        <v>387</v>
      </c>
      <c r="G1247" s="4" t="s">
        <v>50</v>
      </c>
      <c r="H1247" s="4" t="s">
        <v>26</v>
      </c>
      <c r="I1247" s="5">
        <v>65000000</v>
      </c>
      <c r="J1247" s="5">
        <v>53900</v>
      </c>
      <c r="K1247" s="5">
        <v>5390</v>
      </c>
      <c r="L1247" s="4" t="s">
        <v>26</v>
      </c>
      <c r="M1247" s="4" t="s">
        <v>26</v>
      </c>
      <c r="N1247" s="3">
        <v>45899</v>
      </c>
      <c r="O1247" s="4" t="s">
        <v>283</v>
      </c>
      <c r="P1247" s="2">
        <v>1000</v>
      </c>
      <c r="Q1247" s="2">
        <v>6631</v>
      </c>
      <c r="R1247" s="4" t="s">
        <v>755</v>
      </c>
      <c r="S1247" s="5">
        <v>63916900</v>
      </c>
    </row>
    <row r="1248" spans="1:19" x14ac:dyDescent="0.25">
      <c r="A1248" s="4" t="s">
        <v>61</v>
      </c>
      <c r="B1248" s="4" t="s">
        <v>59</v>
      </c>
      <c r="C1248" s="4" t="s">
        <v>62</v>
      </c>
      <c r="D1248" s="4" t="s">
        <v>63</v>
      </c>
      <c r="E1248" s="4" t="s">
        <v>174</v>
      </c>
      <c r="F1248" s="4" t="s">
        <v>175</v>
      </c>
      <c r="G1248" s="4" t="s">
        <v>50</v>
      </c>
      <c r="H1248" s="4" t="s">
        <v>26</v>
      </c>
      <c r="I1248" s="5">
        <v>65000000</v>
      </c>
      <c r="J1248" s="5">
        <v>99000</v>
      </c>
      <c r="K1248" s="5">
        <v>9900</v>
      </c>
      <c r="L1248" s="4" t="s">
        <v>402</v>
      </c>
      <c r="M1248" s="4" t="s">
        <v>403</v>
      </c>
      <c r="N1248" s="3">
        <v>45899</v>
      </c>
      <c r="O1248" s="4" t="s">
        <v>283</v>
      </c>
      <c r="P1248" s="2">
        <v>1000</v>
      </c>
      <c r="Q1248" s="2">
        <v>6637</v>
      </c>
      <c r="R1248" s="4" t="s">
        <v>749</v>
      </c>
      <c r="S1248" s="5">
        <v>63740700</v>
      </c>
    </row>
    <row r="1249" spans="1:19" x14ac:dyDescent="0.25">
      <c r="A1249" s="4" t="s">
        <v>61</v>
      </c>
      <c r="B1249" s="4" t="s">
        <v>59</v>
      </c>
      <c r="C1249" s="4" t="s">
        <v>62</v>
      </c>
      <c r="D1249" s="4" t="s">
        <v>63</v>
      </c>
      <c r="E1249" s="4" t="s">
        <v>174</v>
      </c>
      <c r="F1249" s="4" t="s">
        <v>175</v>
      </c>
      <c r="G1249" s="4" t="s">
        <v>50</v>
      </c>
      <c r="H1249" s="4" t="s">
        <v>26</v>
      </c>
      <c r="I1249" s="5">
        <v>65000000</v>
      </c>
      <c r="J1249" s="5">
        <v>149000</v>
      </c>
      <c r="K1249" s="5">
        <v>14900</v>
      </c>
      <c r="L1249" s="4" t="s">
        <v>402</v>
      </c>
      <c r="M1249" s="4" t="s">
        <v>403</v>
      </c>
      <c r="N1249" s="3">
        <v>45899</v>
      </c>
      <c r="O1249" s="4" t="s">
        <v>283</v>
      </c>
      <c r="P1249" s="2">
        <v>2000</v>
      </c>
      <c r="Q1249" s="2">
        <v>6637</v>
      </c>
      <c r="R1249" s="4" t="s">
        <v>749</v>
      </c>
      <c r="S1249" s="5">
        <v>63740700</v>
      </c>
    </row>
    <row r="1250" spans="1:19" x14ac:dyDescent="0.25">
      <c r="A1250" s="4" t="s">
        <v>61</v>
      </c>
      <c r="B1250" s="4" t="s">
        <v>59</v>
      </c>
      <c r="C1250" s="4" t="s">
        <v>62</v>
      </c>
      <c r="D1250" s="4" t="s">
        <v>63</v>
      </c>
      <c r="E1250" s="4" t="s">
        <v>111</v>
      </c>
      <c r="F1250" s="4" t="s">
        <v>112</v>
      </c>
      <c r="G1250" s="4" t="s">
        <v>81</v>
      </c>
      <c r="H1250" s="4" t="s">
        <v>26</v>
      </c>
      <c r="I1250" s="5">
        <v>65000000</v>
      </c>
      <c r="J1250" s="5">
        <v>100100</v>
      </c>
      <c r="K1250" s="5">
        <v>10010</v>
      </c>
      <c r="L1250" s="4" t="s">
        <v>218</v>
      </c>
      <c r="M1250" s="4" t="s">
        <v>219</v>
      </c>
      <c r="N1250" s="3">
        <v>45899</v>
      </c>
      <c r="O1250" s="4" t="s">
        <v>283</v>
      </c>
      <c r="P1250" s="2">
        <v>1000</v>
      </c>
      <c r="Q1250" s="2">
        <v>6640</v>
      </c>
      <c r="R1250" s="4" t="s">
        <v>755</v>
      </c>
      <c r="S1250" s="5">
        <v>61345000</v>
      </c>
    </row>
    <row r="1251" spans="1:19" x14ac:dyDescent="0.25">
      <c r="A1251" s="4" t="s">
        <v>61</v>
      </c>
      <c r="B1251" s="4" t="s">
        <v>59</v>
      </c>
      <c r="C1251" s="4" t="s">
        <v>62</v>
      </c>
      <c r="D1251" s="4" t="s">
        <v>63</v>
      </c>
      <c r="E1251" s="4" t="s">
        <v>111</v>
      </c>
      <c r="F1251" s="4" t="s">
        <v>112</v>
      </c>
      <c r="G1251" s="4" t="s">
        <v>81</v>
      </c>
      <c r="H1251" s="4" t="s">
        <v>26</v>
      </c>
      <c r="I1251" s="5">
        <v>65000000</v>
      </c>
      <c r="J1251" s="5">
        <v>77000</v>
      </c>
      <c r="K1251" s="5">
        <v>7700</v>
      </c>
      <c r="L1251" s="4" t="s">
        <v>218</v>
      </c>
      <c r="M1251" s="4" t="s">
        <v>219</v>
      </c>
      <c r="N1251" s="3">
        <v>45899</v>
      </c>
      <c r="O1251" s="4" t="s">
        <v>283</v>
      </c>
      <c r="P1251" s="2">
        <v>2000</v>
      </c>
      <c r="Q1251" s="2">
        <v>6640</v>
      </c>
      <c r="R1251" s="4" t="s">
        <v>755</v>
      </c>
      <c r="S1251" s="5">
        <v>61345000</v>
      </c>
    </row>
    <row r="1252" spans="1:19" x14ac:dyDescent="0.25">
      <c r="A1252" s="4" t="s">
        <v>61</v>
      </c>
      <c r="B1252" s="4" t="s">
        <v>59</v>
      </c>
      <c r="C1252" s="4" t="s">
        <v>62</v>
      </c>
      <c r="D1252" s="4" t="s">
        <v>63</v>
      </c>
      <c r="E1252" s="4" t="s">
        <v>111</v>
      </c>
      <c r="F1252" s="4" t="s">
        <v>112</v>
      </c>
      <c r="G1252" s="4" t="s">
        <v>81</v>
      </c>
      <c r="H1252" s="4" t="s">
        <v>26</v>
      </c>
      <c r="I1252" s="5">
        <v>65000000</v>
      </c>
      <c r="J1252" s="5">
        <v>100100</v>
      </c>
      <c r="K1252" s="5">
        <v>10010</v>
      </c>
      <c r="L1252" s="4" t="s">
        <v>218</v>
      </c>
      <c r="M1252" s="4" t="s">
        <v>219</v>
      </c>
      <c r="N1252" s="3">
        <v>45899</v>
      </c>
      <c r="O1252" s="4" t="s">
        <v>283</v>
      </c>
      <c r="P1252" s="2">
        <v>3000</v>
      </c>
      <c r="Q1252" s="2">
        <v>6640</v>
      </c>
      <c r="R1252" s="4" t="s">
        <v>755</v>
      </c>
      <c r="S1252" s="5">
        <v>61345000</v>
      </c>
    </row>
    <row r="1253" spans="1:19" x14ac:dyDescent="0.25">
      <c r="A1253" s="4" t="s">
        <v>61</v>
      </c>
      <c r="B1253" s="4" t="s">
        <v>59</v>
      </c>
      <c r="C1253" s="4" t="s">
        <v>62</v>
      </c>
      <c r="D1253" s="4" t="s">
        <v>63</v>
      </c>
      <c r="E1253" s="4" t="s">
        <v>69</v>
      </c>
      <c r="F1253" s="4" t="s">
        <v>70</v>
      </c>
      <c r="G1253" s="4" t="s">
        <v>71</v>
      </c>
      <c r="H1253" s="4" t="s">
        <v>26</v>
      </c>
      <c r="I1253" s="5">
        <v>155000000</v>
      </c>
      <c r="J1253" s="5">
        <v>23100</v>
      </c>
      <c r="K1253" s="5">
        <v>2310</v>
      </c>
      <c r="L1253" s="4" t="s">
        <v>26</v>
      </c>
      <c r="M1253" s="4" t="s">
        <v>26</v>
      </c>
      <c r="N1253" s="3">
        <v>45890</v>
      </c>
      <c r="O1253" s="4" t="s">
        <v>565</v>
      </c>
      <c r="P1253" s="2">
        <v>1000</v>
      </c>
      <c r="Q1253" s="2">
        <v>6650</v>
      </c>
      <c r="R1253" s="4" t="s">
        <v>749</v>
      </c>
      <c r="S1253" s="5">
        <v>143018000</v>
      </c>
    </row>
    <row r="1254" spans="1:19" x14ac:dyDescent="0.25">
      <c r="A1254" s="4" t="s">
        <v>61</v>
      </c>
      <c r="B1254" s="4" t="s">
        <v>59</v>
      </c>
      <c r="C1254" s="4" t="s">
        <v>62</v>
      </c>
      <c r="D1254" s="4" t="s">
        <v>63</v>
      </c>
      <c r="E1254" s="4" t="s">
        <v>447</v>
      </c>
      <c r="F1254" s="4" t="s">
        <v>448</v>
      </c>
      <c r="G1254" s="4" t="s">
        <v>419</v>
      </c>
      <c r="H1254" s="4" t="s">
        <v>26</v>
      </c>
      <c r="I1254" s="5">
        <v>155000000</v>
      </c>
      <c r="J1254" s="5">
        <v>70550</v>
      </c>
      <c r="K1254" s="5">
        <v>7055</v>
      </c>
      <c r="L1254" s="4" t="s">
        <v>449</v>
      </c>
      <c r="M1254" s="4" t="s">
        <v>450</v>
      </c>
      <c r="N1254" s="3">
        <v>45895</v>
      </c>
      <c r="O1254" s="4" t="s">
        <v>432</v>
      </c>
      <c r="P1254" s="2">
        <v>1000</v>
      </c>
      <c r="Q1254" s="2">
        <v>6653</v>
      </c>
      <c r="R1254" s="4" t="s">
        <v>755</v>
      </c>
      <c r="S1254" s="5">
        <v>152533250</v>
      </c>
    </row>
    <row r="1255" spans="1:19" x14ac:dyDescent="0.25">
      <c r="A1255" s="4" t="s">
        <v>61</v>
      </c>
      <c r="B1255" s="4" t="s">
        <v>59</v>
      </c>
      <c r="C1255" s="4" t="s">
        <v>62</v>
      </c>
      <c r="D1255" s="4" t="s">
        <v>63</v>
      </c>
      <c r="E1255" s="4" t="s">
        <v>447</v>
      </c>
      <c r="F1255" s="4" t="s">
        <v>448</v>
      </c>
      <c r="G1255" s="4" t="s">
        <v>419</v>
      </c>
      <c r="H1255" s="4" t="s">
        <v>26</v>
      </c>
      <c r="I1255" s="5">
        <v>155000000</v>
      </c>
      <c r="J1255" s="5">
        <v>14450</v>
      </c>
      <c r="K1255" s="5">
        <v>1445</v>
      </c>
      <c r="L1255" s="4" t="s">
        <v>449</v>
      </c>
      <c r="M1255" s="4" t="s">
        <v>450</v>
      </c>
      <c r="N1255" s="3">
        <v>45895</v>
      </c>
      <c r="O1255" s="4" t="s">
        <v>432</v>
      </c>
      <c r="P1255" s="2">
        <v>2000</v>
      </c>
      <c r="Q1255" s="2">
        <v>6653</v>
      </c>
      <c r="R1255" s="4" t="s">
        <v>755</v>
      </c>
      <c r="S1255" s="5">
        <v>152533250</v>
      </c>
    </row>
    <row r="1256" spans="1:19" x14ac:dyDescent="0.25">
      <c r="A1256" s="4" t="s">
        <v>61</v>
      </c>
      <c r="B1256" s="4" t="s">
        <v>59</v>
      </c>
      <c r="C1256" s="4" t="s">
        <v>62</v>
      </c>
      <c r="D1256" s="4" t="s">
        <v>63</v>
      </c>
      <c r="E1256" s="4" t="s">
        <v>447</v>
      </c>
      <c r="F1256" s="4" t="s">
        <v>448</v>
      </c>
      <c r="G1256" s="4" t="s">
        <v>419</v>
      </c>
      <c r="H1256" s="4" t="s">
        <v>26</v>
      </c>
      <c r="I1256" s="5">
        <v>155000000</v>
      </c>
      <c r="J1256" s="5">
        <v>4250</v>
      </c>
      <c r="K1256" s="5">
        <v>425</v>
      </c>
      <c r="L1256" s="4" t="s">
        <v>449</v>
      </c>
      <c r="M1256" s="4" t="s">
        <v>450</v>
      </c>
      <c r="N1256" s="3">
        <v>45895</v>
      </c>
      <c r="O1256" s="4" t="s">
        <v>432</v>
      </c>
      <c r="P1256" s="2">
        <v>3000</v>
      </c>
      <c r="Q1256" s="2">
        <v>6653</v>
      </c>
      <c r="R1256" s="4" t="s">
        <v>755</v>
      </c>
      <c r="S1256" s="5">
        <v>152533250</v>
      </c>
    </row>
    <row r="1257" spans="1:19" x14ac:dyDescent="0.25">
      <c r="A1257" s="4" t="s">
        <v>61</v>
      </c>
      <c r="B1257" s="4" t="s">
        <v>59</v>
      </c>
      <c r="C1257" s="4" t="s">
        <v>62</v>
      </c>
      <c r="D1257" s="4" t="s">
        <v>63</v>
      </c>
      <c r="E1257" s="4" t="s">
        <v>131</v>
      </c>
      <c r="F1257" s="4" t="s">
        <v>132</v>
      </c>
      <c r="G1257" s="4" t="s">
        <v>100</v>
      </c>
      <c r="H1257" s="4" t="s">
        <v>26</v>
      </c>
      <c r="I1257" s="5">
        <v>65000000</v>
      </c>
      <c r="J1257" s="5">
        <v>175000</v>
      </c>
      <c r="K1257" s="5">
        <v>17500</v>
      </c>
      <c r="L1257" s="4" t="s">
        <v>26</v>
      </c>
      <c r="M1257" s="4" t="s">
        <v>26</v>
      </c>
      <c r="N1257" s="3">
        <v>45882</v>
      </c>
      <c r="O1257" s="4" t="s">
        <v>154</v>
      </c>
      <c r="P1257" s="2">
        <v>1000</v>
      </c>
      <c r="Q1257" s="2">
        <v>6664</v>
      </c>
      <c r="R1257" s="4" t="s">
        <v>747</v>
      </c>
      <c r="S1257" s="5">
        <v>63739700</v>
      </c>
    </row>
    <row r="1258" spans="1:19" x14ac:dyDescent="0.25">
      <c r="A1258" s="4" t="s">
        <v>61</v>
      </c>
      <c r="B1258" s="4" t="s">
        <v>59</v>
      </c>
      <c r="C1258" s="4" t="s">
        <v>62</v>
      </c>
      <c r="D1258" s="4" t="s">
        <v>63</v>
      </c>
      <c r="E1258" s="4" t="s">
        <v>344</v>
      </c>
      <c r="F1258" s="4" t="s">
        <v>345</v>
      </c>
      <c r="G1258" s="4" t="s">
        <v>231</v>
      </c>
      <c r="H1258" s="4" t="s">
        <v>26</v>
      </c>
      <c r="I1258" s="5">
        <v>110000000</v>
      </c>
      <c r="J1258" s="5">
        <v>50000</v>
      </c>
      <c r="K1258" s="5">
        <v>5000</v>
      </c>
      <c r="L1258" s="4" t="s">
        <v>26</v>
      </c>
      <c r="M1258" s="4" t="s">
        <v>26</v>
      </c>
      <c r="N1258" s="3">
        <v>45886</v>
      </c>
      <c r="O1258" s="4" t="s">
        <v>459</v>
      </c>
      <c r="P1258" s="2">
        <v>1000</v>
      </c>
      <c r="Q1258" s="2">
        <v>6728</v>
      </c>
      <c r="R1258" s="4" t="s">
        <v>84</v>
      </c>
      <c r="S1258" s="5">
        <v>109643100</v>
      </c>
    </row>
    <row r="1259" spans="1:19" x14ac:dyDescent="0.25">
      <c r="A1259" s="4" t="s">
        <v>61</v>
      </c>
      <c r="B1259" s="4" t="s">
        <v>59</v>
      </c>
      <c r="C1259" s="4" t="s">
        <v>62</v>
      </c>
      <c r="D1259" s="4" t="s">
        <v>63</v>
      </c>
      <c r="E1259" s="4" t="s">
        <v>103</v>
      </c>
      <c r="F1259" s="4" t="s">
        <v>104</v>
      </c>
      <c r="G1259" s="4" t="s">
        <v>105</v>
      </c>
      <c r="H1259" s="4" t="s">
        <v>26</v>
      </c>
      <c r="I1259" s="5">
        <v>155000000</v>
      </c>
      <c r="J1259" s="5">
        <v>87200</v>
      </c>
      <c r="K1259" s="5">
        <v>8720</v>
      </c>
      <c r="L1259" s="4" t="s">
        <v>26</v>
      </c>
      <c r="M1259" s="4" t="s">
        <v>26</v>
      </c>
      <c r="N1259" s="3">
        <v>45890</v>
      </c>
      <c r="O1259" s="4" t="s">
        <v>565</v>
      </c>
      <c r="P1259" s="2">
        <v>1000</v>
      </c>
      <c r="Q1259" s="2">
        <v>6738</v>
      </c>
      <c r="R1259" s="4" t="s">
        <v>749</v>
      </c>
      <c r="S1259" s="5">
        <v>150234500</v>
      </c>
    </row>
    <row r="1260" spans="1:19" x14ac:dyDescent="0.25">
      <c r="A1260" s="4" t="s">
        <v>61</v>
      </c>
      <c r="B1260" s="4" t="s">
        <v>59</v>
      </c>
      <c r="C1260" s="4" t="s">
        <v>62</v>
      </c>
      <c r="D1260" s="4" t="s">
        <v>63</v>
      </c>
      <c r="E1260" s="4" t="s">
        <v>498</v>
      </c>
      <c r="F1260" s="4" t="s">
        <v>499</v>
      </c>
      <c r="G1260" s="4" t="s">
        <v>144</v>
      </c>
      <c r="H1260" s="4" t="s">
        <v>26</v>
      </c>
      <c r="I1260" s="5">
        <v>90000000</v>
      </c>
      <c r="J1260" s="5">
        <v>298000</v>
      </c>
      <c r="K1260" s="5">
        <v>29800</v>
      </c>
      <c r="L1260" s="4" t="s">
        <v>500</v>
      </c>
      <c r="M1260" s="4" t="s">
        <v>501</v>
      </c>
      <c r="N1260" s="3">
        <v>45896</v>
      </c>
      <c r="O1260" s="4" t="s">
        <v>532</v>
      </c>
      <c r="P1260" s="2">
        <v>1000</v>
      </c>
      <c r="Q1260" s="2">
        <v>6739</v>
      </c>
      <c r="R1260" s="4" t="s">
        <v>749</v>
      </c>
      <c r="S1260" s="5">
        <v>84861850</v>
      </c>
    </row>
    <row r="1261" spans="1:19" x14ac:dyDescent="0.25">
      <c r="A1261" s="4" t="s">
        <v>61</v>
      </c>
      <c r="B1261" s="4" t="s">
        <v>59</v>
      </c>
      <c r="C1261" s="4" t="s">
        <v>62</v>
      </c>
      <c r="D1261" s="4" t="s">
        <v>63</v>
      </c>
      <c r="E1261" s="4" t="s">
        <v>498</v>
      </c>
      <c r="F1261" s="4" t="s">
        <v>499</v>
      </c>
      <c r="G1261" s="4" t="s">
        <v>144</v>
      </c>
      <c r="H1261" s="4" t="s">
        <v>26</v>
      </c>
      <c r="I1261" s="5">
        <v>90000000</v>
      </c>
      <c r="J1261" s="5">
        <v>149500</v>
      </c>
      <c r="K1261" s="5">
        <v>14950</v>
      </c>
      <c r="L1261" s="4" t="s">
        <v>500</v>
      </c>
      <c r="M1261" s="4" t="s">
        <v>501</v>
      </c>
      <c r="N1261" s="3">
        <v>45896</v>
      </c>
      <c r="O1261" s="4" t="s">
        <v>532</v>
      </c>
      <c r="P1261" s="2">
        <v>2000</v>
      </c>
      <c r="Q1261" s="2">
        <v>6739</v>
      </c>
      <c r="R1261" s="4" t="s">
        <v>26</v>
      </c>
      <c r="S1261" s="5">
        <v>84861850</v>
      </c>
    </row>
    <row r="1262" spans="1:19" x14ac:dyDescent="0.25">
      <c r="A1262" s="4" t="s">
        <v>61</v>
      </c>
      <c r="B1262" s="4" t="s">
        <v>59</v>
      </c>
      <c r="C1262" s="4" t="s">
        <v>62</v>
      </c>
      <c r="D1262" s="4" t="s">
        <v>63</v>
      </c>
      <c r="E1262" s="4" t="s">
        <v>498</v>
      </c>
      <c r="F1262" s="4" t="s">
        <v>499</v>
      </c>
      <c r="G1262" s="4" t="s">
        <v>144</v>
      </c>
      <c r="H1262" s="4" t="s">
        <v>26</v>
      </c>
      <c r="I1262" s="5">
        <v>90000000</v>
      </c>
      <c r="J1262" s="5">
        <v>450000</v>
      </c>
      <c r="K1262" s="5">
        <v>45000</v>
      </c>
      <c r="L1262" s="4" t="s">
        <v>500</v>
      </c>
      <c r="M1262" s="4" t="s">
        <v>501</v>
      </c>
      <c r="N1262" s="3">
        <v>45896</v>
      </c>
      <c r="O1262" s="4" t="s">
        <v>532</v>
      </c>
      <c r="P1262" s="2">
        <v>3000</v>
      </c>
      <c r="Q1262" s="2">
        <v>6739</v>
      </c>
      <c r="R1262" s="4" t="s">
        <v>749</v>
      </c>
      <c r="S1262" s="5">
        <v>84861850</v>
      </c>
    </row>
    <row r="1263" spans="1:19" x14ac:dyDescent="0.25">
      <c r="A1263" s="4" t="s">
        <v>61</v>
      </c>
      <c r="B1263" s="4" t="s">
        <v>59</v>
      </c>
      <c r="C1263" s="4" t="s">
        <v>62</v>
      </c>
      <c r="D1263" s="4" t="s">
        <v>63</v>
      </c>
      <c r="E1263" s="4" t="s">
        <v>553</v>
      </c>
      <c r="F1263" s="4" t="s">
        <v>554</v>
      </c>
      <c r="G1263" s="4" t="s">
        <v>71</v>
      </c>
      <c r="H1263" s="4" t="s">
        <v>26</v>
      </c>
      <c r="I1263" s="5">
        <v>155000000</v>
      </c>
      <c r="J1263" s="5">
        <v>149000</v>
      </c>
      <c r="K1263" s="5">
        <v>14900</v>
      </c>
      <c r="L1263" s="4" t="s">
        <v>555</v>
      </c>
      <c r="M1263" s="4" t="s">
        <v>556</v>
      </c>
      <c r="N1263" s="3">
        <v>45897</v>
      </c>
      <c r="O1263" s="4" t="s">
        <v>532</v>
      </c>
      <c r="P1263" s="2">
        <v>1000</v>
      </c>
      <c r="Q1263" s="2">
        <v>6753</v>
      </c>
      <c r="R1263" s="4" t="s">
        <v>749</v>
      </c>
      <c r="S1263" s="5">
        <v>154240000</v>
      </c>
    </row>
    <row r="1264" spans="1:19" x14ac:dyDescent="0.25">
      <c r="A1264" s="4" t="s">
        <v>61</v>
      </c>
      <c r="B1264" s="4" t="s">
        <v>59</v>
      </c>
      <c r="C1264" s="4" t="s">
        <v>62</v>
      </c>
      <c r="D1264" s="4" t="s">
        <v>63</v>
      </c>
      <c r="E1264" s="4" t="s">
        <v>553</v>
      </c>
      <c r="F1264" s="4" t="s">
        <v>554</v>
      </c>
      <c r="G1264" s="4" t="s">
        <v>71</v>
      </c>
      <c r="H1264" s="4" t="s">
        <v>26</v>
      </c>
      <c r="I1264" s="5">
        <v>155000000</v>
      </c>
      <c r="J1264" s="5">
        <v>99000</v>
      </c>
      <c r="K1264" s="5">
        <v>9900</v>
      </c>
      <c r="L1264" s="4" t="s">
        <v>555</v>
      </c>
      <c r="M1264" s="4" t="s">
        <v>556</v>
      </c>
      <c r="N1264" s="3">
        <v>45897</v>
      </c>
      <c r="O1264" s="4" t="s">
        <v>532</v>
      </c>
      <c r="P1264" s="2">
        <v>2000</v>
      </c>
      <c r="Q1264" s="2">
        <v>6753</v>
      </c>
      <c r="R1264" s="4" t="s">
        <v>749</v>
      </c>
      <c r="S1264" s="5">
        <v>154240000</v>
      </c>
    </row>
    <row r="1265" spans="1:19" x14ac:dyDescent="0.25">
      <c r="A1265" s="4" t="s">
        <v>61</v>
      </c>
      <c r="B1265" s="4" t="s">
        <v>59</v>
      </c>
      <c r="C1265" s="4" t="s">
        <v>62</v>
      </c>
      <c r="D1265" s="4" t="s">
        <v>63</v>
      </c>
      <c r="E1265" s="4" t="s">
        <v>127</v>
      </c>
      <c r="F1265" s="4" t="s">
        <v>128</v>
      </c>
      <c r="G1265" s="4" t="s">
        <v>50</v>
      </c>
      <c r="H1265" s="4" t="s">
        <v>26</v>
      </c>
      <c r="I1265" s="5">
        <v>65000000</v>
      </c>
      <c r="J1265" s="5">
        <v>23800</v>
      </c>
      <c r="K1265" s="5">
        <v>2380</v>
      </c>
      <c r="L1265" s="4" t="s">
        <v>433</v>
      </c>
      <c r="M1265" s="4" t="s">
        <v>434</v>
      </c>
      <c r="N1265" s="3">
        <v>45886</v>
      </c>
      <c r="O1265" s="4" t="s">
        <v>459</v>
      </c>
      <c r="P1265" s="2">
        <v>1000</v>
      </c>
      <c r="Q1265" s="2">
        <v>6772</v>
      </c>
      <c r="R1265" s="4" t="s">
        <v>755</v>
      </c>
      <c r="S1265" s="5">
        <v>60417600</v>
      </c>
    </row>
    <row r="1266" spans="1:19" x14ac:dyDescent="0.25">
      <c r="A1266" s="4" t="s">
        <v>61</v>
      </c>
      <c r="B1266" s="4" t="s">
        <v>59</v>
      </c>
      <c r="C1266" s="4" t="s">
        <v>62</v>
      </c>
      <c r="D1266" s="4" t="s">
        <v>63</v>
      </c>
      <c r="E1266" s="4" t="s">
        <v>127</v>
      </c>
      <c r="F1266" s="4" t="s">
        <v>128</v>
      </c>
      <c r="G1266" s="4" t="s">
        <v>50</v>
      </c>
      <c r="H1266" s="4" t="s">
        <v>26</v>
      </c>
      <c r="I1266" s="5">
        <v>65000000</v>
      </c>
      <c r="J1266" s="5">
        <v>58100</v>
      </c>
      <c r="K1266" s="5">
        <v>5810</v>
      </c>
      <c r="L1266" s="4" t="s">
        <v>433</v>
      </c>
      <c r="M1266" s="4" t="s">
        <v>434</v>
      </c>
      <c r="N1266" s="3">
        <v>45886</v>
      </c>
      <c r="O1266" s="4" t="s">
        <v>459</v>
      </c>
      <c r="P1266" s="2">
        <v>2000</v>
      </c>
      <c r="Q1266" s="2">
        <v>6772</v>
      </c>
      <c r="R1266" s="4" t="s">
        <v>755</v>
      </c>
      <c r="S1266" s="5">
        <v>60417600</v>
      </c>
    </row>
    <row r="1267" spans="1:19" x14ac:dyDescent="0.25">
      <c r="A1267" s="4" t="s">
        <v>61</v>
      </c>
      <c r="B1267" s="4" t="s">
        <v>59</v>
      </c>
      <c r="C1267" s="4" t="s">
        <v>62</v>
      </c>
      <c r="D1267" s="4" t="s">
        <v>63</v>
      </c>
      <c r="E1267" s="4" t="s">
        <v>103</v>
      </c>
      <c r="F1267" s="4" t="s">
        <v>104</v>
      </c>
      <c r="G1267" s="4" t="s">
        <v>105</v>
      </c>
      <c r="H1267" s="4" t="s">
        <v>26</v>
      </c>
      <c r="I1267" s="5">
        <v>155000000</v>
      </c>
      <c r="J1267" s="5">
        <v>152100</v>
      </c>
      <c r="K1267" s="5">
        <v>15210</v>
      </c>
      <c r="L1267" s="4" t="s">
        <v>26</v>
      </c>
      <c r="M1267" s="4" t="s">
        <v>26</v>
      </c>
      <c r="N1267" s="3">
        <v>45896</v>
      </c>
      <c r="O1267" s="4" t="s">
        <v>432</v>
      </c>
      <c r="P1267" s="2">
        <v>1000</v>
      </c>
      <c r="Q1267" s="2">
        <v>6782</v>
      </c>
      <c r="R1267" s="4" t="s">
        <v>755</v>
      </c>
      <c r="S1267" s="5">
        <v>150234500</v>
      </c>
    </row>
    <row r="1268" spans="1:19" x14ac:dyDescent="0.25">
      <c r="A1268" s="4" t="s">
        <v>61</v>
      </c>
      <c r="B1268" s="4" t="s">
        <v>59</v>
      </c>
      <c r="C1268" s="4" t="s">
        <v>62</v>
      </c>
      <c r="D1268" s="4" t="s">
        <v>63</v>
      </c>
      <c r="E1268" s="4" t="s">
        <v>103</v>
      </c>
      <c r="F1268" s="4" t="s">
        <v>104</v>
      </c>
      <c r="G1268" s="4" t="s">
        <v>105</v>
      </c>
      <c r="H1268" s="4" t="s">
        <v>26</v>
      </c>
      <c r="I1268" s="5">
        <v>155000000</v>
      </c>
      <c r="J1268" s="5">
        <v>58500</v>
      </c>
      <c r="K1268" s="5">
        <v>5850</v>
      </c>
      <c r="L1268" s="4" t="s">
        <v>26</v>
      </c>
      <c r="M1268" s="4" t="s">
        <v>26</v>
      </c>
      <c r="N1268" s="3">
        <v>45896</v>
      </c>
      <c r="O1268" s="4" t="s">
        <v>432</v>
      </c>
      <c r="P1268" s="2">
        <v>2000</v>
      </c>
      <c r="Q1268" s="2">
        <v>6782</v>
      </c>
      <c r="R1268" s="4" t="s">
        <v>755</v>
      </c>
      <c r="S1268" s="5">
        <v>150234500</v>
      </c>
    </row>
    <row r="1269" spans="1:19" x14ac:dyDescent="0.25">
      <c r="A1269" s="4" t="s">
        <v>61</v>
      </c>
      <c r="B1269" s="4" t="s">
        <v>59</v>
      </c>
      <c r="C1269" s="4" t="s">
        <v>62</v>
      </c>
      <c r="D1269" s="4" t="s">
        <v>63</v>
      </c>
      <c r="E1269" s="4" t="s">
        <v>103</v>
      </c>
      <c r="F1269" s="4" t="s">
        <v>104</v>
      </c>
      <c r="G1269" s="4" t="s">
        <v>105</v>
      </c>
      <c r="H1269" s="4" t="s">
        <v>26</v>
      </c>
      <c r="I1269" s="5">
        <v>155000000</v>
      </c>
      <c r="J1269" s="5">
        <v>2700</v>
      </c>
      <c r="K1269" s="5">
        <v>270</v>
      </c>
      <c r="L1269" s="4" t="s">
        <v>26</v>
      </c>
      <c r="M1269" s="4" t="s">
        <v>26</v>
      </c>
      <c r="N1269" s="3">
        <v>45896</v>
      </c>
      <c r="O1269" s="4" t="s">
        <v>432</v>
      </c>
      <c r="P1269" s="2">
        <v>3000</v>
      </c>
      <c r="Q1269" s="2">
        <v>6782</v>
      </c>
      <c r="R1269" s="4" t="s">
        <v>755</v>
      </c>
      <c r="S1269" s="5">
        <v>150234500</v>
      </c>
    </row>
    <row r="1270" spans="1:19" x14ac:dyDescent="0.25">
      <c r="A1270" s="4" t="s">
        <v>61</v>
      </c>
      <c r="B1270" s="4" t="s">
        <v>59</v>
      </c>
      <c r="C1270" s="4" t="s">
        <v>62</v>
      </c>
      <c r="D1270" s="4" t="s">
        <v>63</v>
      </c>
      <c r="E1270" s="4" t="s">
        <v>255</v>
      </c>
      <c r="F1270" s="4" t="s">
        <v>256</v>
      </c>
      <c r="G1270" s="4" t="s">
        <v>144</v>
      </c>
      <c r="H1270" s="4" t="s">
        <v>26</v>
      </c>
      <c r="I1270" s="5">
        <v>90000000</v>
      </c>
      <c r="J1270" s="5">
        <v>114400</v>
      </c>
      <c r="K1270" s="5">
        <v>11440</v>
      </c>
      <c r="L1270" s="4" t="s">
        <v>281</v>
      </c>
      <c r="M1270" s="4" t="s">
        <v>282</v>
      </c>
      <c r="N1270" s="3">
        <v>45900</v>
      </c>
      <c r="O1270" s="4" t="s">
        <v>283</v>
      </c>
      <c r="P1270" s="2">
        <v>1000</v>
      </c>
      <c r="Q1270" s="2">
        <v>6784</v>
      </c>
      <c r="R1270" s="4" t="s">
        <v>26</v>
      </c>
      <c r="S1270" s="5">
        <v>81505500</v>
      </c>
    </row>
    <row r="1271" spans="1:19" x14ac:dyDescent="0.25">
      <c r="A1271" s="4" t="s">
        <v>61</v>
      </c>
      <c r="B1271" s="4" t="s">
        <v>59</v>
      </c>
      <c r="C1271" s="4" t="s">
        <v>62</v>
      </c>
      <c r="D1271" s="4" t="s">
        <v>63</v>
      </c>
      <c r="E1271" s="4" t="s">
        <v>255</v>
      </c>
      <c r="F1271" s="4" t="s">
        <v>256</v>
      </c>
      <c r="G1271" s="4" t="s">
        <v>144</v>
      </c>
      <c r="H1271" s="4" t="s">
        <v>26</v>
      </c>
      <c r="I1271" s="5">
        <v>90000000</v>
      </c>
      <c r="J1271" s="5">
        <v>88000</v>
      </c>
      <c r="K1271" s="5">
        <v>8800</v>
      </c>
      <c r="L1271" s="4" t="s">
        <v>281</v>
      </c>
      <c r="M1271" s="4" t="s">
        <v>282</v>
      </c>
      <c r="N1271" s="3">
        <v>45900</v>
      </c>
      <c r="O1271" s="4" t="s">
        <v>283</v>
      </c>
      <c r="P1271" s="2">
        <v>2000</v>
      </c>
      <c r="Q1271" s="2">
        <v>6784</v>
      </c>
      <c r="R1271" s="4" t="s">
        <v>26</v>
      </c>
      <c r="S1271" s="5">
        <v>81505500</v>
      </c>
    </row>
    <row r="1272" spans="1:19" x14ac:dyDescent="0.25">
      <c r="A1272" s="4" t="s">
        <v>61</v>
      </c>
      <c r="B1272" s="4" t="s">
        <v>59</v>
      </c>
      <c r="C1272" s="4" t="s">
        <v>62</v>
      </c>
      <c r="D1272" s="4" t="s">
        <v>63</v>
      </c>
      <c r="E1272" s="4" t="s">
        <v>127</v>
      </c>
      <c r="F1272" s="4" t="s">
        <v>128</v>
      </c>
      <c r="G1272" s="4" t="s">
        <v>50</v>
      </c>
      <c r="H1272" s="4" t="s">
        <v>26</v>
      </c>
      <c r="I1272" s="5">
        <v>65000000</v>
      </c>
      <c r="J1272" s="5">
        <v>50000</v>
      </c>
      <c r="K1272" s="5">
        <v>5000</v>
      </c>
      <c r="L1272" s="4" t="s">
        <v>26</v>
      </c>
      <c r="M1272" s="4" t="s">
        <v>26</v>
      </c>
      <c r="N1272" s="3">
        <v>45897</v>
      </c>
      <c r="O1272" s="4" t="s">
        <v>532</v>
      </c>
      <c r="P1272" s="2">
        <v>1000</v>
      </c>
      <c r="Q1272" s="2">
        <v>6790</v>
      </c>
      <c r="R1272" s="4" t="s">
        <v>749</v>
      </c>
      <c r="S1272" s="5">
        <v>60417600</v>
      </c>
    </row>
    <row r="1273" spans="1:19" x14ac:dyDescent="0.25">
      <c r="A1273" s="4" t="s">
        <v>61</v>
      </c>
      <c r="B1273" s="4" t="s">
        <v>59</v>
      </c>
      <c r="C1273" s="4" t="s">
        <v>62</v>
      </c>
      <c r="D1273" s="4" t="s">
        <v>63</v>
      </c>
      <c r="E1273" s="4" t="s">
        <v>178</v>
      </c>
      <c r="F1273" s="4" t="s">
        <v>179</v>
      </c>
      <c r="G1273" s="4" t="s">
        <v>124</v>
      </c>
      <c r="H1273" s="4" t="s">
        <v>26</v>
      </c>
      <c r="I1273" s="5">
        <v>65000000</v>
      </c>
      <c r="J1273" s="5">
        <v>68000</v>
      </c>
      <c r="K1273" s="5">
        <v>6800</v>
      </c>
      <c r="L1273" s="4" t="s">
        <v>26</v>
      </c>
      <c r="M1273" s="4" t="s">
        <v>26</v>
      </c>
      <c r="N1273" s="3">
        <v>45883</v>
      </c>
      <c r="O1273" s="4" t="s">
        <v>154</v>
      </c>
      <c r="P1273" s="2">
        <v>1000</v>
      </c>
      <c r="Q1273" s="2">
        <v>6799</v>
      </c>
      <c r="R1273" s="4" t="s">
        <v>84</v>
      </c>
      <c r="S1273" s="5">
        <v>54146650</v>
      </c>
    </row>
    <row r="1274" spans="1:19" x14ac:dyDescent="0.25">
      <c r="A1274" s="4" t="s">
        <v>61</v>
      </c>
      <c r="B1274" s="4" t="s">
        <v>59</v>
      </c>
      <c r="C1274" s="4" t="s">
        <v>62</v>
      </c>
      <c r="D1274" s="4" t="s">
        <v>63</v>
      </c>
      <c r="E1274" s="4" t="s">
        <v>229</v>
      </c>
      <c r="F1274" s="4" t="s">
        <v>230</v>
      </c>
      <c r="G1274" s="4" t="s">
        <v>231</v>
      </c>
      <c r="H1274" s="4" t="s">
        <v>26</v>
      </c>
      <c r="I1274" s="5">
        <v>110000000</v>
      </c>
      <c r="J1274" s="5">
        <v>49500</v>
      </c>
      <c r="K1274" s="5">
        <v>4950</v>
      </c>
      <c r="L1274" s="4" t="s">
        <v>26</v>
      </c>
      <c r="M1274" s="4" t="s">
        <v>26</v>
      </c>
      <c r="N1274" s="3">
        <v>45886</v>
      </c>
      <c r="O1274" s="4" t="s">
        <v>459</v>
      </c>
      <c r="P1274" s="2">
        <v>1000</v>
      </c>
      <c r="Q1274" s="2">
        <v>6800</v>
      </c>
      <c r="R1274" s="4" t="s">
        <v>747</v>
      </c>
      <c r="S1274" s="5">
        <v>108567750</v>
      </c>
    </row>
    <row r="1275" spans="1:19" x14ac:dyDescent="0.25">
      <c r="A1275" s="4" t="s">
        <v>61</v>
      </c>
      <c r="B1275" s="4" t="s">
        <v>59</v>
      </c>
      <c r="C1275" s="4" t="s">
        <v>62</v>
      </c>
      <c r="D1275" s="4" t="s">
        <v>63</v>
      </c>
      <c r="E1275" s="4" t="s">
        <v>103</v>
      </c>
      <c r="F1275" s="4" t="s">
        <v>104</v>
      </c>
      <c r="G1275" s="4" t="s">
        <v>105</v>
      </c>
      <c r="H1275" s="4" t="s">
        <v>26</v>
      </c>
      <c r="I1275" s="5">
        <v>155000000</v>
      </c>
      <c r="J1275" s="5">
        <v>39200</v>
      </c>
      <c r="K1275" s="5">
        <v>3920</v>
      </c>
      <c r="L1275" s="4" t="s">
        <v>26</v>
      </c>
      <c r="M1275" s="4" t="s">
        <v>26</v>
      </c>
      <c r="N1275" s="3">
        <v>45890</v>
      </c>
      <c r="O1275" s="4" t="s">
        <v>565</v>
      </c>
      <c r="P1275" s="2">
        <v>1000</v>
      </c>
      <c r="Q1275" s="2">
        <v>6808</v>
      </c>
      <c r="R1275" s="4" t="s">
        <v>749</v>
      </c>
      <c r="S1275" s="5">
        <v>150234500</v>
      </c>
    </row>
    <row r="1276" spans="1:19" x14ac:dyDescent="0.25">
      <c r="A1276" s="4" t="s">
        <v>61</v>
      </c>
      <c r="B1276" s="4" t="s">
        <v>59</v>
      </c>
      <c r="C1276" s="4" t="s">
        <v>62</v>
      </c>
      <c r="D1276" s="4" t="s">
        <v>63</v>
      </c>
      <c r="E1276" s="4" t="s">
        <v>111</v>
      </c>
      <c r="F1276" s="4" t="s">
        <v>112</v>
      </c>
      <c r="G1276" s="4" t="s">
        <v>81</v>
      </c>
      <c r="H1276" s="4" t="s">
        <v>26</v>
      </c>
      <c r="I1276" s="5">
        <v>65000000</v>
      </c>
      <c r="J1276" s="5">
        <v>96000</v>
      </c>
      <c r="K1276" s="5">
        <v>9600</v>
      </c>
      <c r="L1276" s="4" t="s">
        <v>404</v>
      </c>
      <c r="M1276" s="4" t="s">
        <v>405</v>
      </c>
      <c r="N1276" s="3">
        <v>45900</v>
      </c>
      <c r="O1276" s="4" t="s">
        <v>283</v>
      </c>
      <c r="P1276" s="2">
        <v>1000</v>
      </c>
      <c r="Q1276" s="2">
        <v>6817</v>
      </c>
      <c r="R1276" s="4" t="s">
        <v>84</v>
      </c>
      <c r="S1276" s="5">
        <v>61345000</v>
      </c>
    </row>
    <row r="1277" spans="1:19" x14ac:dyDescent="0.25">
      <c r="A1277" s="4" t="s">
        <v>61</v>
      </c>
      <c r="B1277" s="4" t="s">
        <v>59</v>
      </c>
      <c r="C1277" s="4" t="s">
        <v>62</v>
      </c>
      <c r="D1277" s="4" t="s">
        <v>63</v>
      </c>
      <c r="E1277" s="4" t="s">
        <v>561</v>
      </c>
      <c r="F1277" s="4" t="s">
        <v>562</v>
      </c>
      <c r="G1277" s="4" t="s">
        <v>66</v>
      </c>
      <c r="H1277" s="4" t="s">
        <v>26</v>
      </c>
      <c r="I1277" s="5">
        <v>90000000</v>
      </c>
      <c r="J1277" s="5">
        <v>93270</v>
      </c>
      <c r="K1277" s="5">
        <v>9327</v>
      </c>
      <c r="L1277" s="4" t="s">
        <v>563</v>
      </c>
      <c r="M1277" s="4" t="s">
        <v>564</v>
      </c>
      <c r="N1277" s="3">
        <v>45889</v>
      </c>
      <c r="O1277" s="4" t="s">
        <v>719</v>
      </c>
      <c r="P1277" s="2">
        <v>1000</v>
      </c>
      <c r="Q1277" s="2">
        <v>6817</v>
      </c>
      <c r="R1277" s="4" t="s">
        <v>758</v>
      </c>
      <c r="S1277" s="5">
        <v>89788460</v>
      </c>
    </row>
    <row r="1278" spans="1:19" x14ac:dyDescent="0.25">
      <c r="A1278" s="4" t="s">
        <v>61</v>
      </c>
      <c r="B1278" s="4" t="s">
        <v>59</v>
      </c>
      <c r="C1278" s="4" t="s">
        <v>62</v>
      </c>
      <c r="D1278" s="4" t="s">
        <v>63</v>
      </c>
      <c r="E1278" s="4" t="s">
        <v>111</v>
      </c>
      <c r="F1278" s="4" t="s">
        <v>112</v>
      </c>
      <c r="G1278" s="4" t="s">
        <v>81</v>
      </c>
      <c r="H1278" s="4" t="s">
        <v>26</v>
      </c>
      <c r="I1278" s="5">
        <v>65000000</v>
      </c>
      <c r="J1278" s="5">
        <v>194000</v>
      </c>
      <c r="K1278" s="5">
        <v>19400</v>
      </c>
      <c r="L1278" s="4" t="s">
        <v>404</v>
      </c>
      <c r="M1278" s="4" t="s">
        <v>405</v>
      </c>
      <c r="N1278" s="3">
        <v>45900</v>
      </c>
      <c r="O1278" s="4" t="s">
        <v>283</v>
      </c>
      <c r="P1278" s="2">
        <v>2000</v>
      </c>
      <c r="Q1278" s="2">
        <v>6817</v>
      </c>
      <c r="R1278" s="4" t="s">
        <v>84</v>
      </c>
      <c r="S1278" s="5">
        <v>61345000</v>
      </c>
    </row>
    <row r="1279" spans="1:19" x14ac:dyDescent="0.25">
      <c r="A1279" s="4" t="s">
        <v>61</v>
      </c>
      <c r="B1279" s="4" t="s">
        <v>59</v>
      </c>
      <c r="C1279" s="4" t="s">
        <v>62</v>
      </c>
      <c r="D1279" s="4" t="s">
        <v>63</v>
      </c>
      <c r="E1279" s="4" t="s">
        <v>561</v>
      </c>
      <c r="F1279" s="4" t="s">
        <v>562</v>
      </c>
      <c r="G1279" s="4" t="s">
        <v>66</v>
      </c>
      <c r="H1279" s="4" t="s">
        <v>26</v>
      </c>
      <c r="I1279" s="5">
        <v>90000000</v>
      </c>
      <c r="J1279" s="5">
        <v>93270</v>
      </c>
      <c r="K1279" s="5">
        <v>9327</v>
      </c>
      <c r="L1279" s="4" t="s">
        <v>563</v>
      </c>
      <c r="M1279" s="4" t="s">
        <v>564</v>
      </c>
      <c r="N1279" s="3">
        <v>45889</v>
      </c>
      <c r="O1279" s="4" t="s">
        <v>719</v>
      </c>
      <c r="P1279" s="2">
        <v>2000</v>
      </c>
      <c r="Q1279" s="2">
        <v>6817</v>
      </c>
      <c r="R1279" s="4" t="s">
        <v>758</v>
      </c>
      <c r="S1279" s="5">
        <v>89788460</v>
      </c>
    </row>
    <row r="1280" spans="1:19" x14ac:dyDescent="0.25">
      <c r="A1280" s="4" t="s">
        <v>61</v>
      </c>
      <c r="B1280" s="4" t="s">
        <v>59</v>
      </c>
      <c r="C1280" s="4" t="s">
        <v>62</v>
      </c>
      <c r="D1280" s="4" t="s">
        <v>63</v>
      </c>
      <c r="E1280" s="4" t="s">
        <v>111</v>
      </c>
      <c r="F1280" s="4" t="s">
        <v>112</v>
      </c>
      <c r="G1280" s="4" t="s">
        <v>81</v>
      </c>
      <c r="H1280" s="4" t="s">
        <v>26</v>
      </c>
      <c r="I1280" s="5">
        <v>65000000</v>
      </c>
      <c r="J1280" s="5">
        <v>177000</v>
      </c>
      <c r="K1280" s="5">
        <v>17700</v>
      </c>
      <c r="L1280" s="4" t="s">
        <v>404</v>
      </c>
      <c r="M1280" s="4" t="s">
        <v>405</v>
      </c>
      <c r="N1280" s="3">
        <v>45900</v>
      </c>
      <c r="O1280" s="4" t="s">
        <v>283</v>
      </c>
      <c r="P1280" s="2">
        <v>3000</v>
      </c>
      <c r="Q1280" s="2">
        <v>6817</v>
      </c>
      <c r="R1280" s="4" t="s">
        <v>84</v>
      </c>
      <c r="S1280" s="5">
        <v>61345000</v>
      </c>
    </row>
    <row r="1281" spans="1:19" x14ac:dyDescent="0.25">
      <c r="A1281" s="4" t="s">
        <v>61</v>
      </c>
      <c r="B1281" s="4" t="s">
        <v>59</v>
      </c>
      <c r="C1281" s="4" t="s">
        <v>62</v>
      </c>
      <c r="D1281" s="4" t="s">
        <v>63</v>
      </c>
      <c r="E1281" s="4" t="s">
        <v>111</v>
      </c>
      <c r="F1281" s="4" t="s">
        <v>112</v>
      </c>
      <c r="G1281" s="4" t="s">
        <v>81</v>
      </c>
      <c r="H1281" s="4" t="s">
        <v>26</v>
      </c>
      <c r="I1281" s="5">
        <v>65000000</v>
      </c>
      <c r="J1281" s="5">
        <v>150000</v>
      </c>
      <c r="K1281" s="5">
        <v>15000</v>
      </c>
      <c r="L1281" s="4" t="s">
        <v>404</v>
      </c>
      <c r="M1281" s="4" t="s">
        <v>405</v>
      </c>
      <c r="N1281" s="3">
        <v>45900</v>
      </c>
      <c r="O1281" s="4" t="s">
        <v>283</v>
      </c>
      <c r="P1281" s="2">
        <v>4000</v>
      </c>
      <c r="Q1281" s="2">
        <v>6817</v>
      </c>
      <c r="R1281" s="4" t="s">
        <v>84</v>
      </c>
      <c r="S1281" s="5">
        <v>61345000</v>
      </c>
    </row>
    <row r="1282" spans="1:19" x14ac:dyDescent="0.25">
      <c r="A1282" s="4" t="s">
        <v>61</v>
      </c>
      <c r="B1282" s="4" t="s">
        <v>59</v>
      </c>
      <c r="C1282" s="4" t="s">
        <v>62</v>
      </c>
      <c r="D1282" s="4" t="s">
        <v>63</v>
      </c>
      <c r="E1282" s="4" t="s">
        <v>289</v>
      </c>
      <c r="F1282" s="4" t="s">
        <v>290</v>
      </c>
      <c r="G1282" s="4" t="s">
        <v>100</v>
      </c>
      <c r="H1282" s="4" t="s">
        <v>26</v>
      </c>
      <c r="I1282" s="5">
        <v>65000000</v>
      </c>
      <c r="J1282" s="5">
        <v>30000</v>
      </c>
      <c r="K1282" s="5">
        <v>3000</v>
      </c>
      <c r="L1282" s="4" t="s">
        <v>26</v>
      </c>
      <c r="M1282" s="4" t="s">
        <v>26</v>
      </c>
      <c r="N1282" s="3">
        <v>45886</v>
      </c>
      <c r="O1282" s="4" t="s">
        <v>459</v>
      </c>
      <c r="P1282" s="2">
        <v>1000</v>
      </c>
      <c r="Q1282" s="2">
        <v>6828</v>
      </c>
      <c r="R1282" s="4" t="s">
        <v>84</v>
      </c>
      <c r="S1282" s="5">
        <v>64257350</v>
      </c>
    </row>
    <row r="1283" spans="1:19" x14ac:dyDescent="0.25">
      <c r="A1283" s="4" t="s">
        <v>61</v>
      </c>
      <c r="B1283" s="4" t="s">
        <v>59</v>
      </c>
      <c r="C1283" s="4" t="s">
        <v>62</v>
      </c>
      <c r="D1283" s="4" t="s">
        <v>63</v>
      </c>
      <c r="E1283" s="4" t="s">
        <v>289</v>
      </c>
      <c r="F1283" s="4" t="s">
        <v>290</v>
      </c>
      <c r="G1283" s="4" t="s">
        <v>100</v>
      </c>
      <c r="H1283" s="4" t="s">
        <v>26</v>
      </c>
      <c r="I1283" s="5">
        <v>65000000</v>
      </c>
      <c r="J1283" s="5">
        <v>8000</v>
      </c>
      <c r="K1283" s="5">
        <v>800</v>
      </c>
      <c r="L1283" s="4" t="s">
        <v>26</v>
      </c>
      <c r="M1283" s="4" t="s">
        <v>26</v>
      </c>
      <c r="N1283" s="3">
        <v>45886</v>
      </c>
      <c r="O1283" s="4" t="s">
        <v>459</v>
      </c>
      <c r="P1283" s="2">
        <v>2000</v>
      </c>
      <c r="Q1283" s="2">
        <v>6828</v>
      </c>
      <c r="R1283" s="4" t="s">
        <v>84</v>
      </c>
      <c r="S1283" s="5">
        <v>64257350</v>
      </c>
    </row>
    <row r="1284" spans="1:19" x14ac:dyDescent="0.25">
      <c r="A1284" s="4" t="s">
        <v>61</v>
      </c>
      <c r="B1284" s="4" t="s">
        <v>59</v>
      </c>
      <c r="C1284" s="4" t="s">
        <v>62</v>
      </c>
      <c r="D1284" s="4" t="s">
        <v>63</v>
      </c>
      <c r="E1284" s="4" t="s">
        <v>344</v>
      </c>
      <c r="F1284" s="4" t="s">
        <v>345</v>
      </c>
      <c r="G1284" s="4" t="s">
        <v>231</v>
      </c>
      <c r="H1284" s="4" t="s">
        <v>26</v>
      </c>
      <c r="I1284" s="5">
        <v>110000000</v>
      </c>
      <c r="J1284" s="5">
        <v>67500</v>
      </c>
      <c r="K1284" s="5">
        <v>6750</v>
      </c>
      <c r="L1284" s="4" t="s">
        <v>346</v>
      </c>
      <c r="M1284" s="4" t="s">
        <v>347</v>
      </c>
      <c r="N1284" s="3">
        <v>45897</v>
      </c>
      <c r="O1284" s="4" t="s">
        <v>532</v>
      </c>
      <c r="P1284" s="2">
        <v>1000</v>
      </c>
      <c r="Q1284" s="2">
        <v>6838</v>
      </c>
      <c r="R1284" s="4" t="s">
        <v>749</v>
      </c>
      <c r="S1284" s="5">
        <v>109643100</v>
      </c>
    </row>
    <row r="1285" spans="1:19" x14ac:dyDescent="0.25">
      <c r="A1285" s="4" t="s">
        <v>61</v>
      </c>
      <c r="B1285" s="4" t="s">
        <v>59</v>
      </c>
      <c r="C1285" s="4" t="s">
        <v>62</v>
      </c>
      <c r="D1285" s="4" t="s">
        <v>63</v>
      </c>
      <c r="E1285" s="4" t="s">
        <v>101</v>
      </c>
      <c r="F1285" s="4" t="s">
        <v>102</v>
      </c>
      <c r="G1285" s="4" t="s">
        <v>71</v>
      </c>
      <c r="H1285" s="4" t="s">
        <v>26</v>
      </c>
      <c r="I1285" s="5">
        <v>155000000</v>
      </c>
      <c r="J1285" s="5">
        <v>99000</v>
      </c>
      <c r="K1285" s="5">
        <v>9900</v>
      </c>
      <c r="L1285" s="4" t="s">
        <v>26</v>
      </c>
      <c r="M1285" s="4" t="s">
        <v>26</v>
      </c>
      <c r="N1285" s="3">
        <v>45883</v>
      </c>
      <c r="O1285" s="4" t="s">
        <v>154</v>
      </c>
      <c r="P1285" s="2">
        <v>1000</v>
      </c>
      <c r="Q1285" s="2">
        <v>6879</v>
      </c>
      <c r="R1285" s="4" t="s">
        <v>749</v>
      </c>
      <c r="S1285" s="5">
        <v>154309700</v>
      </c>
    </row>
    <row r="1286" spans="1:19" x14ac:dyDescent="0.25">
      <c r="A1286" s="4" t="s">
        <v>61</v>
      </c>
      <c r="B1286" s="4" t="s">
        <v>59</v>
      </c>
      <c r="C1286" s="4" t="s">
        <v>62</v>
      </c>
      <c r="D1286" s="4" t="s">
        <v>63</v>
      </c>
      <c r="E1286" s="4" t="s">
        <v>139</v>
      </c>
      <c r="F1286" s="4" t="s">
        <v>140</v>
      </c>
      <c r="G1286" s="4" t="s">
        <v>141</v>
      </c>
      <c r="H1286" s="4" t="s">
        <v>26</v>
      </c>
      <c r="I1286" s="5">
        <v>65000000</v>
      </c>
      <c r="J1286" s="5">
        <v>88000</v>
      </c>
      <c r="K1286" s="5">
        <v>8800</v>
      </c>
      <c r="L1286" s="4" t="s">
        <v>182</v>
      </c>
      <c r="M1286" s="4" t="s">
        <v>183</v>
      </c>
      <c r="N1286" s="3">
        <v>45900</v>
      </c>
      <c r="O1286" s="4" t="s">
        <v>283</v>
      </c>
      <c r="P1286" s="2">
        <v>1000</v>
      </c>
      <c r="Q1286" s="2">
        <v>6882</v>
      </c>
      <c r="R1286" s="4" t="s">
        <v>26</v>
      </c>
      <c r="S1286" s="5">
        <v>64247200</v>
      </c>
    </row>
    <row r="1287" spans="1:19" x14ac:dyDescent="0.25">
      <c r="A1287" s="4" t="s">
        <v>61</v>
      </c>
      <c r="B1287" s="4" t="s">
        <v>59</v>
      </c>
      <c r="C1287" s="4" t="s">
        <v>62</v>
      </c>
      <c r="D1287" s="4" t="s">
        <v>63</v>
      </c>
      <c r="E1287" s="4" t="s">
        <v>139</v>
      </c>
      <c r="F1287" s="4" t="s">
        <v>140</v>
      </c>
      <c r="G1287" s="4" t="s">
        <v>141</v>
      </c>
      <c r="H1287" s="4" t="s">
        <v>26</v>
      </c>
      <c r="I1287" s="5">
        <v>65000000</v>
      </c>
      <c r="J1287" s="5">
        <v>79200</v>
      </c>
      <c r="K1287" s="5">
        <v>7920</v>
      </c>
      <c r="L1287" s="4" t="s">
        <v>182</v>
      </c>
      <c r="M1287" s="4" t="s">
        <v>183</v>
      </c>
      <c r="N1287" s="3">
        <v>45900</v>
      </c>
      <c r="O1287" s="4" t="s">
        <v>283</v>
      </c>
      <c r="P1287" s="2">
        <v>2000</v>
      </c>
      <c r="Q1287" s="2">
        <v>6882</v>
      </c>
      <c r="R1287" s="4" t="s">
        <v>26</v>
      </c>
      <c r="S1287" s="5">
        <v>64247200</v>
      </c>
    </row>
    <row r="1288" spans="1:19" x14ac:dyDescent="0.25">
      <c r="A1288" s="4" t="s">
        <v>61</v>
      </c>
      <c r="B1288" s="4" t="s">
        <v>59</v>
      </c>
      <c r="C1288" s="4" t="s">
        <v>62</v>
      </c>
      <c r="D1288" s="4" t="s">
        <v>63</v>
      </c>
      <c r="E1288" s="4" t="s">
        <v>557</v>
      </c>
      <c r="F1288" s="4" t="s">
        <v>558</v>
      </c>
      <c r="G1288" s="4" t="s">
        <v>100</v>
      </c>
      <c r="H1288" s="4" t="s">
        <v>26</v>
      </c>
      <c r="I1288" s="5">
        <v>65000000</v>
      </c>
      <c r="J1288" s="5">
        <v>149000</v>
      </c>
      <c r="K1288" s="5">
        <v>14900</v>
      </c>
      <c r="L1288" s="4" t="s">
        <v>26</v>
      </c>
      <c r="M1288" s="4" t="s">
        <v>26</v>
      </c>
      <c r="N1288" s="3">
        <v>45897</v>
      </c>
      <c r="O1288" s="4" t="s">
        <v>532</v>
      </c>
      <c r="P1288" s="2">
        <v>1000</v>
      </c>
      <c r="Q1288" s="2">
        <v>6899</v>
      </c>
      <c r="R1288" s="4" t="s">
        <v>749</v>
      </c>
      <c r="S1288" s="5">
        <v>64851000</v>
      </c>
    </row>
    <row r="1289" spans="1:19" x14ac:dyDescent="0.25">
      <c r="A1289" s="4" t="s">
        <v>61</v>
      </c>
      <c r="B1289" s="4" t="s">
        <v>59</v>
      </c>
      <c r="C1289" s="4" t="s">
        <v>62</v>
      </c>
      <c r="D1289" s="4" t="s">
        <v>63</v>
      </c>
      <c r="E1289" s="4" t="s">
        <v>101</v>
      </c>
      <c r="F1289" s="4" t="s">
        <v>102</v>
      </c>
      <c r="G1289" s="4" t="s">
        <v>71</v>
      </c>
      <c r="H1289" s="4" t="s">
        <v>26</v>
      </c>
      <c r="I1289" s="5">
        <v>155000000</v>
      </c>
      <c r="J1289" s="5">
        <v>99000</v>
      </c>
      <c r="K1289" s="5">
        <v>9900</v>
      </c>
      <c r="L1289" s="4" t="s">
        <v>26</v>
      </c>
      <c r="M1289" s="4" t="s">
        <v>26</v>
      </c>
      <c r="N1289" s="3">
        <v>45891</v>
      </c>
      <c r="O1289" s="4" t="s">
        <v>565</v>
      </c>
      <c r="P1289" s="2">
        <v>1000</v>
      </c>
      <c r="Q1289" s="2">
        <v>6914</v>
      </c>
      <c r="R1289" s="4" t="s">
        <v>749</v>
      </c>
      <c r="S1289" s="5">
        <v>154309700</v>
      </c>
    </row>
    <row r="1290" spans="1:19" x14ac:dyDescent="0.25">
      <c r="A1290" s="4" t="s">
        <v>61</v>
      </c>
      <c r="B1290" s="4" t="s">
        <v>59</v>
      </c>
      <c r="C1290" s="4" t="s">
        <v>62</v>
      </c>
      <c r="D1290" s="4" t="s">
        <v>63</v>
      </c>
      <c r="E1290" s="4" t="s">
        <v>193</v>
      </c>
      <c r="F1290" s="4" t="s">
        <v>194</v>
      </c>
      <c r="G1290" s="4" t="s">
        <v>105</v>
      </c>
      <c r="H1290" s="4" t="s">
        <v>26</v>
      </c>
      <c r="I1290" s="5">
        <v>155000000</v>
      </c>
      <c r="J1290" s="5">
        <v>200290</v>
      </c>
      <c r="K1290" s="5">
        <v>20029</v>
      </c>
      <c r="L1290" s="4" t="s">
        <v>195</v>
      </c>
      <c r="M1290" s="4" t="s">
        <v>196</v>
      </c>
      <c r="N1290" s="3">
        <v>45883</v>
      </c>
      <c r="O1290" s="4" t="s">
        <v>154</v>
      </c>
      <c r="P1290" s="2">
        <v>1000</v>
      </c>
      <c r="Q1290" s="2">
        <v>6921</v>
      </c>
      <c r="R1290" s="4" t="s">
        <v>26</v>
      </c>
      <c r="S1290" s="5">
        <v>149540330</v>
      </c>
    </row>
    <row r="1291" spans="1:19" x14ac:dyDescent="0.25">
      <c r="A1291" s="4" t="s">
        <v>61</v>
      </c>
      <c r="B1291" s="4" t="s">
        <v>59</v>
      </c>
      <c r="C1291" s="4" t="s">
        <v>62</v>
      </c>
      <c r="D1291" s="4" t="s">
        <v>63</v>
      </c>
      <c r="E1291" s="4" t="s">
        <v>69</v>
      </c>
      <c r="F1291" s="4" t="s">
        <v>70</v>
      </c>
      <c r="G1291" s="4" t="s">
        <v>71</v>
      </c>
      <c r="H1291" s="4" t="s">
        <v>26</v>
      </c>
      <c r="I1291" s="5">
        <v>155000000</v>
      </c>
      <c r="J1291" s="5">
        <v>180000</v>
      </c>
      <c r="K1291" s="5">
        <v>18000</v>
      </c>
      <c r="L1291" s="4" t="s">
        <v>406</v>
      </c>
      <c r="M1291" s="4" t="s">
        <v>407</v>
      </c>
      <c r="N1291" s="3">
        <v>45900</v>
      </c>
      <c r="O1291" s="4" t="s">
        <v>283</v>
      </c>
      <c r="P1291" s="2">
        <v>1000</v>
      </c>
      <c r="Q1291" s="2">
        <v>6941</v>
      </c>
      <c r="R1291" s="4" t="s">
        <v>26</v>
      </c>
      <c r="S1291" s="5">
        <v>143018000</v>
      </c>
    </row>
    <row r="1292" spans="1:19" x14ac:dyDescent="0.25">
      <c r="A1292" s="4" t="s">
        <v>61</v>
      </c>
      <c r="B1292" s="4" t="s">
        <v>59</v>
      </c>
      <c r="C1292" s="4" t="s">
        <v>62</v>
      </c>
      <c r="D1292" s="4" t="s">
        <v>63</v>
      </c>
      <c r="E1292" s="4" t="s">
        <v>69</v>
      </c>
      <c r="F1292" s="4" t="s">
        <v>70</v>
      </c>
      <c r="G1292" s="4" t="s">
        <v>71</v>
      </c>
      <c r="H1292" s="4" t="s">
        <v>26</v>
      </c>
      <c r="I1292" s="5">
        <v>155000000</v>
      </c>
      <c r="J1292" s="5">
        <v>244000</v>
      </c>
      <c r="K1292" s="5">
        <v>24400</v>
      </c>
      <c r="L1292" s="4" t="s">
        <v>406</v>
      </c>
      <c r="M1292" s="4" t="s">
        <v>407</v>
      </c>
      <c r="N1292" s="3">
        <v>45900</v>
      </c>
      <c r="O1292" s="4" t="s">
        <v>283</v>
      </c>
      <c r="P1292" s="2">
        <v>2000</v>
      </c>
      <c r="Q1292" s="2">
        <v>6941</v>
      </c>
      <c r="R1292" s="4" t="s">
        <v>26</v>
      </c>
      <c r="S1292" s="5">
        <v>143018000</v>
      </c>
    </row>
    <row r="1293" spans="1:19" x14ac:dyDescent="0.25">
      <c r="A1293" s="4" t="s">
        <v>61</v>
      </c>
      <c r="B1293" s="4" t="s">
        <v>59</v>
      </c>
      <c r="C1293" s="4" t="s">
        <v>62</v>
      </c>
      <c r="D1293" s="4" t="s">
        <v>63</v>
      </c>
      <c r="E1293" s="4" t="s">
        <v>408</v>
      </c>
      <c r="F1293" s="4" t="s">
        <v>409</v>
      </c>
      <c r="G1293" s="4" t="s">
        <v>100</v>
      </c>
      <c r="H1293" s="4" t="s">
        <v>26</v>
      </c>
      <c r="I1293" s="5">
        <v>65000000</v>
      </c>
      <c r="J1293" s="5">
        <v>170000</v>
      </c>
      <c r="K1293" s="5">
        <v>17000</v>
      </c>
      <c r="L1293" s="4" t="s">
        <v>410</v>
      </c>
      <c r="M1293" s="4" t="s">
        <v>411</v>
      </c>
      <c r="N1293" s="3">
        <v>45900</v>
      </c>
      <c r="O1293" s="4" t="s">
        <v>283</v>
      </c>
      <c r="P1293" s="2">
        <v>1000</v>
      </c>
      <c r="Q1293" s="2">
        <v>6942</v>
      </c>
      <c r="R1293" s="4" t="s">
        <v>26</v>
      </c>
      <c r="S1293" s="5">
        <v>64703500</v>
      </c>
    </row>
    <row r="1294" spans="1:19" x14ac:dyDescent="0.25">
      <c r="A1294" s="4" t="s">
        <v>61</v>
      </c>
      <c r="B1294" s="4" t="s">
        <v>59</v>
      </c>
      <c r="C1294" s="4" t="s">
        <v>62</v>
      </c>
      <c r="D1294" s="4" t="s">
        <v>63</v>
      </c>
      <c r="E1294" s="4" t="s">
        <v>118</v>
      </c>
      <c r="F1294" s="4" t="s">
        <v>119</v>
      </c>
      <c r="G1294" s="4" t="s">
        <v>100</v>
      </c>
      <c r="H1294" s="4" t="s">
        <v>26</v>
      </c>
      <c r="I1294" s="5">
        <v>65000000</v>
      </c>
      <c r="J1294" s="5">
        <v>105000</v>
      </c>
      <c r="K1294" s="5">
        <v>10500</v>
      </c>
      <c r="L1294" s="4" t="s">
        <v>120</v>
      </c>
      <c r="M1294" s="4" t="s">
        <v>121</v>
      </c>
      <c r="N1294" s="3">
        <v>45886</v>
      </c>
      <c r="O1294" s="4" t="s">
        <v>459</v>
      </c>
      <c r="P1294" s="2">
        <v>1000</v>
      </c>
      <c r="Q1294" s="2">
        <v>6959</v>
      </c>
      <c r="R1294" s="4" t="s">
        <v>84</v>
      </c>
      <c r="S1294" s="5">
        <v>63851150</v>
      </c>
    </row>
    <row r="1295" spans="1:19" x14ac:dyDescent="0.25">
      <c r="A1295" s="4" t="s">
        <v>61</v>
      </c>
      <c r="B1295" s="4" t="s">
        <v>59</v>
      </c>
      <c r="C1295" s="4" t="s">
        <v>62</v>
      </c>
      <c r="D1295" s="4" t="s">
        <v>63</v>
      </c>
      <c r="E1295" s="4" t="s">
        <v>188</v>
      </c>
      <c r="F1295" s="4" t="s">
        <v>189</v>
      </c>
      <c r="G1295" s="4" t="s">
        <v>190</v>
      </c>
      <c r="H1295" s="4" t="s">
        <v>26</v>
      </c>
      <c r="I1295" s="5">
        <v>90000000</v>
      </c>
      <c r="J1295" s="5">
        <v>78400</v>
      </c>
      <c r="K1295" s="5">
        <v>7840</v>
      </c>
      <c r="L1295" s="4" t="s">
        <v>191</v>
      </c>
      <c r="M1295" s="4" t="s">
        <v>192</v>
      </c>
      <c r="N1295" s="3">
        <v>45891</v>
      </c>
      <c r="O1295" s="4" t="s">
        <v>565</v>
      </c>
      <c r="P1295" s="2">
        <v>1000</v>
      </c>
      <c r="Q1295" s="2">
        <v>7007</v>
      </c>
      <c r="R1295" s="4" t="s">
        <v>749</v>
      </c>
      <c r="S1295" s="5">
        <v>87040690</v>
      </c>
    </row>
    <row r="1296" spans="1:19" x14ac:dyDescent="0.25">
      <c r="A1296" s="4" t="s">
        <v>61</v>
      </c>
      <c r="B1296" s="4" t="s">
        <v>59</v>
      </c>
      <c r="C1296" s="4" t="s">
        <v>62</v>
      </c>
      <c r="D1296" s="4" t="s">
        <v>63</v>
      </c>
      <c r="E1296" s="4" t="s">
        <v>238</v>
      </c>
      <c r="F1296" s="4" t="s">
        <v>239</v>
      </c>
      <c r="G1296" s="4" t="s">
        <v>190</v>
      </c>
      <c r="H1296" s="4" t="s">
        <v>26</v>
      </c>
      <c r="I1296" s="5">
        <v>90000000</v>
      </c>
      <c r="J1296" s="5">
        <v>54000</v>
      </c>
      <c r="K1296" s="5">
        <v>5400</v>
      </c>
      <c r="L1296" s="4" t="s">
        <v>240</v>
      </c>
      <c r="M1296" s="4" t="s">
        <v>241</v>
      </c>
      <c r="N1296" s="3">
        <v>45887</v>
      </c>
      <c r="O1296" s="4" t="s">
        <v>459</v>
      </c>
      <c r="P1296" s="2">
        <v>1000</v>
      </c>
      <c r="Q1296" s="2">
        <v>7012</v>
      </c>
      <c r="R1296" s="4" t="s">
        <v>747</v>
      </c>
      <c r="S1296" s="5">
        <v>88561500</v>
      </c>
    </row>
    <row r="1297" spans="1:19" x14ac:dyDescent="0.25">
      <c r="A1297" s="4" t="s">
        <v>61</v>
      </c>
      <c r="B1297" s="4" t="s">
        <v>59</v>
      </c>
      <c r="C1297" s="4" t="s">
        <v>62</v>
      </c>
      <c r="D1297" s="4" t="s">
        <v>63</v>
      </c>
      <c r="E1297" s="4" t="s">
        <v>244</v>
      </c>
      <c r="F1297" s="4" t="s">
        <v>245</v>
      </c>
      <c r="G1297" s="4" t="s">
        <v>246</v>
      </c>
      <c r="H1297" s="4" t="s">
        <v>26</v>
      </c>
      <c r="I1297" s="5">
        <v>155000000</v>
      </c>
      <c r="J1297" s="5">
        <v>49500</v>
      </c>
      <c r="K1297" s="5">
        <v>4950</v>
      </c>
      <c r="L1297" s="4" t="s">
        <v>247</v>
      </c>
      <c r="M1297" s="4" t="s">
        <v>248</v>
      </c>
      <c r="N1297" s="3">
        <v>45887</v>
      </c>
      <c r="O1297" s="4" t="s">
        <v>459</v>
      </c>
      <c r="P1297" s="2">
        <v>1000</v>
      </c>
      <c r="Q1297" s="2">
        <v>7016</v>
      </c>
      <c r="R1297" s="4" t="s">
        <v>747</v>
      </c>
      <c r="S1297" s="5">
        <v>151077800</v>
      </c>
    </row>
    <row r="1298" spans="1:19" x14ac:dyDescent="0.25">
      <c r="A1298" s="4" t="s">
        <v>61</v>
      </c>
      <c r="B1298" s="4" t="s">
        <v>59</v>
      </c>
      <c r="C1298" s="4" t="s">
        <v>62</v>
      </c>
      <c r="D1298" s="4" t="s">
        <v>63</v>
      </c>
      <c r="E1298" s="4" t="s">
        <v>202</v>
      </c>
      <c r="F1298" s="4" t="s">
        <v>203</v>
      </c>
      <c r="G1298" s="4" t="s">
        <v>100</v>
      </c>
      <c r="H1298" s="4" t="s">
        <v>26</v>
      </c>
      <c r="I1298" s="5">
        <v>65000000</v>
      </c>
      <c r="J1298" s="5">
        <v>79900</v>
      </c>
      <c r="K1298" s="5">
        <v>7990</v>
      </c>
      <c r="L1298" s="4" t="s">
        <v>451</v>
      </c>
      <c r="M1298" s="4" t="s">
        <v>452</v>
      </c>
      <c r="N1298" s="3">
        <v>45897</v>
      </c>
      <c r="O1298" s="4" t="s">
        <v>432</v>
      </c>
      <c r="P1298" s="2">
        <v>1000</v>
      </c>
      <c r="Q1298" s="2">
        <v>7083</v>
      </c>
      <c r="R1298" s="4" t="s">
        <v>755</v>
      </c>
      <c r="S1298" s="5">
        <v>63226550</v>
      </c>
    </row>
    <row r="1299" spans="1:19" x14ac:dyDescent="0.25">
      <c r="A1299" s="4" t="s">
        <v>61</v>
      </c>
      <c r="B1299" s="4" t="s">
        <v>59</v>
      </c>
      <c r="C1299" s="4" t="s">
        <v>62</v>
      </c>
      <c r="D1299" s="4" t="s">
        <v>63</v>
      </c>
      <c r="E1299" s="4" t="s">
        <v>202</v>
      </c>
      <c r="F1299" s="4" t="s">
        <v>203</v>
      </c>
      <c r="G1299" s="4" t="s">
        <v>100</v>
      </c>
      <c r="H1299" s="4" t="s">
        <v>26</v>
      </c>
      <c r="I1299" s="5">
        <v>65000000</v>
      </c>
      <c r="J1299" s="5">
        <v>70550</v>
      </c>
      <c r="K1299" s="5">
        <v>7055</v>
      </c>
      <c r="L1299" s="4" t="s">
        <v>451</v>
      </c>
      <c r="M1299" s="4" t="s">
        <v>452</v>
      </c>
      <c r="N1299" s="3">
        <v>45897</v>
      </c>
      <c r="O1299" s="4" t="s">
        <v>432</v>
      </c>
      <c r="P1299" s="2">
        <v>2000</v>
      </c>
      <c r="Q1299" s="2">
        <v>7083</v>
      </c>
      <c r="R1299" s="4" t="s">
        <v>755</v>
      </c>
      <c r="S1299" s="5">
        <v>63226550</v>
      </c>
    </row>
    <row r="1300" spans="1:19" x14ac:dyDescent="0.25">
      <c r="A1300" s="4" t="s">
        <v>61</v>
      </c>
      <c r="B1300" s="4" t="s">
        <v>59</v>
      </c>
      <c r="C1300" s="4" t="s">
        <v>62</v>
      </c>
      <c r="D1300" s="4" t="s">
        <v>63</v>
      </c>
      <c r="E1300" s="4" t="s">
        <v>202</v>
      </c>
      <c r="F1300" s="4" t="s">
        <v>203</v>
      </c>
      <c r="G1300" s="4" t="s">
        <v>100</v>
      </c>
      <c r="H1300" s="4" t="s">
        <v>26</v>
      </c>
      <c r="I1300" s="5">
        <v>65000000</v>
      </c>
      <c r="J1300" s="5">
        <v>23800</v>
      </c>
      <c r="K1300" s="5">
        <v>2380</v>
      </c>
      <c r="L1300" s="4" t="s">
        <v>451</v>
      </c>
      <c r="M1300" s="4" t="s">
        <v>452</v>
      </c>
      <c r="N1300" s="3">
        <v>45897</v>
      </c>
      <c r="O1300" s="4" t="s">
        <v>432</v>
      </c>
      <c r="P1300" s="2">
        <v>3000</v>
      </c>
      <c r="Q1300" s="2">
        <v>7083</v>
      </c>
      <c r="R1300" s="4" t="s">
        <v>755</v>
      </c>
      <c r="S1300" s="5">
        <v>63226550</v>
      </c>
    </row>
    <row r="1301" spans="1:19" x14ac:dyDescent="0.25">
      <c r="A1301" s="4" t="s">
        <v>61</v>
      </c>
      <c r="B1301" s="4" t="s">
        <v>59</v>
      </c>
      <c r="C1301" s="4" t="s">
        <v>62</v>
      </c>
      <c r="D1301" s="4" t="s">
        <v>63</v>
      </c>
      <c r="E1301" s="4" t="s">
        <v>293</v>
      </c>
      <c r="F1301" s="4" t="s">
        <v>294</v>
      </c>
      <c r="G1301" s="4" t="s">
        <v>100</v>
      </c>
      <c r="H1301" s="4" t="s">
        <v>26</v>
      </c>
      <c r="I1301" s="5">
        <v>65000000</v>
      </c>
      <c r="J1301" s="5">
        <v>79900</v>
      </c>
      <c r="K1301" s="5">
        <v>7990</v>
      </c>
      <c r="L1301" s="4" t="s">
        <v>295</v>
      </c>
      <c r="M1301" s="4" t="s">
        <v>296</v>
      </c>
      <c r="N1301" s="3">
        <v>45897</v>
      </c>
      <c r="O1301" s="4" t="s">
        <v>432</v>
      </c>
      <c r="P1301" s="2">
        <v>1000</v>
      </c>
      <c r="Q1301" s="2">
        <v>7089</v>
      </c>
      <c r="R1301" s="4" t="s">
        <v>755</v>
      </c>
      <c r="S1301" s="5">
        <v>63872000</v>
      </c>
    </row>
    <row r="1302" spans="1:19" x14ac:dyDescent="0.25">
      <c r="A1302" s="4" t="s">
        <v>61</v>
      </c>
      <c r="B1302" s="4" t="s">
        <v>59</v>
      </c>
      <c r="C1302" s="4" t="s">
        <v>62</v>
      </c>
      <c r="D1302" s="4" t="s">
        <v>63</v>
      </c>
      <c r="E1302" s="4" t="s">
        <v>103</v>
      </c>
      <c r="F1302" s="4" t="s">
        <v>104</v>
      </c>
      <c r="G1302" s="4" t="s">
        <v>105</v>
      </c>
      <c r="H1302" s="4" t="s">
        <v>26</v>
      </c>
      <c r="I1302" s="5">
        <v>155000000</v>
      </c>
      <c r="J1302" s="5">
        <v>39200</v>
      </c>
      <c r="K1302" s="5">
        <v>3920</v>
      </c>
      <c r="L1302" s="4" t="s">
        <v>26</v>
      </c>
      <c r="M1302" s="4" t="s">
        <v>26</v>
      </c>
      <c r="N1302" s="3">
        <v>45887</v>
      </c>
      <c r="O1302" s="4" t="s">
        <v>51</v>
      </c>
      <c r="P1302" s="2">
        <v>1000</v>
      </c>
      <c r="Q1302" s="2">
        <v>7110</v>
      </c>
      <c r="R1302" s="4" t="s">
        <v>749</v>
      </c>
      <c r="S1302" s="5">
        <v>150234500</v>
      </c>
    </row>
    <row r="1303" spans="1:19" x14ac:dyDescent="0.25">
      <c r="A1303" s="4" t="s">
        <v>61</v>
      </c>
      <c r="B1303" s="4" t="s">
        <v>59</v>
      </c>
      <c r="C1303" s="4" t="s">
        <v>62</v>
      </c>
      <c r="D1303" s="4" t="s">
        <v>63</v>
      </c>
      <c r="E1303" s="4" t="s">
        <v>103</v>
      </c>
      <c r="F1303" s="4" t="s">
        <v>104</v>
      </c>
      <c r="G1303" s="4" t="s">
        <v>105</v>
      </c>
      <c r="H1303" s="4" t="s">
        <v>26</v>
      </c>
      <c r="I1303" s="5">
        <v>155000000</v>
      </c>
      <c r="J1303" s="5">
        <v>31200</v>
      </c>
      <c r="K1303" s="5">
        <v>3120</v>
      </c>
      <c r="L1303" s="4" t="s">
        <v>26</v>
      </c>
      <c r="M1303" s="4" t="s">
        <v>26</v>
      </c>
      <c r="N1303" s="3">
        <v>45887</v>
      </c>
      <c r="O1303" s="4" t="s">
        <v>51</v>
      </c>
      <c r="P1303" s="2">
        <v>2000</v>
      </c>
      <c r="Q1303" s="2">
        <v>7110</v>
      </c>
      <c r="R1303" s="4" t="s">
        <v>749</v>
      </c>
      <c r="S1303" s="5">
        <v>150234500</v>
      </c>
    </row>
    <row r="1304" spans="1:19" x14ac:dyDescent="0.25">
      <c r="A1304" s="4" t="s">
        <v>61</v>
      </c>
      <c r="B1304" s="4" t="s">
        <v>59</v>
      </c>
      <c r="C1304" s="4" t="s">
        <v>62</v>
      </c>
      <c r="D1304" s="4" t="s">
        <v>63</v>
      </c>
      <c r="E1304" s="4" t="s">
        <v>197</v>
      </c>
      <c r="F1304" s="4" t="s">
        <v>198</v>
      </c>
      <c r="G1304" s="4" t="s">
        <v>199</v>
      </c>
      <c r="H1304" s="4" t="s">
        <v>26</v>
      </c>
      <c r="I1304" s="5">
        <v>65000000</v>
      </c>
      <c r="J1304" s="5">
        <v>30000</v>
      </c>
      <c r="K1304" s="5">
        <v>3000</v>
      </c>
      <c r="L1304" s="4" t="s">
        <v>26</v>
      </c>
      <c r="M1304" s="4" t="s">
        <v>26</v>
      </c>
      <c r="N1304" s="3">
        <v>45887</v>
      </c>
      <c r="O1304" s="4" t="s">
        <v>459</v>
      </c>
      <c r="P1304" s="2">
        <v>1000</v>
      </c>
      <c r="Q1304" s="2">
        <v>7116</v>
      </c>
      <c r="R1304" s="4" t="s">
        <v>84</v>
      </c>
      <c r="S1304" s="5">
        <v>64626000</v>
      </c>
    </row>
    <row r="1305" spans="1:19" x14ac:dyDescent="0.25">
      <c r="A1305" s="4" t="s">
        <v>61</v>
      </c>
      <c r="B1305" s="4" t="s">
        <v>59</v>
      </c>
      <c r="C1305" s="4" t="s">
        <v>62</v>
      </c>
      <c r="D1305" s="4" t="s">
        <v>63</v>
      </c>
      <c r="E1305" s="4" t="s">
        <v>338</v>
      </c>
      <c r="F1305" s="4" t="s">
        <v>339</v>
      </c>
      <c r="G1305" s="4" t="s">
        <v>100</v>
      </c>
      <c r="H1305" s="4" t="s">
        <v>26</v>
      </c>
      <c r="I1305" s="5">
        <v>65000000</v>
      </c>
      <c r="J1305" s="5">
        <v>70550</v>
      </c>
      <c r="K1305" s="5">
        <v>7055</v>
      </c>
      <c r="L1305" s="4" t="s">
        <v>453</v>
      </c>
      <c r="M1305" s="4" t="s">
        <v>454</v>
      </c>
      <c r="N1305" s="3">
        <v>45897</v>
      </c>
      <c r="O1305" s="4" t="s">
        <v>432</v>
      </c>
      <c r="P1305" s="2">
        <v>1000</v>
      </c>
      <c r="Q1305" s="2">
        <v>7119</v>
      </c>
      <c r="R1305" s="4" t="s">
        <v>755</v>
      </c>
      <c r="S1305" s="5">
        <v>61189450</v>
      </c>
    </row>
    <row r="1306" spans="1:19" x14ac:dyDescent="0.25">
      <c r="A1306" s="4" t="s">
        <v>61</v>
      </c>
      <c r="B1306" s="4" t="s">
        <v>59</v>
      </c>
      <c r="C1306" s="4" t="s">
        <v>62</v>
      </c>
      <c r="D1306" s="4" t="s">
        <v>63</v>
      </c>
      <c r="E1306" s="4" t="s">
        <v>338</v>
      </c>
      <c r="F1306" s="4" t="s">
        <v>339</v>
      </c>
      <c r="G1306" s="4" t="s">
        <v>100</v>
      </c>
      <c r="H1306" s="4" t="s">
        <v>26</v>
      </c>
      <c r="I1306" s="5">
        <v>65000000</v>
      </c>
      <c r="J1306" s="5">
        <v>56100</v>
      </c>
      <c r="K1306" s="5">
        <v>5610</v>
      </c>
      <c r="L1306" s="4" t="s">
        <v>453</v>
      </c>
      <c r="M1306" s="4" t="s">
        <v>454</v>
      </c>
      <c r="N1306" s="3">
        <v>45897</v>
      </c>
      <c r="O1306" s="4" t="s">
        <v>432</v>
      </c>
      <c r="P1306" s="2">
        <v>2000</v>
      </c>
      <c r="Q1306" s="2">
        <v>7119</v>
      </c>
      <c r="R1306" s="4" t="s">
        <v>755</v>
      </c>
      <c r="S1306" s="5">
        <v>61189450</v>
      </c>
    </row>
    <row r="1307" spans="1:19" x14ac:dyDescent="0.25">
      <c r="A1307" s="4" t="s">
        <v>61</v>
      </c>
      <c r="B1307" s="4" t="s">
        <v>59</v>
      </c>
      <c r="C1307" s="4" t="s">
        <v>62</v>
      </c>
      <c r="D1307" s="4" t="s">
        <v>63</v>
      </c>
      <c r="E1307" s="4" t="s">
        <v>338</v>
      </c>
      <c r="F1307" s="4" t="s">
        <v>339</v>
      </c>
      <c r="G1307" s="4" t="s">
        <v>100</v>
      </c>
      <c r="H1307" s="4" t="s">
        <v>26</v>
      </c>
      <c r="I1307" s="5">
        <v>65000000</v>
      </c>
      <c r="J1307" s="5">
        <v>23800</v>
      </c>
      <c r="K1307" s="5">
        <v>2380</v>
      </c>
      <c r="L1307" s="4" t="s">
        <v>453</v>
      </c>
      <c r="M1307" s="4" t="s">
        <v>454</v>
      </c>
      <c r="N1307" s="3">
        <v>45897</v>
      </c>
      <c r="O1307" s="4" t="s">
        <v>432</v>
      </c>
      <c r="P1307" s="2">
        <v>3000</v>
      </c>
      <c r="Q1307" s="2">
        <v>7119</v>
      </c>
      <c r="R1307" s="4" t="s">
        <v>755</v>
      </c>
      <c r="S1307" s="5">
        <v>61189450</v>
      </c>
    </row>
    <row r="1308" spans="1:19" x14ac:dyDescent="0.25">
      <c r="A1308" s="4" t="s">
        <v>61</v>
      </c>
      <c r="B1308" s="4" t="s">
        <v>59</v>
      </c>
      <c r="C1308" s="4" t="s">
        <v>62</v>
      </c>
      <c r="D1308" s="4" t="s">
        <v>63</v>
      </c>
      <c r="E1308" s="4" t="s">
        <v>174</v>
      </c>
      <c r="F1308" s="4" t="s">
        <v>175</v>
      </c>
      <c r="G1308" s="4" t="s">
        <v>50</v>
      </c>
      <c r="H1308" s="4" t="s">
        <v>26</v>
      </c>
      <c r="I1308" s="5">
        <v>65000000</v>
      </c>
      <c r="J1308" s="5">
        <v>63000</v>
      </c>
      <c r="K1308" s="5">
        <v>6300</v>
      </c>
      <c r="L1308" s="4" t="s">
        <v>26</v>
      </c>
      <c r="M1308" s="4" t="s">
        <v>26</v>
      </c>
      <c r="N1308" s="3">
        <v>45891</v>
      </c>
      <c r="O1308" s="4" t="s">
        <v>565</v>
      </c>
      <c r="P1308" s="2">
        <v>1000</v>
      </c>
      <c r="Q1308" s="2">
        <v>7121</v>
      </c>
      <c r="R1308" s="4" t="s">
        <v>26</v>
      </c>
      <c r="S1308" s="5">
        <v>63740700</v>
      </c>
    </row>
    <row r="1309" spans="1:19" x14ac:dyDescent="0.25">
      <c r="A1309" s="4" t="s">
        <v>61</v>
      </c>
      <c r="B1309" s="4" t="s">
        <v>59</v>
      </c>
      <c r="C1309" s="4" t="s">
        <v>62</v>
      </c>
      <c r="D1309" s="4" t="s">
        <v>63</v>
      </c>
      <c r="E1309" s="4" t="s">
        <v>178</v>
      </c>
      <c r="F1309" s="4" t="s">
        <v>179</v>
      </c>
      <c r="G1309" s="4" t="s">
        <v>124</v>
      </c>
      <c r="H1309" s="4" t="s">
        <v>26</v>
      </c>
      <c r="I1309" s="5">
        <v>65000000</v>
      </c>
      <c r="J1309" s="5">
        <v>50000</v>
      </c>
      <c r="K1309" s="5">
        <v>5000</v>
      </c>
      <c r="L1309" s="4" t="s">
        <v>214</v>
      </c>
      <c r="M1309" s="4" t="s">
        <v>215</v>
      </c>
      <c r="N1309" s="3">
        <v>45887</v>
      </c>
      <c r="O1309" s="4" t="s">
        <v>459</v>
      </c>
      <c r="P1309" s="2">
        <v>1000</v>
      </c>
      <c r="Q1309" s="2">
        <v>7152</v>
      </c>
      <c r="R1309" s="4" t="s">
        <v>747</v>
      </c>
      <c r="S1309" s="5">
        <v>54146650</v>
      </c>
    </row>
    <row r="1310" spans="1:19" x14ac:dyDescent="0.25">
      <c r="A1310" s="4" t="s">
        <v>61</v>
      </c>
      <c r="B1310" s="4" t="s">
        <v>59</v>
      </c>
      <c r="C1310" s="4" t="s">
        <v>62</v>
      </c>
      <c r="D1310" s="4" t="s">
        <v>63</v>
      </c>
      <c r="E1310" s="4" t="s">
        <v>232</v>
      </c>
      <c r="F1310" s="4" t="s">
        <v>233</v>
      </c>
      <c r="G1310" s="4" t="s">
        <v>81</v>
      </c>
      <c r="H1310" s="4" t="s">
        <v>26</v>
      </c>
      <c r="I1310" s="5">
        <v>65000000</v>
      </c>
      <c r="J1310" s="5">
        <v>1323000</v>
      </c>
      <c r="K1310" s="5">
        <v>132300</v>
      </c>
      <c r="L1310" s="4" t="s">
        <v>234</v>
      </c>
      <c r="M1310" s="4" t="s">
        <v>235</v>
      </c>
      <c r="N1310" s="3">
        <v>45891</v>
      </c>
      <c r="O1310" s="4" t="s">
        <v>716</v>
      </c>
      <c r="P1310" s="2">
        <v>1000</v>
      </c>
      <c r="Q1310" s="2">
        <v>7161</v>
      </c>
      <c r="R1310" s="4" t="s">
        <v>766</v>
      </c>
      <c r="S1310" s="5">
        <v>56050260</v>
      </c>
    </row>
    <row r="1311" spans="1:19" x14ac:dyDescent="0.25">
      <c r="A1311" s="4" t="s">
        <v>61</v>
      </c>
      <c r="B1311" s="4" t="s">
        <v>59</v>
      </c>
      <c r="C1311" s="4" t="s">
        <v>62</v>
      </c>
      <c r="D1311" s="4" t="s">
        <v>63</v>
      </c>
      <c r="E1311" s="4" t="s">
        <v>585</v>
      </c>
      <c r="F1311" s="4" t="s">
        <v>586</v>
      </c>
      <c r="G1311" s="4" t="s">
        <v>81</v>
      </c>
      <c r="H1311" s="4" t="s">
        <v>26</v>
      </c>
      <c r="I1311" s="5">
        <v>65000000</v>
      </c>
      <c r="J1311" s="5">
        <v>46200</v>
      </c>
      <c r="K1311" s="5">
        <v>4620</v>
      </c>
      <c r="L1311" s="4" t="s">
        <v>26</v>
      </c>
      <c r="M1311" s="4" t="s">
        <v>26</v>
      </c>
      <c r="N1311" s="3">
        <v>45883</v>
      </c>
      <c r="O1311" s="4" t="s">
        <v>584</v>
      </c>
      <c r="P1311" s="2">
        <v>1000</v>
      </c>
      <c r="Q1311" s="2">
        <v>7164</v>
      </c>
      <c r="R1311" s="4" t="s">
        <v>755</v>
      </c>
      <c r="S1311" s="5">
        <v>64709600</v>
      </c>
    </row>
    <row r="1312" spans="1:19" x14ac:dyDescent="0.25">
      <c r="A1312" s="4" t="s">
        <v>61</v>
      </c>
      <c r="B1312" s="4" t="s">
        <v>59</v>
      </c>
      <c r="C1312" s="4" t="s">
        <v>62</v>
      </c>
      <c r="D1312" s="4" t="s">
        <v>63</v>
      </c>
      <c r="E1312" s="4" t="s">
        <v>193</v>
      </c>
      <c r="F1312" s="4" t="s">
        <v>194</v>
      </c>
      <c r="G1312" s="4" t="s">
        <v>105</v>
      </c>
      <c r="H1312" s="4" t="s">
        <v>26</v>
      </c>
      <c r="I1312" s="5">
        <v>155000000</v>
      </c>
      <c r="J1312" s="5">
        <v>72000</v>
      </c>
      <c r="K1312" s="5">
        <v>7200</v>
      </c>
      <c r="L1312" s="4" t="s">
        <v>195</v>
      </c>
      <c r="M1312" s="4" t="s">
        <v>196</v>
      </c>
      <c r="N1312" s="3">
        <v>45897</v>
      </c>
      <c r="O1312" s="4" t="s">
        <v>432</v>
      </c>
      <c r="P1312" s="2">
        <v>1000</v>
      </c>
      <c r="Q1312" s="2">
        <v>7166</v>
      </c>
      <c r="R1312" s="4" t="s">
        <v>755</v>
      </c>
      <c r="S1312" s="5">
        <v>149540330</v>
      </c>
    </row>
    <row r="1313" spans="1:19" x14ac:dyDescent="0.25">
      <c r="A1313" s="4" t="s">
        <v>61</v>
      </c>
      <c r="B1313" s="4" t="s">
        <v>59</v>
      </c>
      <c r="C1313" s="4" t="s">
        <v>62</v>
      </c>
      <c r="D1313" s="4" t="s">
        <v>63</v>
      </c>
      <c r="E1313" s="4" t="s">
        <v>482</v>
      </c>
      <c r="F1313" s="4" t="s">
        <v>483</v>
      </c>
      <c r="G1313" s="4" t="s">
        <v>419</v>
      </c>
      <c r="H1313" s="4" t="s">
        <v>26</v>
      </c>
      <c r="I1313" s="5">
        <v>155000000</v>
      </c>
      <c r="J1313" s="5">
        <v>447000</v>
      </c>
      <c r="K1313" s="5">
        <v>44700</v>
      </c>
      <c r="L1313" s="4" t="s">
        <v>559</v>
      </c>
      <c r="M1313" s="4" t="s">
        <v>560</v>
      </c>
      <c r="N1313" s="3">
        <v>45898</v>
      </c>
      <c r="O1313" s="4" t="s">
        <v>532</v>
      </c>
      <c r="P1313" s="2">
        <v>1000</v>
      </c>
      <c r="Q1313" s="2">
        <v>7181</v>
      </c>
      <c r="R1313" s="4" t="s">
        <v>749</v>
      </c>
      <c r="S1313" s="5">
        <v>148644500</v>
      </c>
    </row>
    <row r="1314" spans="1:19" x14ac:dyDescent="0.25">
      <c r="A1314" s="4" t="s">
        <v>61</v>
      </c>
      <c r="B1314" s="4" t="s">
        <v>59</v>
      </c>
      <c r="C1314" s="4" t="s">
        <v>62</v>
      </c>
      <c r="D1314" s="4" t="s">
        <v>63</v>
      </c>
      <c r="E1314" s="4" t="s">
        <v>160</v>
      </c>
      <c r="F1314" s="4" t="s">
        <v>161</v>
      </c>
      <c r="G1314" s="4" t="s">
        <v>115</v>
      </c>
      <c r="H1314" s="4" t="s">
        <v>26</v>
      </c>
      <c r="I1314" s="5">
        <v>65000000</v>
      </c>
      <c r="J1314" s="5">
        <v>30000</v>
      </c>
      <c r="K1314" s="5">
        <v>3000</v>
      </c>
      <c r="L1314" s="4" t="s">
        <v>162</v>
      </c>
      <c r="M1314" s="4" t="s">
        <v>163</v>
      </c>
      <c r="N1314" s="3">
        <v>45887</v>
      </c>
      <c r="O1314" s="4" t="s">
        <v>459</v>
      </c>
      <c r="P1314" s="2">
        <v>1000</v>
      </c>
      <c r="Q1314" s="2">
        <v>7184</v>
      </c>
      <c r="R1314" s="4" t="s">
        <v>26</v>
      </c>
      <c r="S1314" s="5">
        <v>64250650</v>
      </c>
    </row>
    <row r="1315" spans="1:19" x14ac:dyDescent="0.25">
      <c r="A1315" s="4" t="s">
        <v>61</v>
      </c>
      <c r="B1315" s="4" t="s">
        <v>59</v>
      </c>
      <c r="C1315" s="4" t="s">
        <v>62</v>
      </c>
      <c r="D1315" s="4" t="s">
        <v>63</v>
      </c>
      <c r="E1315" s="4" t="s">
        <v>424</v>
      </c>
      <c r="F1315" s="4" t="s">
        <v>425</v>
      </c>
      <c r="G1315" s="4" t="s">
        <v>100</v>
      </c>
      <c r="H1315" s="4" t="s">
        <v>26</v>
      </c>
      <c r="I1315" s="5">
        <v>65000000</v>
      </c>
      <c r="J1315" s="5">
        <v>46200</v>
      </c>
      <c r="K1315" s="5">
        <v>4620</v>
      </c>
      <c r="L1315" s="4" t="s">
        <v>26</v>
      </c>
      <c r="M1315" s="4" t="s">
        <v>26</v>
      </c>
      <c r="N1315" s="3">
        <v>45887</v>
      </c>
      <c r="O1315" s="4" t="s">
        <v>459</v>
      </c>
      <c r="P1315" s="2">
        <v>1000</v>
      </c>
      <c r="Q1315" s="2">
        <v>7189</v>
      </c>
      <c r="R1315" s="4" t="s">
        <v>755</v>
      </c>
      <c r="S1315" s="5">
        <v>64873300</v>
      </c>
    </row>
    <row r="1316" spans="1:19" x14ac:dyDescent="0.25">
      <c r="A1316" s="4" t="s">
        <v>61</v>
      </c>
      <c r="B1316" s="4" t="s">
        <v>59</v>
      </c>
      <c r="C1316" s="4" t="s">
        <v>62</v>
      </c>
      <c r="D1316" s="4" t="s">
        <v>63</v>
      </c>
      <c r="E1316" s="4" t="s">
        <v>127</v>
      </c>
      <c r="F1316" s="4" t="s">
        <v>128</v>
      </c>
      <c r="G1316" s="4" t="s">
        <v>50</v>
      </c>
      <c r="H1316" s="4" t="s">
        <v>26</v>
      </c>
      <c r="I1316" s="5">
        <v>65000000</v>
      </c>
      <c r="J1316" s="5">
        <v>135000</v>
      </c>
      <c r="K1316" s="5">
        <v>13500</v>
      </c>
      <c r="L1316" s="4" t="s">
        <v>129</v>
      </c>
      <c r="M1316" s="4" t="s">
        <v>130</v>
      </c>
      <c r="N1316" s="3">
        <v>45898</v>
      </c>
      <c r="O1316" s="4" t="s">
        <v>532</v>
      </c>
      <c r="P1316" s="2">
        <v>1000</v>
      </c>
      <c r="Q1316" s="2">
        <v>7198</v>
      </c>
      <c r="R1316" s="4" t="s">
        <v>749</v>
      </c>
      <c r="S1316" s="5">
        <v>60417600</v>
      </c>
    </row>
    <row r="1317" spans="1:19" x14ac:dyDescent="0.25">
      <c r="A1317" s="4" t="s">
        <v>61</v>
      </c>
      <c r="B1317" s="4" t="s">
        <v>59</v>
      </c>
      <c r="C1317" s="4" t="s">
        <v>62</v>
      </c>
      <c r="D1317" s="4" t="s">
        <v>63</v>
      </c>
      <c r="E1317" s="4" t="s">
        <v>122</v>
      </c>
      <c r="F1317" s="4" t="s">
        <v>123</v>
      </c>
      <c r="G1317" s="4" t="s">
        <v>124</v>
      </c>
      <c r="H1317" s="4" t="s">
        <v>26</v>
      </c>
      <c r="I1317" s="5">
        <v>65000000</v>
      </c>
      <c r="J1317" s="5">
        <v>135000</v>
      </c>
      <c r="K1317" s="5">
        <v>13500</v>
      </c>
      <c r="L1317" s="4" t="s">
        <v>26</v>
      </c>
      <c r="M1317" s="4" t="s">
        <v>26</v>
      </c>
      <c r="N1317" s="3">
        <v>45898</v>
      </c>
      <c r="O1317" s="4" t="s">
        <v>532</v>
      </c>
      <c r="P1317" s="2">
        <v>1000</v>
      </c>
      <c r="Q1317" s="2">
        <v>7215</v>
      </c>
      <c r="R1317" s="4" t="s">
        <v>749</v>
      </c>
      <c r="S1317" s="5">
        <v>54042090</v>
      </c>
    </row>
    <row r="1318" spans="1:19" x14ac:dyDescent="0.25">
      <c r="A1318" s="4" t="s">
        <v>61</v>
      </c>
      <c r="B1318" s="4" t="s">
        <v>59</v>
      </c>
      <c r="C1318" s="4" t="s">
        <v>62</v>
      </c>
      <c r="D1318" s="4" t="s">
        <v>63</v>
      </c>
      <c r="E1318" s="4" t="s">
        <v>277</v>
      </c>
      <c r="F1318" s="4" t="s">
        <v>278</v>
      </c>
      <c r="G1318" s="4" t="s">
        <v>50</v>
      </c>
      <c r="H1318" s="4" t="s">
        <v>26</v>
      </c>
      <c r="I1318" s="5">
        <v>65000000</v>
      </c>
      <c r="J1318" s="5">
        <v>66000</v>
      </c>
      <c r="K1318" s="5">
        <v>6600</v>
      </c>
      <c r="L1318" s="4" t="s">
        <v>291</v>
      </c>
      <c r="M1318" s="4" t="s">
        <v>292</v>
      </c>
      <c r="N1318" s="3">
        <v>45898</v>
      </c>
      <c r="O1318" s="4" t="s">
        <v>532</v>
      </c>
      <c r="P1318" s="2">
        <v>1000</v>
      </c>
      <c r="Q1318" s="2">
        <v>7221</v>
      </c>
      <c r="R1318" s="4" t="s">
        <v>749</v>
      </c>
      <c r="S1318" s="5">
        <v>64145800</v>
      </c>
    </row>
    <row r="1319" spans="1:19" x14ac:dyDescent="0.25">
      <c r="A1319" s="4" t="s">
        <v>61</v>
      </c>
      <c r="B1319" s="4" t="s">
        <v>59</v>
      </c>
      <c r="C1319" s="4" t="s">
        <v>62</v>
      </c>
      <c r="D1319" s="4" t="s">
        <v>63</v>
      </c>
      <c r="E1319" s="4" t="s">
        <v>277</v>
      </c>
      <c r="F1319" s="4" t="s">
        <v>278</v>
      </c>
      <c r="G1319" s="4" t="s">
        <v>50</v>
      </c>
      <c r="H1319" s="4" t="s">
        <v>26</v>
      </c>
      <c r="I1319" s="5">
        <v>65000000</v>
      </c>
      <c r="J1319" s="5">
        <v>116100</v>
      </c>
      <c r="K1319" s="5">
        <v>11610</v>
      </c>
      <c r="L1319" s="4" t="s">
        <v>291</v>
      </c>
      <c r="M1319" s="4" t="s">
        <v>292</v>
      </c>
      <c r="N1319" s="3">
        <v>45898</v>
      </c>
      <c r="O1319" s="4" t="s">
        <v>532</v>
      </c>
      <c r="P1319" s="2">
        <v>2000</v>
      </c>
      <c r="Q1319" s="2">
        <v>7221</v>
      </c>
      <c r="R1319" s="4" t="s">
        <v>755</v>
      </c>
      <c r="S1319" s="5">
        <v>64145800</v>
      </c>
    </row>
    <row r="1320" spans="1:19" x14ac:dyDescent="0.25">
      <c r="A1320" s="4" t="s">
        <v>61</v>
      </c>
      <c r="B1320" s="4" t="s">
        <v>59</v>
      </c>
      <c r="C1320" s="4" t="s">
        <v>62</v>
      </c>
      <c r="D1320" s="4" t="s">
        <v>63</v>
      </c>
      <c r="E1320" s="4" t="s">
        <v>277</v>
      </c>
      <c r="F1320" s="4" t="s">
        <v>278</v>
      </c>
      <c r="G1320" s="4" t="s">
        <v>50</v>
      </c>
      <c r="H1320" s="4" t="s">
        <v>26</v>
      </c>
      <c r="I1320" s="5">
        <v>65000000</v>
      </c>
      <c r="J1320" s="5">
        <v>46200</v>
      </c>
      <c r="K1320" s="5">
        <v>4620</v>
      </c>
      <c r="L1320" s="4" t="s">
        <v>291</v>
      </c>
      <c r="M1320" s="4" t="s">
        <v>292</v>
      </c>
      <c r="N1320" s="3">
        <v>45898</v>
      </c>
      <c r="O1320" s="4" t="s">
        <v>532</v>
      </c>
      <c r="P1320" s="2">
        <v>3000</v>
      </c>
      <c r="Q1320" s="2">
        <v>7221</v>
      </c>
      <c r="R1320" s="4" t="s">
        <v>755</v>
      </c>
      <c r="S1320" s="5">
        <v>64145800</v>
      </c>
    </row>
    <row r="1321" spans="1:19" x14ac:dyDescent="0.25">
      <c r="A1321" s="4" t="s">
        <v>61</v>
      </c>
      <c r="B1321" s="4" t="s">
        <v>59</v>
      </c>
      <c r="C1321" s="4" t="s">
        <v>62</v>
      </c>
      <c r="D1321" s="4" t="s">
        <v>63</v>
      </c>
      <c r="E1321" s="4" t="s">
        <v>277</v>
      </c>
      <c r="F1321" s="4" t="s">
        <v>278</v>
      </c>
      <c r="G1321" s="4" t="s">
        <v>50</v>
      </c>
      <c r="H1321" s="4" t="s">
        <v>26</v>
      </c>
      <c r="I1321" s="5">
        <v>65000000</v>
      </c>
      <c r="J1321" s="5">
        <v>53900</v>
      </c>
      <c r="K1321" s="5">
        <v>5390</v>
      </c>
      <c r="L1321" s="4" t="s">
        <v>291</v>
      </c>
      <c r="M1321" s="4" t="s">
        <v>292</v>
      </c>
      <c r="N1321" s="3">
        <v>45898</v>
      </c>
      <c r="O1321" s="4" t="s">
        <v>532</v>
      </c>
      <c r="P1321" s="2">
        <v>4000</v>
      </c>
      <c r="Q1321" s="2">
        <v>7221</v>
      </c>
      <c r="R1321" s="4" t="s">
        <v>755</v>
      </c>
      <c r="S1321" s="5">
        <v>64145800</v>
      </c>
    </row>
    <row r="1322" spans="1:19" x14ac:dyDescent="0.25">
      <c r="A1322" s="4" t="s">
        <v>61</v>
      </c>
      <c r="B1322" s="4" t="s">
        <v>59</v>
      </c>
      <c r="C1322" s="4" t="s">
        <v>62</v>
      </c>
      <c r="D1322" s="4" t="s">
        <v>63</v>
      </c>
      <c r="E1322" s="4" t="s">
        <v>103</v>
      </c>
      <c r="F1322" s="4" t="s">
        <v>104</v>
      </c>
      <c r="G1322" s="4" t="s">
        <v>105</v>
      </c>
      <c r="H1322" s="4" t="s">
        <v>26</v>
      </c>
      <c r="I1322" s="5">
        <v>155000000</v>
      </c>
      <c r="J1322" s="5">
        <v>39200</v>
      </c>
      <c r="K1322" s="5">
        <v>3920</v>
      </c>
      <c r="L1322" s="4" t="s">
        <v>26</v>
      </c>
      <c r="M1322" s="4" t="s">
        <v>26</v>
      </c>
      <c r="N1322" s="3">
        <v>45892</v>
      </c>
      <c r="O1322" s="4" t="s">
        <v>565</v>
      </c>
      <c r="P1322" s="2">
        <v>1000</v>
      </c>
      <c r="Q1322" s="2">
        <v>7270</v>
      </c>
      <c r="R1322" s="4" t="s">
        <v>749</v>
      </c>
      <c r="S1322" s="5">
        <v>150234500</v>
      </c>
    </row>
    <row r="1323" spans="1:19" x14ac:dyDescent="0.25">
      <c r="A1323" s="4" t="s">
        <v>61</v>
      </c>
      <c r="B1323" s="4" t="s">
        <v>59</v>
      </c>
      <c r="C1323" s="4" t="s">
        <v>62</v>
      </c>
      <c r="D1323" s="4" t="s">
        <v>63</v>
      </c>
      <c r="E1323" s="4" t="s">
        <v>255</v>
      </c>
      <c r="F1323" s="4" t="s">
        <v>256</v>
      </c>
      <c r="G1323" s="4" t="s">
        <v>144</v>
      </c>
      <c r="H1323" s="4" t="s">
        <v>26</v>
      </c>
      <c r="I1323" s="5">
        <v>90000000</v>
      </c>
      <c r="J1323" s="5">
        <v>171000</v>
      </c>
      <c r="K1323" s="5">
        <v>17100</v>
      </c>
      <c r="L1323" s="4" t="s">
        <v>281</v>
      </c>
      <c r="M1323" s="4" t="s">
        <v>282</v>
      </c>
      <c r="N1323" s="3">
        <v>45898</v>
      </c>
      <c r="O1323" s="4" t="s">
        <v>532</v>
      </c>
      <c r="P1323" s="2">
        <v>1000</v>
      </c>
      <c r="Q1323" s="2">
        <v>7276</v>
      </c>
      <c r="R1323" s="4" t="s">
        <v>749</v>
      </c>
      <c r="S1323" s="5">
        <v>81505500</v>
      </c>
    </row>
    <row r="1324" spans="1:19" x14ac:dyDescent="0.25">
      <c r="A1324" s="4" t="s">
        <v>61</v>
      </c>
      <c r="B1324" s="4" t="s">
        <v>59</v>
      </c>
      <c r="C1324" s="4" t="s">
        <v>62</v>
      </c>
      <c r="D1324" s="4" t="s">
        <v>63</v>
      </c>
      <c r="E1324" s="4" t="s">
        <v>443</v>
      </c>
      <c r="F1324" s="4" t="s">
        <v>444</v>
      </c>
      <c r="G1324" s="4" t="s">
        <v>157</v>
      </c>
      <c r="H1324" s="4" t="s">
        <v>26</v>
      </c>
      <c r="I1324" s="5">
        <v>90000000</v>
      </c>
      <c r="J1324" s="5">
        <v>55000</v>
      </c>
      <c r="K1324" s="5">
        <v>5500</v>
      </c>
      <c r="L1324" s="4" t="s">
        <v>572</v>
      </c>
      <c r="M1324" s="4" t="s">
        <v>573</v>
      </c>
      <c r="N1324" s="3">
        <v>45892</v>
      </c>
      <c r="O1324" s="4" t="s">
        <v>565</v>
      </c>
      <c r="P1324" s="2">
        <v>1000</v>
      </c>
      <c r="Q1324" s="2">
        <v>7303</v>
      </c>
      <c r="R1324" s="4" t="s">
        <v>757</v>
      </c>
      <c r="S1324" s="5">
        <v>86215260</v>
      </c>
    </row>
    <row r="1325" spans="1:19" x14ac:dyDescent="0.25">
      <c r="A1325" s="4" t="s">
        <v>61</v>
      </c>
      <c r="B1325" s="4" t="s">
        <v>59</v>
      </c>
      <c r="C1325" s="4" t="s">
        <v>62</v>
      </c>
      <c r="D1325" s="4" t="s">
        <v>63</v>
      </c>
      <c r="E1325" s="4" t="s">
        <v>510</v>
      </c>
      <c r="F1325" s="4" t="s">
        <v>511</v>
      </c>
      <c r="G1325" s="4" t="s">
        <v>115</v>
      </c>
      <c r="H1325" s="4" t="s">
        <v>26</v>
      </c>
      <c r="I1325" s="5">
        <v>65000000</v>
      </c>
      <c r="J1325" s="5">
        <v>40000</v>
      </c>
      <c r="K1325" s="5">
        <v>4000</v>
      </c>
      <c r="L1325" s="4" t="s">
        <v>512</v>
      </c>
      <c r="M1325" s="4" t="s">
        <v>513</v>
      </c>
      <c r="N1325" s="3">
        <v>45887</v>
      </c>
      <c r="O1325" s="4" t="s">
        <v>459</v>
      </c>
      <c r="P1325" s="2">
        <v>1000</v>
      </c>
      <c r="Q1325" s="2">
        <v>7308</v>
      </c>
      <c r="R1325" s="4" t="s">
        <v>84</v>
      </c>
      <c r="S1325" s="5">
        <v>64825000</v>
      </c>
    </row>
    <row r="1326" spans="1:19" x14ac:dyDescent="0.25">
      <c r="A1326" s="4" t="s">
        <v>61</v>
      </c>
      <c r="B1326" s="4" t="s">
        <v>59</v>
      </c>
      <c r="C1326" s="4" t="s">
        <v>62</v>
      </c>
      <c r="D1326" s="4" t="s">
        <v>63</v>
      </c>
      <c r="E1326" s="4" t="s">
        <v>103</v>
      </c>
      <c r="F1326" s="4" t="s">
        <v>104</v>
      </c>
      <c r="G1326" s="4" t="s">
        <v>105</v>
      </c>
      <c r="H1326" s="4" t="s">
        <v>26</v>
      </c>
      <c r="I1326" s="5">
        <v>155000000</v>
      </c>
      <c r="J1326" s="5">
        <v>39200</v>
      </c>
      <c r="K1326" s="5">
        <v>3920</v>
      </c>
      <c r="L1326" s="4" t="s">
        <v>26</v>
      </c>
      <c r="M1326" s="4" t="s">
        <v>26</v>
      </c>
      <c r="N1326" s="3">
        <v>45884</v>
      </c>
      <c r="O1326" s="4" t="s">
        <v>584</v>
      </c>
      <c r="P1326" s="2">
        <v>1000</v>
      </c>
      <c r="Q1326" s="2">
        <v>7325</v>
      </c>
      <c r="R1326" s="4" t="s">
        <v>749</v>
      </c>
      <c r="S1326" s="5">
        <v>150234500</v>
      </c>
    </row>
    <row r="1327" spans="1:19" x14ac:dyDescent="0.25">
      <c r="A1327" s="4" t="s">
        <v>61</v>
      </c>
      <c r="B1327" s="4" t="s">
        <v>59</v>
      </c>
      <c r="C1327" s="4" t="s">
        <v>62</v>
      </c>
      <c r="D1327" s="4" t="s">
        <v>63</v>
      </c>
      <c r="E1327" s="4" t="s">
        <v>103</v>
      </c>
      <c r="F1327" s="4" t="s">
        <v>104</v>
      </c>
      <c r="G1327" s="4" t="s">
        <v>105</v>
      </c>
      <c r="H1327" s="4" t="s">
        <v>26</v>
      </c>
      <c r="I1327" s="5">
        <v>155000000</v>
      </c>
      <c r="J1327" s="5">
        <v>39200</v>
      </c>
      <c r="K1327" s="5">
        <v>3920</v>
      </c>
      <c r="L1327" s="4" t="s">
        <v>26</v>
      </c>
      <c r="M1327" s="4" t="s">
        <v>26</v>
      </c>
      <c r="N1327" s="3">
        <v>45884</v>
      </c>
      <c r="O1327" s="4" t="s">
        <v>584</v>
      </c>
      <c r="P1327" s="2">
        <v>2000</v>
      </c>
      <c r="Q1327" s="2">
        <v>7325</v>
      </c>
      <c r="R1327" s="4" t="s">
        <v>749</v>
      </c>
      <c r="S1327" s="5">
        <v>150234500</v>
      </c>
    </row>
    <row r="1328" spans="1:19" x14ac:dyDescent="0.25">
      <c r="A1328" s="4" t="s">
        <v>61</v>
      </c>
      <c r="B1328" s="4" t="s">
        <v>59</v>
      </c>
      <c r="C1328" s="4" t="s">
        <v>62</v>
      </c>
      <c r="D1328" s="4" t="s">
        <v>63</v>
      </c>
      <c r="E1328" s="4" t="s">
        <v>238</v>
      </c>
      <c r="F1328" s="4" t="s">
        <v>239</v>
      </c>
      <c r="G1328" s="4" t="s">
        <v>190</v>
      </c>
      <c r="H1328" s="4" t="s">
        <v>26</v>
      </c>
      <c r="I1328" s="5">
        <v>90000000</v>
      </c>
      <c r="J1328" s="5">
        <v>54000</v>
      </c>
      <c r="K1328" s="5">
        <v>5400</v>
      </c>
      <c r="L1328" s="4" t="s">
        <v>240</v>
      </c>
      <c r="M1328" s="4" t="s">
        <v>241</v>
      </c>
      <c r="N1328" s="3">
        <v>45888</v>
      </c>
      <c r="O1328" s="4" t="s">
        <v>459</v>
      </c>
      <c r="P1328" s="2">
        <v>1000</v>
      </c>
      <c r="Q1328" s="2">
        <v>7337</v>
      </c>
      <c r="R1328" s="4" t="s">
        <v>747</v>
      </c>
      <c r="S1328" s="5">
        <v>88561500</v>
      </c>
    </row>
    <row r="1329" spans="1:19" x14ac:dyDescent="0.25">
      <c r="A1329" s="4" t="s">
        <v>61</v>
      </c>
      <c r="B1329" s="4" t="s">
        <v>59</v>
      </c>
      <c r="C1329" s="4" t="s">
        <v>62</v>
      </c>
      <c r="D1329" s="4" t="s">
        <v>63</v>
      </c>
      <c r="E1329" s="4" t="s">
        <v>122</v>
      </c>
      <c r="F1329" s="4" t="s">
        <v>123</v>
      </c>
      <c r="G1329" s="4" t="s">
        <v>124</v>
      </c>
      <c r="H1329" s="4" t="s">
        <v>26</v>
      </c>
      <c r="I1329" s="5">
        <v>65000000</v>
      </c>
      <c r="J1329" s="5">
        <v>960000</v>
      </c>
      <c r="K1329" s="5">
        <v>96000</v>
      </c>
      <c r="L1329" s="4" t="s">
        <v>655</v>
      </c>
      <c r="M1329" s="4" t="s">
        <v>656</v>
      </c>
      <c r="N1329" s="3">
        <v>45899</v>
      </c>
      <c r="O1329" s="4" t="s">
        <v>657</v>
      </c>
      <c r="P1329" s="2">
        <v>1000</v>
      </c>
      <c r="Q1329" s="2">
        <v>7348</v>
      </c>
      <c r="R1329" s="4" t="s">
        <v>746</v>
      </c>
      <c r="S1329" s="5">
        <v>54042090</v>
      </c>
    </row>
    <row r="1330" spans="1:19" x14ac:dyDescent="0.25">
      <c r="A1330" s="4" t="s">
        <v>61</v>
      </c>
      <c r="B1330" s="4" t="s">
        <v>59</v>
      </c>
      <c r="C1330" s="4" t="s">
        <v>62</v>
      </c>
      <c r="D1330" s="4" t="s">
        <v>63</v>
      </c>
      <c r="E1330" s="4" t="s">
        <v>468</v>
      </c>
      <c r="F1330" s="4" t="s">
        <v>469</v>
      </c>
      <c r="G1330" s="4" t="s">
        <v>76</v>
      </c>
      <c r="H1330" s="4" t="s">
        <v>26</v>
      </c>
      <c r="I1330" s="5">
        <v>110000000</v>
      </c>
      <c r="J1330" s="5">
        <v>162000</v>
      </c>
      <c r="K1330" s="5">
        <v>16200</v>
      </c>
      <c r="L1330" s="4" t="s">
        <v>470</v>
      </c>
      <c r="M1330" s="4" t="s">
        <v>471</v>
      </c>
      <c r="N1330" s="3">
        <v>45888</v>
      </c>
      <c r="O1330" s="4" t="s">
        <v>459</v>
      </c>
      <c r="P1330" s="2">
        <v>1000</v>
      </c>
      <c r="Q1330" s="2">
        <v>7430</v>
      </c>
      <c r="R1330" s="4" t="s">
        <v>747</v>
      </c>
      <c r="S1330" s="5">
        <v>109350000</v>
      </c>
    </row>
    <row r="1331" spans="1:19" x14ac:dyDescent="0.25">
      <c r="A1331" s="4" t="s">
        <v>61</v>
      </c>
      <c r="B1331" s="4" t="s">
        <v>59</v>
      </c>
      <c r="C1331" s="4" t="s">
        <v>62</v>
      </c>
      <c r="D1331" s="4" t="s">
        <v>63</v>
      </c>
      <c r="E1331" s="4" t="s">
        <v>468</v>
      </c>
      <c r="F1331" s="4" t="s">
        <v>469</v>
      </c>
      <c r="G1331" s="4" t="s">
        <v>76</v>
      </c>
      <c r="H1331" s="4" t="s">
        <v>26</v>
      </c>
      <c r="I1331" s="5">
        <v>110000000</v>
      </c>
      <c r="J1331" s="5">
        <v>81000</v>
      </c>
      <c r="K1331" s="5">
        <v>8100</v>
      </c>
      <c r="L1331" s="4" t="s">
        <v>470</v>
      </c>
      <c r="M1331" s="4" t="s">
        <v>471</v>
      </c>
      <c r="N1331" s="3">
        <v>45888</v>
      </c>
      <c r="O1331" s="4" t="s">
        <v>459</v>
      </c>
      <c r="P1331" s="2">
        <v>2000</v>
      </c>
      <c r="Q1331" s="2">
        <v>7430</v>
      </c>
      <c r="R1331" s="4" t="s">
        <v>747</v>
      </c>
      <c r="S1331" s="5">
        <v>109350000</v>
      </c>
    </row>
    <row r="1332" spans="1:19" x14ac:dyDescent="0.25">
      <c r="A1332" s="4" t="s">
        <v>61</v>
      </c>
      <c r="B1332" s="4" t="s">
        <v>59</v>
      </c>
      <c r="C1332" s="4" t="s">
        <v>62</v>
      </c>
      <c r="D1332" s="4" t="s">
        <v>63</v>
      </c>
      <c r="E1332" s="4" t="s">
        <v>188</v>
      </c>
      <c r="F1332" s="4" t="s">
        <v>189</v>
      </c>
      <c r="G1332" s="4" t="s">
        <v>190</v>
      </c>
      <c r="H1332" s="4" t="s">
        <v>26</v>
      </c>
      <c r="I1332" s="5">
        <v>90000000</v>
      </c>
      <c r="J1332" s="5">
        <v>592000</v>
      </c>
      <c r="K1332" s="5">
        <v>59200</v>
      </c>
      <c r="L1332" s="4" t="s">
        <v>191</v>
      </c>
      <c r="M1332" s="4" t="s">
        <v>192</v>
      </c>
      <c r="N1332" s="3">
        <v>45888</v>
      </c>
      <c r="O1332" s="4" t="s">
        <v>459</v>
      </c>
      <c r="P1332" s="2">
        <v>1000</v>
      </c>
      <c r="Q1332" s="2">
        <v>7450</v>
      </c>
      <c r="R1332" s="4" t="s">
        <v>84</v>
      </c>
      <c r="S1332" s="5">
        <v>87040690</v>
      </c>
    </row>
    <row r="1333" spans="1:19" x14ac:dyDescent="0.25">
      <c r="A1333" s="4" t="s">
        <v>61</v>
      </c>
      <c r="B1333" s="4" t="s">
        <v>59</v>
      </c>
      <c r="C1333" s="4" t="s">
        <v>62</v>
      </c>
      <c r="D1333" s="4" t="s">
        <v>63</v>
      </c>
      <c r="E1333" s="4" t="s">
        <v>139</v>
      </c>
      <c r="F1333" s="4" t="s">
        <v>140</v>
      </c>
      <c r="G1333" s="4" t="s">
        <v>141</v>
      </c>
      <c r="H1333" s="4" t="s">
        <v>26</v>
      </c>
      <c r="I1333" s="5">
        <v>65000000</v>
      </c>
      <c r="J1333" s="5">
        <v>54000</v>
      </c>
      <c r="K1333" s="5">
        <v>5400</v>
      </c>
      <c r="L1333" s="4" t="s">
        <v>462</v>
      </c>
      <c r="M1333" s="4" t="s">
        <v>463</v>
      </c>
      <c r="N1333" s="3">
        <v>45888</v>
      </c>
      <c r="O1333" s="4" t="s">
        <v>459</v>
      </c>
      <c r="P1333" s="2">
        <v>1000</v>
      </c>
      <c r="Q1333" s="2">
        <v>7460</v>
      </c>
      <c r="R1333" s="4" t="s">
        <v>26</v>
      </c>
      <c r="S1333" s="5">
        <v>64247200</v>
      </c>
    </row>
    <row r="1334" spans="1:19" x14ac:dyDescent="0.25">
      <c r="A1334" s="4" t="s">
        <v>61</v>
      </c>
      <c r="B1334" s="4" t="s">
        <v>59</v>
      </c>
      <c r="C1334" s="4" t="s">
        <v>62</v>
      </c>
      <c r="D1334" s="4" t="s">
        <v>63</v>
      </c>
      <c r="E1334" s="4" t="s">
        <v>155</v>
      </c>
      <c r="F1334" s="4" t="s">
        <v>156</v>
      </c>
      <c r="G1334" s="4" t="s">
        <v>157</v>
      </c>
      <c r="H1334" s="4" t="s">
        <v>26</v>
      </c>
      <c r="I1334" s="5">
        <v>90000000</v>
      </c>
      <c r="J1334" s="5">
        <v>100000</v>
      </c>
      <c r="K1334" s="5">
        <v>10000</v>
      </c>
      <c r="L1334" s="4" t="s">
        <v>158</v>
      </c>
      <c r="M1334" s="4" t="s">
        <v>159</v>
      </c>
      <c r="N1334" s="3">
        <v>45888</v>
      </c>
      <c r="O1334" s="4" t="s">
        <v>459</v>
      </c>
      <c r="P1334" s="2">
        <v>1000</v>
      </c>
      <c r="Q1334" s="2">
        <v>7461</v>
      </c>
      <c r="R1334" s="4" t="s">
        <v>747</v>
      </c>
      <c r="S1334" s="5">
        <v>87868500</v>
      </c>
    </row>
    <row r="1335" spans="1:19" x14ac:dyDescent="0.25">
      <c r="A1335" s="4" t="s">
        <v>61</v>
      </c>
      <c r="B1335" s="4" t="s">
        <v>59</v>
      </c>
      <c r="C1335" s="4" t="s">
        <v>62</v>
      </c>
      <c r="D1335" s="4" t="s">
        <v>63</v>
      </c>
      <c r="E1335" s="4" t="s">
        <v>101</v>
      </c>
      <c r="F1335" s="4" t="s">
        <v>102</v>
      </c>
      <c r="G1335" s="4" t="s">
        <v>71</v>
      </c>
      <c r="H1335" s="4" t="s">
        <v>26</v>
      </c>
      <c r="I1335" s="5">
        <v>155000000</v>
      </c>
      <c r="J1335" s="5">
        <v>116100</v>
      </c>
      <c r="K1335" s="5">
        <v>11610</v>
      </c>
      <c r="L1335" s="4" t="s">
        <v>26</v>
      </c>
      <c r="M1335" s="4" t="s">
        <v>26</v>
      </c>
      <c r="N1335" s="3">
        <v>45899</v>
      </c>
      <c r="O1335" s="4" t="s">
        <v>432</v>
      </c>
      <c r="P1335" s="2">
        <v>1000</v>
      </c>
      <c r="Q1335" s="2">
        <v>7486</v>
      </c>
      <c r="R1335" s="4" t="s">
        <v>755</v>
      </c>
      <c r="S1335" s="5">
        <v>154309700</v>
      </c>
    </row>
    <row r="1336" spans="1:19" x14ac:dyDescent="0.25">
      <c r="A1336" s="4" t="s">
        <v>61</v>
      </c>
      <c r="B1336" s="4" t="s">
        <v>59</v>
      </c>
      <c r="C1336" s="4" t="s">
        <v>62</v>
      </c>
      <c r="D1336" s="4" t="s">
        <v>63</v>
      </c>
      <c r="E1336" s="4" t="s">
        <v>514</v>
      </c>
      <c r="F1336" s="4" t="s">
        <v>515</v>
      </c>
      <c r="G1336" s="4" t="s">
        <v>190</v>
      </c>
      <c r="H1336" s="4" t="s">
        <v>26</v>
      </c>
      <c r="I1336" s="5">
        <v>90000000</v>
      </c>
      <c r="J1336" s="5">
        <v>30000</v>
      </c>
      <c r="K1336" s="5">
        <v>3000</v>
      </c>
      <c r="L1336" s="4" t="s">
        <v>516</v>
      </c>
      <c r="M1336" s="4" t="s">
        <v>517</v>
      </c>
      <c r="N1336" s="3">
        <v>45888</v>
      </c>
      <c r="O1336" s="4" t="s">
        <v>459</v>
      </c>
      <c r="P1336" s="2">
        <v>1000</v>
      </c>
      <c r="Q1336" s="2">
        <v>7505</v>
      </c>
      <c r="R1336" s="4" t="s">
        <v>84</v>
      </c>
      <c r="S1336" s="5">
        <v>88751000</v>
      </c>
    </row>
    <row r="1337" spans="1:19" x14ac:dyDescent="0.25">
      <c r="A1337" s="4" t="s">
        <v>61</v>
      </c>
      <c r="B1337" s="4" t="s">
        <v>59</v>
      </c>
      <c r="C1337" s="4" t="s">
        <v>62</v>
      </c>
      <c r="D1337" s="4" t="s">
        <v>63</v>
      </c>
      <c r="E1337" s="4" t="s">
        <v>216</v>
      </c>
      <c r="F1337" s="4" t="s">
        <v>217</v>
      </c>
      <c r="G1337" s="4" t="s">
        <v>97</v>
      </c>
      <c r="H1337" s="4" t="s">
        <v>26</v>
      </c>
      <c r="I1337" s="5">
        <v>155000000</v>
      </c>
      <c r="J1337" s="5">
        <v>69300</v>
      </c>
      <c r="K1337" s="5">
        <v>6930</v>
      </c>
      <c r="L1337" s="4" t="s">
        <v>26</v>
      </c>
      <c r="M1337" s="4" t="s">
        <v>26</v>
      </c>
      <c r="N1337" s="3">
        <v>45884</v>
      </c>
      <c r="O1337" s="4" t="s">
        <v>154</v>
      </c>
      <c r="P1337" s="2">
        <v>1000</v>
      </c>
      <c r="Q1337" s="2">
        <v>7525</v>
      </c>
      <c r="R1337" s="4" t="s">
        <v>755</v>
      </c>
      <c r="S1337" s="5">
        <v>152389300</v>
      </c>
    </row>
    <row r="1338" spans="1:19" x14ac:dyDescent="0.25">
      <c r="A1338" s="4" t="s">
        <v>61</v>
      </c>
      <c r="B1338" s="4" t="s">
        <v>59</v>
      </c>
      <c r="C1338" s="4" t="s">
        <v>62</v>
      </c>
      <c r="D1338" s="4" t="s">
        <v>63</v>
      </c>
      <c r="E1338" s="4" t="s">
        <v>148</v>
      </c>
      <c r="F1338" s="4" t="s">
        <v>149</v>
      </c>
      <c r="G1338" s="4" t="s">
        <v>50</v>
      </c>
      <c r="H1338" s="4" t="s">
        <v>26</v>
      </c>
      <c r="I1338" s="5">
        <v>65000000</v>
      </c>
      <c r="J1338" s="5">
        <v>45000</v>
      </c>
      <c r="K1338" s="5">
        <v>4500</v>
      </c>
      <c r="L1338" s="4" t="s">
        <v>26</v>
      </c>
      <c r="M1338" s="4" t="s">
        <v>26</v>
      </c>
      <c r="N1338" s="3">
        <v>45888</v>
      </c>
      <c r="O1338" s="4" t="s">
        <v>459</v>
      </c>
      <c r="P1338" s="2">
        <v>1000</v>
      </c>
      <c r="Q1338" s="2">
        <v>7535</v>
      </c>
      <c r="R1338" s="4" t="s">
        <v>84</v>
      </c>
      <c r="S1338" s="5">
        <v>58699710</v>
      </c>
    </row>
    <row r="1339" spans="1:19" x14ac:dyDescent="0.25">
      <c r="A1339" s="4" t="s">
        <v>61</v>
      </c>
      <c r="B1339" s="4" t="s">
        <v>59</v>
      </c>
      <c r="C1339" s="4" t="s">
        <v>62</v>
      </c>
      <c r="D1339" s="4" t="s">
        <v>63</v>
      </c>
      <c r="E1339" s="4" t="s">
        <v>148</v>
      </c>
      <c r="F1339" s="4" t="s">
        <v>149</v>
      </c>
      <c r="G1339" s="4" t="s">
        <v>50</v>
      </c>
      <c r="H1339" s="4" t="s">
        <v>26</v>
      </c>
      <c r="I1339" s="5">
        <v>65000000</v>
      </c>
      <c r="J1339" s="5">
        <v>30000</v>
      </c>
      <c r="K1339" s="5">
        <v>3000</v>
      </c>
      <c r="L1339" s="4" t="s">
        <v>26</v>
      </c>
      <c r="M1339" s="4" t="s">
        <v>26</v>
      </c>
      <c r="N1339" s="3">
        <v>45888</v>
      </c>
      <c r="O1339" s="4" t="s">
        <v>459</v>
      </c>
      <c r="P1339" s="2">
        <v>2000</v>
      </c>
      <c r="Q1339" s="2">
        <v>7535</v>
      </c>
      <c r="R1339" s="4" t="s">
        <v>84</v>
      </c>
      <c r="S1339" s="5">
        <v>58699710</v>
      </c>
    </row>
    <row r="1340" spans="1:19" x14ac:dyDescent="0.25">
      <c r="A1340" s="4" t="s">
        <v>61</v>
      </c>
      <c r="B1340" s="4" t="s">
        <v>59</v>
      </c>
      <c r="C1340" s="4" t="s">
        <v>62</v>
      </c>
      <c r="D1340" s="4" t="s">
        <v>63</v>
      </c>
      <c r="E1340" s="4" t="s">
        <v>412</v>
      </c>
      <c r="F1340" s="4" t="s">
        <v>413</v>
      </c>
      <c r="G1340" s="4" t="s">
        <v>157</v>
      </c>
      <c r="H1340" s="4" t="s">
        <v>26</v>
      </c>
      <c r="I1340" s="5">
        <v>90000000</v>
      </c>
      <c r="J1340" s="5">
        <v>30000</v>
      </c>
      <c r="K1340" s="5">
        <v>3000</v>
      </c>
      <c r="L1340" s="4" t="s">
        <v>414</v>
      </c>
      <c r="M1340" s="4" t="s">
        <v>415</v>
      </c>
      <c r="N1340" s="3">
        <v>45888</v>
      </c>
      <c r="O1340" s="4" t="s">
        <v>459</v>
      </c>
      <c r="P1340" s="2">
        <v>1000</v>
      </c>
      <c r="Q1340" s="2">
        <v>7545</v>
      </c>
      <c r="R1340" s="4" t="s">
        <v>84</v>
      </c>
      <c r="S1340" s="5">
        <v>87613200</v>
      </c>
    </row>
    <row r="1341" spans="1:19" x14ac:dyDescent="0.25">
      <c r="A1341" s="4" t="s">
        <v>61</v>
      </c>
      <c r="B1341" s="4" t="s">
        <v>59</v>
      </c>
      <c r="C1341" s="4" t="s">
        <v>62</v>
      </c>
      <c r="D1341" s="4" t="s">
        <v>63</v>
      </c>
      <c r="E1341" s="4" t="s">
        <v>92</v>
      </c>
      <c r="F1341" s="4" t="s">
        <v>93</v>
      </c>
      <c r="G1341" s="4" t="s">
        <v>94</v>
      </c>
      <c r="H1341" s="4" t="s">
        <v>26</v>
      </c>
      <c r="I1341" s="5">
        <v>155000000</v>
      </c>
      <c r="J1341" s="5">
        <v>31200</v>
      </c>
      <c r="K1341" s="5">
        <v>3120</v>
      </c>
      <c r="L1341" s="4" t="s">
        <v>26</v>
      </c>
      <c r="M1341" s="4" t="s">
        <v>26</v>
      </c>
      <c r="N1341" s="3">
        <v>45888</v>
      </c>
      <c r="O1341" s="4" t="s">
        <v>51</v>
      </c>
      <c r="P1341" s="2">
        <v>1000</v>
      </c>
      <c r="Q1341" s="2">
        <v>7548</v>
      </c>
      <c r="R1341" s="4" t="s">
        <v>749</v>
      </c>
      <c r="S1341" s="5">
        <v>145558700</v>
      </c>
    </row>
    <row r="1342" spans="1:19" x14ac:dyDescent="0.25">
      <c r="A1342" s="4" t="s">
        <v>61</v>
      </c>
      <c r="B1342" s="4" t="s">
        <v>59</v>
      </c>
      <c r="C1342" s="4" t="s">
        <v>62</v>
      </c>
      <c r="D1342" s="4" t="s">
        <v>63</v>
      </c>
      <c r="E1342" s="4" t="s">
        <v>92</v>
      </c>
      <c r="F1342" s="4" t="s">
        <v>93</v>
      </c>
      <c r="G1342" s="4" t="s">
        <v>94</v>
      </c>
      <c r="H1342" s="4" t="s">
        <v>26</v>
      </c>
      <c r="I1342" s="5">
        <v>155000000</v>
      </c>
      <c r="J1342" s="5">
        <v>28000</v>
      </c>
      <c r="K1342" s="5">
        <v>2800</v>
      </c>
      <c r="L1342" s="4" t="s">
        <v>26</v>
      </c>
      <c r="M1342" s="4" t="s">
        <v>26</v>
      </c>
      <c r="N1342" s="3">
        <v>45888</v>
      </c>
      <c r="O1342" s="4" t="s">
        <v>51</v>
      </c>
      <c r="P1342" s="2">
        <v>2000</v>
      </c>
      <c r="Q1342" s="2">
        <v>7548</v>
      </c>
      <c r="R1342" s="4" t="s">
        <v>749</v>
      </c>
      <c r="S1342" s="5">
        <v>145558700</v>
      </c>
    </row>
    <row r="1343" spans="1:19" x14ac:dyDescent="0.25">
      <c r="A1343" s="4" t="s">
        <v>61</v>
      </c>
      <c r="B1343" s="4" t="s">
        <v>59</v>
      </c>
      <c r="C1343" s="4" t="s">
        <v>62</v>
      </c>
      <c r="D1343" s="4" t="s">
        <v>63</v>
      </c>
      <c r="E1343" s="4" t="s">
        <v>412</v>
      </c>
      <c r="F1343" s="4" t="s">
        <v>413</v>
      </c>
      <c r="G1343" s="4" t="s">
        <v>157</v>
      </c>
      <c r="H1343" s="4" t="s">
        <v>26</v>
      </c>
      <c r="I1343" s="5">
        <v>90000000</v>
      </c>
      <c r="J1343" s="5">
        <v>655200</v>
      </c>
      <c r="K1343" s="5">
        <v>65520</v>
      </c>
      <c r="L1343" s="4" t="s">
        <v>717</v>
      </c>
      <c r="M1343" s="4" t="s">
        <v>718</v>
      </c>
      <c r="N1343" s="3">
        <v>45892</v>
      </c>
      <c r="O1343" s="4" t="s">
        <v>716</v>
      </c>
      <c r="P1343" s="2">
        <v>1000</v>
      </c>
      <c r="Q1343" s="2">
        <v>7552</v>
      </c>
      <c r="R1343" s="4" t="s">
        <v>771</v>
      </c>
      <c r="S1343" s="5">
        <v>87613200</v>
      </c>
    </row>
    <row r="1344" spans="1:19" x14ac:dyDescent="0.25">
      <c r="A1344" s="4" t="s">
        <v>61</v>
      </c>
      <c r="B1344" s="4" t="s">
        <v>59</v>
      </c>
      <c r="C1344" s="4" t="s">
        <v>62</v>
      </c>
      <c r="D1344" s="4" t="s">
        <v>63</v>
      </c>
      <c r="E1344" s="4" t="s">
        <v>412</v>
      </c>
      <c r="F1344" s="4" t="s">
        <v>413</v>
      </c>
      <c r="G1344" s="4" t="s">
        <v>157</v>
      </c>
      <c r="H1344" s="4" t="s">
        <v>26</v>
      </c>
      <c r="I1344" s="5">
        <v>90000000</v>
      </c>
      <c r="J1344" s="5">
        <v>400000</v>
      </c>
      <c r="K1344" s="5">
        <v>40000</v>
      </c>
      <c r="L1344" s="4" t="s">
        <v>717</v>
      </c>
      <c r="M1344" s="4" t="s">
        <v>718</v>
      </c>
      <c r="N1344" s="3">
        <v>45892</v>
      </c>
      <c r="O1344" s="4" t="s">
        <v>716</v>
      </c>
      <c r="P1344" s="2">
        <v>2000</v>
      </c>
      <c r="Q1344" s="2">
        <v>7552</v>
      </c>
      <c r="R1344" s="4" t="s">
        <v>775</v>
      </c>
      <c r="S1344" s="5">
        <v>87613200</v>
      </c>
    </row>
    <row r="1345" spans="1:19" x14ac:dyDescent="0.25">
      <c r="A1345" s="4" t="s">
        <v>61</v>
      </c>
      <c r="B1345" s="4" t="s">
        <v>59</v>
      </c>
      <c r="C1345" s="4" t="s">
        <v>62</v>
      </c>
      <c r="D1345" s="4" t="s">
        <v>63</v>
      </c>
      <c r="E1345" s="4" t="s">
        <v>127</v>
      </c>
      <c r="F1345" s="4" t="s">
        <v>128</v>
      </c>
      <c r="G1345" s="4" t="s">
        <v>50</v>
      </c>
      <c r="H1345" s="4" t="s">
        <v>26</v>
      </c>
      <c r="I1345" s="5">
        <v>65000000</v>
      </c>
      <c r="J1345" s="5">
        <v>58500</v>
      </c>
      <c r="K1345" s="5">
        <v>5850</v>
      </c>
      <c r="L1345" s="4" t="s">
        <v>129</v>
      </c>
      <c r="M1345" s="4" t="s">
        <v>130</v>
      </c>
      <c r="N1345" s="3">
        <v>45888</v>
      </c>
      <c r="O1345" s="4" t="s">
        <v>459</v>
      </c>
      <c r="P1345" s="2">
        <v>1000</v>
      </c>
      <c r="Q1345" s="2">
        <v>7561</v>
      </c>
      <c r="R1345" s="4" t="s">
        <v>747</v>
      </c>
      <c r="S1345" s="5">
        <v>60417600</v>
      </c>
    </row>
    <row r="1346" spans="1:19" x14ac:dyDescent="0.25">
      <c r="A1346" s="4" t="s">
        <v>61</v>
      </c>
      <c r="B1346" s="4" t="s">
        <v>59</v>
      </c>
      <c r="C1346" s="4" t="s">
        <v>62</v>
      </c>
      <c r="D1346" s="4" t="s">
        <v>63</v>
      </c>
      <c r="E1346" s="4" t="s">
        <v>127</v>
      </c>
      <c r="F1346" s="4" t="s">
        <v>128</v>
      </c>
      <c r="G1346" s="4" t="s">
        <v>50</v>
      </c>
      <c r="H1346" s="4" t="s">
        <v>26</v>
      </c>
      <c r="I1346" s="5">
        <v>65000000</v>
      </c>
      <c r="J1346" s="5">
        <v>54000</v>
      </c>
      <c r="K1346" s="5">
        <v>5400</v>
      </c>
      <c r="L1346" s="4" t="s">
        <v>129</v>
      </c>
      <c r="M1346" s="4" t="s">
        <v>130</v>
      </c>
      <c r="N1346" s="3">
        <v>45888</v>
      </c>
      <c r="O1346" s="4" t="s">
        <v>459</v>
      </c>
      <c r="P1346" s="2">
        <v>2000</v>
      </c>
      <c r="Q1346" s="2">
        <v>7561</v>
      </c>
      <c r="R1346" s="4" t="s">
        <v>747</v>
      </c>
      <c r="S1346" s="5">
        <v>60417600</v>
      </c>
    </row>
    <row r="1347" spans="1:19" x14ac:dyDescent="0.25">
      <c r="A1347" s="4" t="s">
        <v>61</v>
      </c>
      <c r="B1347" s="4" t="s">
        <v>59</v>
      </c>
      <c r="C1347" s="4" t="s">
        <v>62</v>
      </c>
      <c r="D1347" s="4" t="s">
        <v>63</v>
      </c>
      <c r="E1347" s="4" t="s">
        <v>379</v>
      </c>
      <c r="F1347" s="4" t="s">
        <v>380</v>
      </c>
      <c r="G1347" s="4" t="s">
        <v>381</v>
      </c>
      <c r="H1347" s="4" t="s">
        <v>26</v>
      </c>
      <c r="I1347" s="5">
        <v>90000000</v>
      </c>
      <c r="J1347" s="5">
        <v>70400</v>
      </c>
      <c r="K1347" s="5">
        <v>7040</v>
      </c>
      <c r="L1347" s="4" t="s">
        <v>26</v>
      </c>
      <c r="M1347" s="4" t="s">
        <v>26</v>
      </c>
      <c r="N1347" s="3">
        <v>45890</v>
      </c>
      <c r="O1347" s="4" t="s">
        <v>416</v>
      </c>
      <c r="P1347" s="2">
        <v>1000</v>
      </c>
      <c r="Q1347" s="2">
        <v>7614</v>
      </c>
      <c r="R1347" s="4" t="s">
        <v>755</v>
      </c>
      <c r="S1347" s="5">
        <v>89914200</v>
      </c>
    </row>
    <row r="1348" spans="1:19" x14ac:dyDescent="0.25">
      <c r="A1348" s="4" t="s">
        <v>61</v>
      </c>
      <c r="B1348" s="4" t="s">
        <v>59</v>
      </c>
      <c r="C1348" s="4" t="s">
        <v>62</v>
      </c>
      <c r="D1348" s="4" t="s">
        <v>63</v>
      </c>
      <c r="E1348" s="4" t="s">
        <v>265</v>
      </c>
      <c r="F1348" s="4" t="s">
        <v>266</v>
      </c>
      <c r="G1348" s="4" t="s">
        <v>71</v>
      </c>
      <c r="H1348" s="4" t="s">
        <v>26</v>
      </c>
      <c r="I1348" s="5">
        <v>155000000</v>
      </c>
      <c r="J1348" s="5">
        <v>124200</v>
      </c>
      <c r="K1348" s="5">
        <v>12420</v>
      </c>
      <c r="L1348" s="4" t="s">
        <v>267</v>
      </c>
      <c r="M1348" s="4" t="s">
        <v>268</v>
      </c>
      <c r="N1348" s="3">
        <v>45900</v>
      </c>
      <c r="O1348" s="4" t="s">
        <v>532</v>
      </c>
      <c r="P1348" s="2">
        <v>1000</v>
      </c>
      <c r="Q1348" s="2">
        <v>7632</v>
      </c>
      <c r="R1348" s="4" t="s">
        <v>749</v>
      </c>
      <c r="S1348" s="5">
        <v>151606650</v>
      </c>
    </row>
    <row r="1349" spans="1:19" x14ac:dyDescent="0.25">
      <c r="A1349" s="4" t="s">
        <v>61</v>
      </c>
      <c r="B1349" s="4" t="s">
        <v>59</v>
      </c>
      <c r="C1349" s="4" t="s">
        <v>62</v>
      </c>
      <c r="D1349" s="4" t="s">
        <v>63</v>
      </c>
      <c r="E1349" s="4" t="s">
        <v>265</v>
      </c>
      <c r="F1349" s="4" t="s">
        <v>266</v>
      </c>
      <c r="G1349" s="4" t="s">
        <v>71</v>
      </c>
      <c r="H1349" s="4" t="s">
        <v>26</v>
      </c>
      <c r="I1349" s="5">
        <v>155000000</v>
      </c>
      <c r="J1349" s="5">
        <v>178200</v>
      </c>
      <c r="K1349" s="5">
        <v>17820</v>
      </c>
      <c r="L1349" s="4" t="s">
        <v>267</v>
      </c>
      <c r="M1349" s="4" t="s">
        <v>268</v>
      </c>
      <c r="N1349" s="3">
        <v>45900</v>
      </c>
      <c r="O1349" s="4" t="s">
        <v>532</v>
      </c>
      <c r="P1349" s="2">
        <v>2000</v>
      </c>
      <c r="Q1349" s="2">
        <v>7632</v>
      </c>
      <c r="R1349" s="4" t="s">
        <v>749</v>
      </c>
      <c r="S1349" s="5">
        <v>151606650</v>
      </c>
    </row>
    <row r="1350" spans="1:19" x14ac:dyDescent="0.25">
      <c r="A1350" s="4" t="s">
        <v>61</v>
      </c>
      <c r="B1350" s="4" t="s">
        <v>59</v>
      </c>
      <c r="C1350" s="4" t="s">
        <v>62</v>
      </c>
      <c r="D1350" s="4" t="s">
        <v>63</v>
      </c>
      <c r="E1350" s="4" t="s">
        <v>430</v>
      </c>
      <c r="F1350" s="4" t="s">
        <v>431</v>
      </c>
      <c r="G1350" s="4" t="s">
        <v>100</v>
      </c>
      <c r="H1350" s="4" t="s">
        <v>26</v>
      </c>
      <c r="I1350" s="5">
        <v>65000000</v>
      </c>
      <c r="J1350" s="5">
        <v>50000</v>
      </c>
      <c r="K1350" s="5">
        <v>5000</v>
      </c>
      <c r="L1350" s="4" t="s">
        <v>26</v>
      </c>
      <c r="M1350" s="4" t="s">
        <v>26</v>
      </c>
      <c r="N1350" s="3">
        <v>45899</v>
      </c>
      <c r="O1350" s="4" t="s">
        <v>432</v>
      </c>
      <c r="P1350" s="2">
        <v>1000</v>
      </c>
      <c r="Q1350" s="2">
        <v>7634</v>
      </c>
      <c r="R1350" s="4" t="s">
        <v>747</v>
      </c>
      <c r="S1350" s="5">
        <v>64797900</v>
      </c>
    </row>
    <row r="1351" spans="1:19" x14ac:dyDescent="0.25">
      <c r="A1351" s="4" t="s">
        <v>61</v>
      </c>
      <c r="B1351" s="4" t="s">
        <v>59</v>
      </c>
      <c r="C1351" s="4" t="s">
        <v>62</v>
      </c>
      <c r="D1351" s="4" t="s">
        <v>63</v>
      </c>
      <c r="E1351" s="4" t="s">
        <v>265</v>
      </c>
      <c r="F1351" s="4" t="s">
        <v>266</v>
      </c>
      <c r="G1351" s="4" t="s">
        <v>71</v>
      </c>
      <c r="H1351" s="4" t="s">
        <v>26</v>
      </c>
      <c r="I1351" s="5">
        <v>155000000</v>
      </c>
      <c r="J1351" s="5">
        <v>240000</v>
      </c>
      <c r="K1351" s="5">
        <v>24000</v>
      </c>
      <c r="L1351" s="4" t="s">
        <v>267</v>
      </c>
      <c r="M1351" s="4" t="s">
        <v>268</v>
      </c>
      <c r="N1351" s="3">
        <v>45900</v>
      </c>
      <c r="O1351" s="4" t="s">
        <v>532</v>
      </c>
      <c r="P1351" s="2">
        <v>1000</v>
      </c>
      <c r="Q1351" s="2">
        <v>7636</v>
      </c>
      <c r="R1351" s="4" t="s">
        <v>26</v>
      </c>
      <c r="S1351" s="5">
        <v>151606650</v>
      </c>
    </row>
    <row r="1352" spans="1:19" x14ac:dyDescent="0.25">
      <c r="A1352" s="4" t="s">
        <v>61</v>
      </c>
      <c r="B1352" s="4" t="s">
        <v>59</v>
      </c>
      <c r="C1352" s="4" t="s">
        <v>62</v>
      </c>
      <c r="D1352" s="4" t="s">
        <v>63</v>
      </c>
      <c r="E1352" s="4" t="s">
        <v>561</v>
      </c>
      <c r="F1352" s="4" t="s">
        <v>562</v>
      </c>
      <c r="G1352" s="4" t="s">
        <v>66</v>
      </c>
      <c r="H1352" s="4" t="s">
        <v>26</v>
      </c>
      <c r="I1352" s="5">
        <v>90000000</v>
      </c>
      <c r="J1352" s="5">
        <v>25000</v>
      </c>
      <c r="K1352" s="5">
        <v>2500</v>
      </c>
      <c r="L1352" s="4" t="s">
        <v>563</v>
      </c>
      <c r="M1352" s="4" t="s">
        <v>564</v>
      </c>
      <c r="N1352" s="3">
        <v>45900</v>
      </c>
      <c r="O1352" s="4" t="s">
        <v>532</v>
      </c>
      <c r="P1352" s="2">
        <v>1000</v>
      </c>
      <c r="Q1352" s="2">
        <v>7712</v>
      </c>
      <c r="R1352" s="4" t="s">
        <v>749</v>
      </c>
      <c r="S1352" s="5">
        <v>89788460</v>
      </c>
    </row>
    <row r="1353" spans="1:19" x14ac:dyDescent="0.25">
      <c r="A1353" s="4" t="s">
        <v>61</v>
      </c>
      <c r="B1353" s="4" t="s">
        <v>59</v>
      </c>
      <c r="C1353" s="4" t="s">
        <v>62</v>
      </c>
      <c r="D1353" s="4" t="s">
        <v>63</v>
      </c>
      <c r="E1353" s="4" t="s">
        <v>520</v>
      </c>
      <c r="F1353" s="4" t="s">
        <v>521</v>
      </c>
      <c r="G1353" s="4" t="s">
        <v>50</v>
      </c>
      <c r="H1353" s="4" t="s">
        <v>26</v>
      </c>
      <c r="I1353" s="5">
        <v>65000000</v>
      </c>
      <c r="J1353" s="5">
        <v>58500</v>
      </c>
      <c r="K1353" s="5">
        <v>5850</v>
      </c>
      <c r="L1353" s="4" t="s">
        <v>324</v>
      </c>
      <c r="M1353" s="4" t="s">
        <v>325</v>
      </c>
      <c r="N1353" s="3">
        <v>45889</v>
      </c>
      <c r="O1353" s="4" t="s">
        <v>459</v>
      </c>
      <c r="P1353" s="2">
        <v>1000</v>
      </c>
      <c r="Q1353" s="2">
        <v>7714</v>
      </c>
      <c r="R1353" s="4" t="s">
        <v>747</v>
      </c>
      <c r="S1353" s="5">
        <v>64941500</v>
      </c>
    </row>
    <row r="1354" spans="1:19" x14ac:dyDescent="0.25">
      <c r="A1354" s="4" t="s">
        <v>61</v>
      </c>
      <c r="B1354" s="4" t="s">
        <v>59</v>
      </c>
      <c r="C1354" s="4" t="s">
        <v>62</v>
      </c>
      <c r="D1354" s="4" t="s">
        <v>63</v>
      </c>
      <c r="E1354" s="4" t="s">
        <v>160</v>
      </c>
      <c r="F1354" s="4" t="s">
        <v>161</v>
      </c>
      <c r="G1354" s="4" t="s">
        <v>115</v>
      </c>
      <c r="H1354" s="4" t="s">
        <v>26</v>
      </c>
      <c r="I1354" s="5">
        <v>65000000</v>
      </c>
      <c r="J1354" s="5">
        <v>34000</v>
      </c>
      <c r="K1354" s="5">
        <v>3400</v>
      </c>
      <c r="L1354" s="4" t="s">
        <v>162</v>
      </c>
      <c r="M1354" s="4" t="s">
        <v>163</v>
      </c>
      <c r="N1354" s="3">
        <v>45884</v>
      </c>
      <c r="O1354" s="4" t="s">
        <v>154</v>
      </c>
      <c r="P1354" s="2">
        <v>1000</v>
      </c>
      <c r="Q1354" s="2">
        <v>7734</v>
      </c>
      <c r="R1354" s="4" t="s">
        <v>84</v>
      </c>
      <c r="S1354" s="5">
        <v>64250650</v>
      </c>
    </row>
    <row r="1355" spans="1:19" x14ac:dyDescent="0.25">
      <c r="A1355" s="4" t="s">
        <v>61</v>
      </c>
      <c r="B1355" s="4" t="s">
        <v>59</v>
      </c>
      <c r="C1355" s="4" t="s">
        <v>62</v>
      </c>
      <c r="D1355" s="4" t="s">
        <v>63</v>
      </c>
      <c r="E1355" s="4" t="s">
        <v>127</v>
      </c>
      <c r="F1355" s="4" t="s">
        <v>128</v>
      </c>
      <c r="G1355" s="4" t="s">
        <v>50</v>
      </c>
      <c r="H1355" s="4" t="s">
        <v>26</v>
      </c>
      <c r="I1355" s="5">
        <v>65000000</v>
      </c>
      <c r="J1355" s="5">
        <v>135000</v>
      </c>
      <c r="K1355" s="5">
        <v>13500</v>
      </c>
      <c r="L1355" s="4" t="s">
        <v>129</v>
      </c>
      <c r="M1355" s="4" t="s">
        <v>130</v>
      </c>
      <c r="N1355" s="3">
        <v>45900</v>
      </c>
      <c r="O1355" s="4" t="s">
        <v>532</v>
      </c>
      <c r="P1355" s="2">
        <v>1000</v>
      </c>
      <c r="Q1355" s="2">
        <v>7770</v>
      </c>
      <c r="R1355" s="4" t="s">
        <v>749</v>
      </c>
      <c r="S1355" s="5">
        <v>60417600</v>
      </c>
    </row>
    <row r="1356" spans="1:19" x14ac:dyDescent="0.25">
      <c r="A1356" s="4" t="s">
        <v>61</v>
      </c>
      <c r="B1356" s="4" t="s">
        <v>59</v>
      </c>
      <c r="C1356" s="4" t="s">
        <v>62</v>
      </c>
      <c r="D1356" s="4" t="s">
        <v>63</v>
      </c>
      <c r="E1356" s="4" t="s">
        <v>382</v>
      </c>
      <c r="F1356" s="4" t="s">
        <v>383</v>
      </c>
      <c r="G1356" s="4" t="s">
        <v>115</v>
      </c>
      <c r="H1356" s="4" t="s">
        <v>26</v>
      </c>
      <c r="I1356" s="5">
        <v>65000000</v>
      </c>
      <c r="J1356" s="5">
        <v>70550</v>
      </c>
      <c r="K1356" s="5">
        <v>7055</v>
      </c>
      <c r="L1356" s="4" t="s">
        <v>384</v>
      </c>
      <c r="M1356" s="4" t="s">
        <v>385</v>
      </c>
      <c r="N1356" s="3">
        <v>45889</v>
      </c>
      <c r="O1356" s="4" t="s">
        <v>459</v>
      </c>
      <c r="P1356" s="2">
        <v>1000</v>
      </c>
      <c r="Q1356" s="2">
        <v>7782</v>
      </c>
      <c r="R1356" s="4" t="s">
        <v>26</v>
      </c>
      <c r="S1356" s="5">
        <v>50115750</v>
      </c>
    </row>
    <row r="1357" spans="1:19" x14ac:dyDescent="0.25">
      <c r="A1357" s="4" t="s">
        <v>61</v>
      </c>
      <c r="B1357" s="4" t="s">
        <v>59</v>
      </c>
      <c r="C1357" s="4" t="s">
        <v>62</v>
      </c>
      <c r="D1357" s="4" t="s">
        <v>63</v>
      </c>
      <c r="E1357" s="4" t="s">
        <v>382</v>
      </c>
      <c r="F1357" s="4" t="s">
        <v>383</v>
      </c>
      <c r="G1357" s="4" t="s">
        <v>115</v>
      </c>
      <c r="H1357" s="4" t="s">
        <v>26</v>
      </c>
      <c r="I1357" s="5">
        <v>65000000</v>
      </c>
      <c r="J1357" s="5">
        <v>83300</v>
      </c>
      <c r="K1357" s="5">
        <v>8330</v>
      </c>
      <c r="L1357" s="4" t="s">
        <v>384</v>
      </c>
      <c r="M1357" s="4" t="s">
        <v>385</v>
      </c>
      <c r="N1357" s="3">
        <v>45889</v>
      </c>
      <c r="O1357" s="4" t="s">
        <v>459</v>
      </c>
      <c r="P1357" s="2">
        <v>2000</v>
      </c>
      <c r="Q1357" s="2">
        <v>7782</v>
      </c>
      <c r="R1357" s="4" t="s">
        <v>26</v>
      </c>
      <c r="S1357" s="5">
        <v>50115750</v>
      </c>
    </row>
    <row r="1358" spans="1:19" x14ac:dyDescent="0.25">
      <c r="A1358" s="4" t="s">
        <v>61</v>
      </c>
      <c r="B1358" s="4" t="s">
        <v>59</v>
      </c>
      <c r="C1358" s="4" t="s">
        <v>62</v>
      </c>
      <c r="D1358" s="4" t="s">
        <v>63</v>
      </c>
      <c r="E1358" s="4" t="s">
        <v>382</v>
      </c>
      <c r="F1358" s="4" t="s">
        <v>383</v>
      </c>
      <c r="G1358" s="4" t="s">
        <v>115</v>
      </c>
      <c r="H1358" s="4" t="s">
        <v>26</v>
      </c>
      <c r="I1358" s="5">
        <v>65000000</v>
      </c>
      <c r="J1358" s="5">
        <v>4250</v>
      </c>
      <c r="K1358" s="5">
        <v>425</v>
      </c>
      <c r="L1358" s="4" t="s">
        <v>384</v>
      </c>
      <c r="M1358" s="4" t="s">
        <v>385</v>
      </c>
      <c r="N1358" s="3">
        <v>45889</v>
      </c>
      <c r="O1358" s="4" t="s">
        <v>459</v>
      </c>
      <c r="P1358" s="2">
        <v>3000</v>
      </c>
      <c r="Q1358" s="2">
        <v>7782</v>
      </c>
      <c r="R1358" s="4" t="s">
        <v>26</v>
      </c>
      <c r="S1358" s="5">
        <v>50115750</v>
      </c>
    </row>
    <row r="1359" spans="1:19" x14ac:dyDescent="0.25">
      <c r="A1359" s="4" t="s">
        <v>61</v>
      </c>
      <c r="B1359" s="4" t="s">
        <v>59</v>
      </c>
      <c r="C1359" s="4" t="s">
        <v>62</v>
      </c>
      <c r="D1359" s="4" t="s">
        <v>63</v>
      </c>
      <c r="E1359" s="4" t="s">
        <v>382</v>
      </c>
      <c r="F1359" s="4" t="s">
        <v>383</v>
      </c>
      <c r="G1359" s="4" t="s">
        <v>115</v>
      </c>
      <c r="H1359" s="4" t="s">
        <v>26</v>
      </c>
      <c r="I1359" s="5">
        <v>65000000</v>
      </c>
      <c r="J1359" s="5">
        <v>114750</v>
      </c>
      <c r="K1359" s="5">
        <v>11475</v>
      </c>
      <c r="L1359" s="4" t="s">
        <v>384</v>
      </c>
      <c r="M1359" s="4" t="s">
        <v>385</v>
      </c>
      <c r="N1359" s="3">
        <v>45889</v>
      </c>
      <c r="O1359" s="4" t="s">
        <v>459</v>
      </c>
      <c r="P1359" s="2">
        <v>4000</v>
      </c>
      <c r="Q1359" s="2">
        <v>7782</v>
      </c>
      <c r="R1359" s="4" t="s">
        <v>26</v>
      </c>
      <c r="S1359" s="5">
        <v>50115750</v>
      </c>
    </row>
    <row r="1360" spans="1:19" x14ac:dyDescent="0.25">
      <c r="A1360" s="4" t="s">
        <v>61</v>
      </c>
      <c r="B1360" s="4" t="s">
        <v>59</v>
      </c>
      <c r="C1360" s="4" t="s">
        <v>62</v>
      </c>
      <c r="D1360" s="4" t="s">
        <v>63</v>
      </c>
      <c r="E1360" s="4" t="s">
        <v>549</v>
      </c>
      <c r="F1360" s="4" t="s">
        <v>550</v>
      </c>
      <c r="G1360" s="4" t="s">
        <v>81</v>
      </c>
      <c r="H1360" s="4" t="s">
        <v>26</v>
      </c>
      <c r="I1360" s="5">
        <v>65000000</v>
      </c>
      <c r="J1360" s="5">
        <v>67500</v>
      </c>
      <c r="K1360" s="5">
        <v>6750</v>
      </c>
      <c r="L1360" s="4" t="s">
        <v>26</v>
      </c>
      <c r="M1360" s="4" t="s">
        <v>26</v>
      </c>
      <c r="N1360" s="3">
        <v>45900</v>
      </c>
      <c r="O1360" s="4" t="s">
        <v>532</v>
      </c>
      <c r="P1360" s="2">
        <v>1000</v>
      </c>
      <c r="Q1360" s="2">
        <v>7824</v>
      </c>
      <c r="R1360" s="4" t="s">
        <v>749</v>
      </c>
      <c r="S1360" s="5">
        <v>63437500</v>
      </c>
    </row>
    <row r="1361" spans="1:19" x14ac:dyDescent="0.25">
      <c r="A1361" s="4" t="s">
        <v>61</v>
      </c>
      <c r="B1361" s="4" t="s">
        <v>59</v>
      </c>
      <c r="C1361" s="4" t="s">
        <v>62</v>
      </c>
      <c r="D1361" s="4" t="s">
        <v>63</v>
      </c>
      <c r="E1361" s="4" t="s">
        <v>455</v>
      </c>
      <c r="F1361" s="4" t="s">
        <v>456</v>
      </c>
      <c r="G1361" s="4" t="s">
        <v>81</v>
      </c>
      <c r="H1361" s="4" t="s">
        <v>26</v>
      </c>
      <c r="I1361" s="5">
        <v>65000000</v>
      </c>
      <c r="J1361" s="5">
        <v>125100</v>
      </c>
      <c r="K1361" s="5">
        <v>12510</v>
      </c>
      <c r="L1361" s="4" t="s">
        <v>457</v>
      </c>
      <c r="M1361" s="4" t="s">
        <v>458</v>
      </c>
      <c r="N1361" s="3">
        <v>45900</v>
      </c>
      <c r="O1361" s="4" t="s">
        <v>432</v>
      </c>
      <c r="P1361" s="2">
        <v>1000</v>
      </c>
      <c r="Q1361" s="2">
        <v>7832</v>
      </c>
      <c r="R1361" s="4" t="s">
        <v>755</v>
      </c>
      <c r="S1361" s="5">
        <v>64681400</v>
      </c>
    </row>
    <row r="1362" spans="1:19" x14ac:dyDescent="0.25">
      <c r="A1362" s="4" t="s">
        <v>61</v>
      </c>
      <c r="B1362" s="4" t="s">
        <v>59</v>
      </c>
      <c r="C1362" s="4" t="s">
        <v>62</v>
      </c>
      <c r="D1362" s="4" t="s">
        <v>63</v>
      </c>
      <c r="E1362" s="4" t="s">
        <v>455</v>
      </c>
      <c r="F1362" s="4" t="s">
        <v>456</v>
      </c>
      <c r="G1362" s="4" t="s">
        <v>81</v>
      </c>
      <c r="H1362" s="4" t="s">
        <v>26</v>
      </c>
      <c r="I1362" s="5">
        <v>65000000</v>
      </c>
      <c r="J1362" s="5">
        <v>71100</v>
      </c>
      <c r="K1362" s="5">
        <v>7110</v>
      </c>
      <c r="L1362" s="4" t="s">
        <v>457</v>
      </c>
      <c r="M1362" s="4" t="s">
        <v>458</v>
      </c>
      <c r="N1362" s="3">
        <v>45900</v>
      </c>
      <c r="O1362" s="4" t="s">
        <v>432</v>
      </c>
      <c r="P1362" s="2">
        <v>2000</v>
      </c>
      <c r="Q1362" s="2">
        <v>7832</v>
      </c>
      <c r="R1362" s="4" t="s">
        <v>755</v>
      </c>
      <c r="S1362" s="5">
        <v>64681400</v>
      </c>
    </row>
    <row r="1363" spans="1:19" x14ac:dyDescent="0.25">
      <c r="A1363" s="4" t="s">
        <v>61</v>
      </c>
      <c r="B1363" s="4" t="s">
        <v>59</v>
      </c>
      <c r="C1363" s="4" t="s">
        <v>62</v>
      </c>
      <c r="D1363" s="4" t="s">
        <v>63</v>
      </c>
      <c r="E1363" s="4" t="s">
        <v>455</v>
      </c>
      <c r="F1363" s="4" t="s">
        <v>456</v>
      </c>
      <c r="G1363" s="4" t="s">
        <v>81</v>
      </c>
      <c r="H1363" s="4" t="s">
        <v>26</v>
      </c>
      <c r="I1363" s="5">
        <v>65000000</v>
      </c>
      <c r="J1363" s="5">
        <v>67500</v>
      </c>
      <c r="K1363" s="5">
        <v>6750</v>
      </c>
      <c r="L1363" s="4" t="s">
        <v>457</v>
      </c>
      <c r="M1363" s="4" t="s">
        <v>458</v>
      </c>
      <c r="N1363" s="3">
        <v>45900</v>
      </c>
      <c r="O1363" s="4" t="s">
        <v>432</v>
      </c>
      <c r="P1363" s="2">
        <v>3000</v>
      </c>
      <c r="Q1363" s="2">
        <v>7832</v>
      </c>
      <c r="R1363" s="4" t="s">
        <v>755</v>
      </c>
      <c r="S1363" s="5">
        <v>64681400</v>
      </c>
    </row>
    <row r="1364" spans="1:19" x14ac:dyDescent="0.25">
      <c r="A1364" s="4" t="s">
        <v>61</v>
      </c>
      <c r="B1364" s="4" t="s">
        <v>59</v>
      </c>
      <c r="C1364" s="4" t="s">
        <v>62</v>
      </c>
      <c r="D1364" s="4" t="s">
        <v>63</v>
      </c>
      <c r="E1364" s="4" t="s">
        <v>455</v>
      </c>
      <c r="F1364" s="4" t="s">
        <v>456</v>
      </c>
      <c r="G1364" s="4" t="s">
        <v>81</v>
      </c>
      <c r="H1364" s="4" t="s">
        <v>26</v>
      </c>
      <c r="I1364" s="5">
        <v>65000000</v>
      </c>
      <c r="J1364" s="5">
        <v>27000</v>
      </c>
      <c r="K1364" s="5">
        <v>2700</v>
      </c>
      <c r="L1364" s="4" t="s">
        <v>457</v>
      </c>
      <c r="M1364" s="4" t="s">
        <v>458</v>
      </c>
      <c r="N1364" s="3">
        <v>45900</v>
      </c>
      <c r="O1364" s="4" t="s">
        <v>432</v>
      </c>
      <c r="P1364" s="2">
        <v>4000</v>
      </c>
      <c r="Q1364" s="2">
        <v>7832</v>
      </c>
      <c r="R1364" s="4" t="s">
        <v>755</v>
      </c>
      <c r="S1364" s="5">
        <v>64681400</v>
      </c>
    </row>
    <row r="1365" spans="1:19" x14ac:dyDescent="0.25">
      <c r="A1365" s="4" t="s">
        <v>61</v>
      </c>
      <c r="B1365" s="4" t="s">
        <v>59</v>
      </c>
      <c r="C1365" s="4" t="s">
        <v>62</v>
      </c>
      <c r="D1365" s="4" t="s">
        <v>63</v>
      </c>
      <c r="E1365" s="4" t="s">
        <v>455</v>
      </c>
      <c r="F1365" s="4" t="s">
        <v>456</v>
      </c>
      <c r="G1365" s="4" t="s">
        <v>81</v>
      </c>
      <c r="H1365" s="4" t="s">
        <v>26</v>
      </c>
      <c r="I1365" s="5">
        <v>65000000</v>
      </c>
      <c r="J1365" s="5">
        <v>22500</v>
      </c>
      <c r="K1365" s="5">
        <v>2250</v>
      </c>
      <c r="L1365" s="4" t="s">
        <v>457</v>
      </c>
      <c r="M1365" s="4" t="s">
        <v>458</v>
      </c>
      <c r="N1365" s="3">
        <v>45900</v>
      </c>
      <c r="O1365" s="4" t="s">
        <v>432</v>
      </c>
      <c r="P1365" s="2">
        <v>5000</v>
      </c>
      <c r="Q1365" s="2">
        <v>7832</v>
      </c>
      <c r="R1365" s="4" t="s">
        <v>755</v>
      </c>
      <c r="S1365" s="5">
        <v>64681400</v>
      </c>
    </row>
    <row r="1366" spans="1:19" x14ac:dyDescent="0.25">
      <c r="A1366" s="4" t="s">
        <v>61</v>
      </c>
      <c r="B1366" s="4" t="s">
        <v>59</v>
      </c>
      <c r="C1366" s="4" t="s">
        <v>62</v>
      </c>
      <c r="D1366" s="4" t="s">
        <v>63</v>
      </c>
      <c r="E1366" s="4" t="s">
        <v>455</v>
      </c>
      <c r="F1366" s="4" t="s">
        <v>456</v>
      </c>
      <c r="G1366" s="4" t="s">
        <v>81</v>
      </c>
      <c r="H1366" s="4" t="s">
        <v>26</v>
      </c>
      <c r="I1366" s="5">
        <v>65000000</v>
      </c>
      <c r="J1366" s="5">
        <v>5400</v>
      </c>
      <c r="K1366" s="5">
        <v>540</v>
      </c>
      <c r="L1366" s="4" t="s">
        <v>457</v>
      </c>
      <c r="M1366" s="4" t="s">
        <v>458</v>
      </c>
      <c r="N1366" s="3">
        <v>45900</v>
      </c>
      <c r="O1366" s="4" t="s">
        <v>432</v>
      </c>
      <c r="P1366" s="2">
        <v>6000</v>
      </c>
      <c r="Q1366" s="2">
        <v>7832</v>
      </c>
      <c r="R1366" s="4" t="s">
        <v>755</v>
      </c>
      <c r="S1366" s="5">
        <v>64681400</v>
      </c>
    </row>
    <row r="1367" spans="1:19" x14ac:dyDescent="0.25">
      <c r="A1367" s="4" t="s">
        <v>61</v>
      </c>
      <c r="B1367" s="4" t="s">
        <v>59</v>
      </c>
      <c r="C1367" s="4" t="s">
        <v>62</v>
      </c>
      <c r="D1367" s="4" t="s">
        <v>63</v>
      </c>
      <c r="E1367" s="4" t="s">
        <v>79</v>
      </c>
      <c r="F1367" s="4" t="s">
        <v>80</v>
      </c>
      <c r="G1367" s="4" t="s">
        <v>81</v>
      </c>
      <c r="H1367" s="4" t="s">
        <v>26</v>
      </c>
      <c r="I1367" s="5">
        <v>65000000</v>
      </c>
      <c r="J1367" s="5">
        <v>40500</v>
      </c>
      <c r="K1367" s="5">
        <v>4050</v>
      </c>
      <c r="L1367" s="4" t="s">
        <v>26</v>
      </c>
      <c r="M1367" s="4" t="s">
        <v>26</v>
      </c>
      <c r="N1367" s="3">
        <v>45889</v>
      </c>
      <c r="O1367" s="4" t="s">
        <v>459</v>
      </c>
      <c r="P1367" s="2">
        <v>1000</v>
      </c>
      <c r="Q1367" s="2">
        <v>7854</v>
      </c>
      <c r="R1367" s="4" t="s">
        <v>747</v>
      </c>
      <c r="S1367" s="5">
        <v>61690700</v>
      </c>
    </row>
    <row r="1368" spans="1:19" x14ac:dyDescent="0.25">
      <c r="A1368" s="4" t="s">
        <v>61</v>
      </c>
      <c r="B1368" s="4" t="s">
        <v>59</v>
      </c>
      <c r="C1368" s="4" t="s">
        <v>62</v>
      </c>
      <c r="D1368" s="4" t="s">
        <v>63</v>
      </c>
      <c r="E1368" s="4" t="s">
        <v>79</v>
      </c>
      <c r="F1368" s="4" t="s">
        <v>80</v>
      </c>
      <c r="G1368" s="4" t="s">
        <v>81</v>
      </c>
      <c r="H1368" s="4" t="s">
        <v>26</v>
      </c>
      <c r="I1368" s="5">
        <v>65000000</v>
      </c>
      <c r="J1368" s="5">
        <v>247800</v>
      </c>
      <c r="K1368" s="5">
        <v>24780</v>
      </c>
      <c r="L1368" s="4" t="s">
        <v>26</v>
      </c>
      <c r="M1368" s="4" t="s">
        <v>26</v>
      </c>
      <c r="N1368" s="3">
        <v>45889</v>
      </c>
      <c r="O1368" s="4" t="s">
        <v>459</v>
      </c>
      <c r="P1368" s="2">
        <v>1000</v>
      </c>
      <c r="Q1368" s="2">
        <v>7856</v>
      </c>
      <c r="R1368" s="4" t="s">
        <v>749</v>
      </c>
      <c r="S1368" s="5">
        <v>61690700</v>
      </c>
    </row>
    <row r="1369" spans="1:19" x14ac:dyDescent="0.25">
      <c r="A1369" s="4" t="s">
        <v>61</v>
      </c>
      <c r="B1369" s="4" t="s">
        <v>59</v>
      </c>
      <c r="C1369" s="4" t="s">
        <v>62</v>
      </c>
      <c r="D1369" s="4" t="s">
        <v>63</v>
      </c>
      <c r="E1369" s="4" t="s">
        <v>293</v>
      </c>
      <c r="F1369" s="4" t="s">
        <v>294</v>
      </c>
      <c r="G1369" s="4" t="s">
        <v>100</v>
      </c>
      <c r="H1369" s="4" t="s">
        <v>26</v>
      </c>
      <c r="I1369" s="5">
        <v>65000000</v>
      </c>
      <c r="J1369" s="5">
        <v>90000</v>
      </c>
      <c r="K1369" s="5">
        <v>9000</v>
      </c>
      <c r="L1369" s="4" t="s">
        <v>26</v>
      </c>
      <c r="M1369" s="4" t="s">
        <v>26</v>
      </c>
      <c r="N1369" s="3">
        <v>45889</v>
      </c>
      <c r="O1369" s="4" t="s">
        <v>459</v>
      </c>
      <c r="P1369" s="2">
        <v>1000</v>
      </c>
      <c r="Q1369" s="2">
        <v>7871</v>
      </c>
      <c r="R1369" s="4" t="s">
        <v>84</v>
      </c>
      <c r="S1369" s="5">
        <v>63872000</v>
      </c>
    </row>
    <row r="1370" spans="1:19" x14ac:dyDescent="0.25">
      <c r="A1370" s="4" t="s">
        <v>61</v>
      </c>
      <c r="B1370" s="4" t="s">
        <v>59</v>
      </c>
      <c r="C1370" s="4" t="s">
        <v>62</v>
      </c>
      <c r="D1370" s="4" t="s">
        <v>63</v>
      </c>
      <c r="E1370" s="4" t="s">
        <v>293</v>
      </c>
      <c r="F1370" s="4" t="s">
        <v>294</v>
      </c>
      <c r="G1370" s="4" t="s">
        <v>100</v>
      </c>
      <c r="H1370" s="4" t="s">
        <v>26</v>
      </c>
      <c r="I1370" s="5">
        <v>65000000</v>
      </c>
      <c r="J1370" s="5">
        <v>100000</v>
      </c>
      <c r="K1370" s="5">
        <v>10000</v>
      </c>
      <c r="L1370" s="4" t="s">
        <v>26</v>
      </c>
      <c r="M1370" s="4" t="s">
        <v>26</v>
      </c>
      <c r="N1370" s="3">
        <v>45889</v>
      </c>
      <c r="O1370" s="4" t="s">
        <v>459</v>
      </c>
      <c r="P1370" s="2">
        <v>2000</v>
      </c>
      <c r="Q1370" s="2">
        <v>7871</v>
      </c>
      <c r="R1370" s="4" t="s">
        <v>84</v>
      </c>
      <c r="S1370" s="5">
        <v>63872000</v>
      </c>
    </row>
    <row r="1371" spans="1:19" x14ac:dyDescent="0.25">
      <c r="A1371" s="4" t="s">
        <v>61</v>
      </c>
      <c r="B1371" s="4" t="s">
        <v>59</v>
      </c>
      <c r="C1371" s="4" t="s">
        <v>62</v>
      </c>
      <c r="D1371" s="4" t="s">
        <v>63</v>
      </c>
      <c r="E1371" s="4" t="s">
        <v>293</v>
      </c>
      <c r="F1371" s="4" t="s">
        <v>294</v>
      </c>
      <c r="G1371" s="4" t="s">
        <v>100</v>
      </c>
      <c r="H1371" s="4" t="s">
        <v>26</v>
      </c>
      <c r="I1371" s="5">
        <v>65000000</v>
      </c>
      <c r="J1371" s="5">
        <v>61600</v>
      </c>
      <c r="K1371" s="5">
        <v>6160</v>
      </c>
      <c r="L1371" s="4" t="s">
        <v>186</v>
      </c>
      <c r="M1371" s="4" t="s">
        <v>187</v>
      </c>
      <c r="N1371" s="3">
        <v>45889</v>
      </c>
      <c r="O1371" s="4" t="s">
        <v>459</v>
      </c>
      <c r="P1371" s="2">
        <v>1000</v>
      </c>
      <c r="Q1371" s="2">
        <v>7881</v>
      </c>
      <c r="R1371" s="4" t="s">
        <v>755</v>
      </c>
      <c r="S1371" s="5">
        <v>63872000</v>
      </c>
    </row>
    <row r="1372" spans="1:19" x14ac:dyDescent="0.25">
      <c r="A1372" s="4" t="s">
        <v>61</v>
      </c>
      <c r="B1372" s="4" t="s">
        <v>59</v>
      </c>
      <c r="C1372" s="4" t="s">
        <v>62</v>
      </c>
      <c r="D1372" s="4" t="s">
        <v>63</v>
      </c>
      <c r="E1372" s="4" t="s">
        <v>293</v>
      </c>
      <c r="F1372" s="4" t="s">
        <v>294</v>
      </c>
      <c r="G1372" s="4" t="s">
        <v>100</v>
      </c>
      <c r="H1372" s="4" t="s">
        <v>26</v>
      </c>
      <c r="I1372" s="5">
        <v>65000000</v>
      </c>
      <c r="J1372" s="5">
        <v>58100</v>
      </c>
      <c r="K1372" s="5">
        <v>5810</v>
      </c>
      <c r="L1372" s="4" t="s">
        <v>186</v>
      </c>
      <c r="M1372" s="4" t="s">
        <v>187</v>
      </c>
      <c r="N1372" s="3">
        <v>45889</v>
      </c>
      <c r="O1372" s="4" t="s">
        <v>459</v>
      </c>
      <c r="P1372" s="2">
        <v>2000</v>
      </c>
      <c r="Q1372" s="2">
        <v>7881</v>
      </c>
      <c r="R1372" s="4" t="s">
        <v>755</v>
      </c>
      <c r="S1372" s="5">
        <v>63872000</v>
      </c>
    </row>
    <row r="1373" spans="1:19" x14ac:dyDescent="0.25">
      <c r="A1373" s="4" t="s">
        <v>61</v>
      </c>
      <c r="B1373" s="4" t="s">
        <v>59</v>
      </c>
      <c r="C1373" s="4" t="s">
        <v>62</v>
      </c>
      <c r="D1373" s="4" t="s">
        <v>63</v>
      </c>
      <c r="E1373" s="4" t="s">
        <v>293</v>
      </c>
      <c r="F1373" s="4" t="s">
        <v>294</v>
      </c>
      <c r="G1373" s="4" t="s">
        <v>100</v>
      </c>
      <c r="H1373" s="4" t="s">
        <v>26</v>
      </c>
      <c r="I1373" s="5">
        <v>65000000</v>
      </c>
      <c r="J1373" s="5">
        <v>68600</v>
      </c>
      <c r="K1373" s="5">
        <v>6860</v>
      </c>
      <c r="L1373" s="4" t="s">
        <v>186</v>
      </c>
      <c r="M1373" s="4" t="s">
        <v>187</v>
      </c>
      <c r="N1373" s="3">
        <v>45889</v>
      </c>
      <c r="O1373" s="4" t="s">
        <v>459</v>
      </c>
      <c r="P1373" s="2">
        <v>3000</v>
      </c>
      <c r="Q1373" s="2">
        <v>7881</v>
      </c>
      <c r="R1373" s="4" t="s">
        <v>755</v>
      </c>
      <c r="S1373" s="5">
        <v>63872000</v>
      </c>
    </row>
    <row r="1374" spans="1:19" x14ac:dyDescent="0.25">
      <c r="A1374" s="4" t="s">
        <v>61</v>
      </c>
      <c r="B1374" s="4" t="s">
        <v>59</v>
      </c>
      <c r="C1374" s="4" t="s">
        <v>62</v>
      </c>
      <c r="D1374" s="4" t="s">
        <v>63</v>
      </c>
      <c r="E1374" s="4" t="s">
        <v>338</v>
      </c>
      <c r="F1374" s="4" t="s">
        <v>339</v>
      </c>
      <c r="G1374" s="4" t="s">
        <v>100</v>
      </c>
      <c r="H1374" s="4" t="s">
        <v>26</v>
      </c>
      <c r="I1374" s="5">
        <v>65000000</v>
      </c>
      <c r="J1374" s="5">
        <v>61600</v>
      </c>
      <c r="K1374" s="5">
        <v>6160</v>
      </c>
      <c r="L1374" s="4" t="s">
        <v>212</v>
      </c>
      <c r="M1374" s="4" t="s">
        <v>213</v>
      </c>
      <c r="N1374" s="3">
        <v>45900</v>
      </c>
      <c r="O1374" s="4" t="s">
        <v>532</v>
      </c>
      <c r="P1374" s="2">
        <v>1000</v>
      </c>
      <c r="Q1374" s="2">
        <v>7888</v>
      </c>
      <c r="R1374" s="4" t="s">
        <v>755</v>
      </c>
      <c r="S1374" s="5">
        <v>61189450</v>
      </c>
    </row>
    <row r="1375" spans="1:19" x14ac:dyDescent="0.25">
      <c r="A1375" s="4" t="s">
        <v>61</v>
      </c>
      <c r="B1375" s="4" t="s">
        <v>59</v>
      </c>
      <c r="C1375" s="4" t="s">
        <v>62</v>
      </c>
      <c r="D1375" s="4" t="s">
        <v>63</v>
      </c>
      <c r="E1375" s="4" t="s">
        <v>338</v>
      </c>
      <c r="F1375" s="4" t="s">
        <v>339</v>
      </c>
      <c r="G1375" s="4" t="s">
        <v>100</v>
      </c>
      <c r="H1375" s="4" t="s">
        <v>26</v>
      </c>
      <c r="I1375" s="5">
        <v>65000000</v>
      </c>
      <c r="J1375" s="5">
        <v>68600</v>
      </c>
      <c r="K1375" s="5">
        <v>6860</v>
      </c>
      <c r="L1375" s="4" t="s">
        <v>212</v>
      </c>
      <c r="M1375" s="4" t="s">
        <v>213</v>
      </c>
      <c r="N1375" s="3">
        <v>45900</v>
      </c>
      <c r="O1375" s="4" t="s">
        <v>532</v>
      </c>
      <c r="P1375" s="2">
        <v>2000</v>
      </c>
      <c r="Q1375" s="2">
        <v>7888</v>
      </c>
      <c r="R1375" s="4" t="s">
        <v>755</v>
      </c>
      <c r="S1375" s="5">
        <v>61189450</v>
      </c>
    </row>
    <row r="1376" spans="1:19" x14ac:dyDescent="0.25">
      <c r="A1376" s="4" t="s">
        <v>61</v>
      </c>
      <c r="B1376" s="4" t="s">
        <v>59</v>
      </c>
      <c r="C1376" s="4" t="s">
        <v>62</v>
      </c>
      <c r="D1376" s="4" t="s">
        <v>63</v>
      </c>
      <c r="E1376" s="4" t="s">
        <v>338</v>
      </c>
      <c r="F1376" s="4" t="s">
        <v>339</v>
      </c>
      <c r="G1376" s="4" t="s">
        <v>100</v>
      </c>
      <c r="H1376" s="4" t="s">
        <v>26</v>
      </c>
      <c r="I1376" s="5">
        <v>65000000</v>
      </c>
      <c r="J1376" s="5">
        <v>112000</v>
      </c>
      <c r="K1376" s="5">
        <v>11200</v>
      </c>
      <c r="L1376" s="4" t="s">
        <v>212</v>
      </c>
      <c r="M1376" s="4" t="s">
        <v>213</v>
      </c>
      <c r="N1376" s="3">
        <v>45900</v>
      </c>
      <c r="O1376" s="4" t="s">
        <v>532</v>
      </c>
      <c r="P1376" s="2">
        <v>3000</v>
      </c>
      <c r="Q1376" s="2">
        <v>7888</v>
      </c>
      <c r="R1376" s="4" t="s">
        <v>26</v>
      </c>
      <c r="S1376" s="5">
        <v>61189450</v>
      </c>
    </row>
    <row r="1377" spans="1:19" x14ac:dyDescent="0.25">
      <c r="A1377" s="4" t="s">
        <v>61</v>
      </c>
      <c r="B1377" s="4" t="s">
        <v>59</v>
      </c>
      <c r="C1377" s="4" t="s">
        <v>62</v>
      </c>
      <c r="D1377" s="4" t="s">
        <v>63</v>
      </c>
      <c r="E1377" s="4" t="s">
        <v>338</v>
      </c>
      <c r="F1377" s="4" t="s">
        <v>339</v>
      </c>
      <c r="G1377" s="4" t="s">
        <v>100</v>
      </c>
      <c r="H1377" s="4" t="s">
        <v>26</v>
      </c>
      <c r="I1377" s="5">
        <v>65000000</v>
      </c>
      <c r="J1377" s="5">
        <v>66500</v>
      </c>
      <c r="K1377" s="5">
        <v>6650</v>
      </c>
      <c r="L1377" s="4" t="s">
        <v>212</v>
      </c>
      <c r="M1377" s="4" t="s">
        <v>213</v>
      </c>
      <c r="N1377" s="3">
        <v>45900</v>
      </c>
      <c r="O1377" s="4" t="s">
        <v>532</v>
      </c>
      <c r="P1377" s="2">
        <v>4000</v>
      </c>
      <c r="Q1377" s="2">
        <v>7888</v>
      </c>
      <c r="R1377" s="4" t="s">
        <v>755</v>
      </c>
      <c r="S1377" s="5">
        <v>61189450</v>
      </c>
    </row>
    <row r="1378" spans="1:19" x14ac:dyDescent="0.25">
      <c r="A1378" s="4" t="s">
        <v>61</v>
      </c>
      <c r="B1378" s="4" t="s">
        <v>59</v>
      </c>
      <c r="C1378" s="4" t="s">
        <v>62</v>
      </c>
      <c r="D1378" s="4" t="s">
        <v>63</v>
      </c>
      <c r="E1378" s="4" t="s">
        <v>574</v>
      </c>
      <c r="F1378" s="4" t="s">
        <v>575</v>
      </c>
      <c r="G1378" s="4" t="s">
        <v>199</v>
      </c>
      <c r="H1378" s="4" t="s">
        <v>26</v>
      </c>
      <c r="I1378" s="5">
        <v>65000000</v>
      </c>
      <c r="J1378" s="5">
        <v>290000</v>
      </c>
      <c r="K1378" s="5">
        <v>29000</v>
      </c>
      <c r="L1378" s="4" t="s">
        <v>26</v>
      </c>
      <c r="M1378" s="4" t="s">
        <v>26</v>
      </c>
      <c r="N1378" s="3">
        <v>45894</v>
      </c>
      <c r="O1378" s="4" t="s">
        <v>565</v>
      </c>
      <c r="P1378" s="2">
        <v>1000</v>
      </c>
      <c r="Q1378" s="2">
        <v>7891</v>
      </c>
      <c r="R1378" s="4" t="s">
        <v>768</v>
      </c>
      <c r="S1378" s="5">
        <v>64332000</v>
      </c>
    </row>
    <row r="1379" spans="1:19" x14ac:dyDescent="0.25">
      <c r="A1379" s="4" t="s">
        <v>61</v>
      </c>
      <c r="B1379" s="4" t="s">
        <v>59</v>
      </c>
      <c r="C1379" s="4" t="s">
        <v>62</v>
      </c>
      <c r="D1379" s="4" t="s">
        <v>63</v>
      </c>
      <c r="E1379" s="4" t="s">
        <v>92</v>
      </c>
      <c r="F1379" s="4" t="s">
        <v>93</v>
      </c>
      <c r="G1379" s="4" t="s">
        <v>94</v>
      </c>
      <c r="H1379" s="4" t="s">
        <v>26</v>
      </c>
      <c r="I1379" s="5">
        <v>155000000</v>
      </c>
      <c r="J1379" s="5">
        <v>31200</v>
      </c>
      <c r="K1379" s="5">
        <v>3120</v>
      </c>
      <c r="L1379" s="4" t="s">
        <v>26</v>
      </c>
      <c r="M1379" s="4" t="s">
        <v>26</v>
      </c>
      <c r="N1379" s="3">
        <v>45894</v>
      </c>
      <c r="O1379" s="4" t="s">
        <v>565</v>
      </c>
      <c r="P1379" s="2">
        <v>1000</v>
      </c>
      <c r="Q1379" s="2">
        <v>7892</v>
      </c>
      <c r="R1379" s="4" t="s">
        <v>749</v>
      </c>
      <c r="S1379" s="5">
        <v>145558700</v>
      </c>
    </row>
    <row r="1380" spans="1:19" x14ac:dyDescent="0.25">
      <c r="A1380" s="4" t="s">
        <v>61</v>
      </c>
      <c r="B1380" s="4" t="s">
        <v>59</v>
      </c>
      <c r="C1380" s="4" t="s">
        <v>62</v>
      </c>
      <c r="D1380" s="4" t="s">
        <v>63</v>
      </c>
      <c r="E1380" s="4" t="s">
        <v>92</v>
      </c>
      <c r="F1380" s="4" t="s">
        <v>93</v>
      </c>
      <c r="G1380" s="4" t="s">
        <v>94</v>
      </c>
      <c r="H1380" s="4" t="s">
        <v>26</v>
      </c>
      <c r="I1380" s="5">
        <v>155000000</v>
      </c>
      <c r="J1380" s="5">
        <v>28000</v>
      </c>
      <c r="K1380" s="5">
        <v>2800</v>
      </c>
      <c r="L1380" s="4" t="s">
        <v>26</v>
      </c>
      <c r="M1380" s="4" t="s">
        <v>26</v>
      </c>
      <c r="N1380" s="3">
        <v>45894</v>
      </c>
      <c r="O1380" s="4" t="s">
        <v>565</v>
      </c>
      <c r="P1380" s="2">
        <v>2000</v>
      </c>
      <c r="Q1380" s="2">
        <v>7892</v>
      </c>
      <c r="R1380" s="4" t="s">
        <v>749</v>
      </c>
      <c r="S1380" s="5">
        <v>145558700</v>
      </c>
    </row>
    <row r="1381" spans="1:19" x14ac:dyDescent="0.25">
      <c r="A1381" s="4" t="s">
        <v>61</v>
      </c>
      <c r="B1381" s="4" t="s">
        <v>59</v>
      </c>
      <c r="C1381" s="4" t="s">
        <v>62</v>
      </c>
      <c r="D1381" s="4" t="s">
        <v>63</v>
      </c>
      <c r="E1381" s="4" t="s">
        <v>103</v>
      </c>
      <c r="F1381" s="4" t="s">
        <v>104</v>
      </c>
      <c r="G1381" s="4" t="s">
        <v>105</v>
      </c>
      <c r="H1381" s="4" t="s">
        <v>26</v>
      </c>
      <c r="I1381" s="5">
        <v>155000000</v>
      </c>
      <c r="J1381" s="5">
        <v>39200</v>
      </c>
      <c r="K1381" s="5">
        <v>3920</v>
      </c>
      <c r="L1381" s="4" t="s">
        <v>26</v>
      </c>
      <c r="M1381" s="4" t="s">
        <v>26</v>
      </c>
      <c r="N1381" s="3">
        <v>45889</v>
      </c>
      <c r="O1381" s="4" t="s">
        <v>147</v>
      </c>
      <c r="P1381" s="2">
        <v>1000</v>
      </c>
      <c r="Q1381" s="2">
        <v>7909</v>
      </c>
      <c r="R1381" s="4" t="s">
        <v>749</v>
      </c>
      <c r="S1381" s="5">
        <v>150234500</v>
      </c>
    </row>
    <row r="1382" spans="1:19" x14ac:dyDescent="0.25">
      <c r="A1382" s="4" t="s">
        <v>61</v>
      </c>
      <c r="B1382" s="4" t="s">
        <v>59</v>
      </c>
      <c r="C1382" s="4" t="s">
        <v>62</v>
      </c>
      <c r="D1382" s="4" t="s">
        <v>63</v>
      </c>
      <c r="E1382" s="4" t="s">
        <v>293</v>
      </c>
      <c r="F1382" s="4" t="s">
        <v>294</v>
      </c>
      <c r="G1382" s="4" t="s">
        <v>100</v>
      </c>
      <c r="H1382" s="4" t="s">
        <v>26</v>
      </c>
      <c r="I1382" s="5">
        <v>65000000</v>
      </c>
      <c r="J1382" s="5">
        <v>79900</v>
      </c>
      <c r="K1382" s="5">
        <v>7990</v>
      </c>
      <c r="L1382" s="4" t="s">
        <v>295</v>
      </c>
      <c r="M1382" s="4" t="s">
        <v>296</v>
      </c>
      <c r="N1382" s="3">
        <v>45900</v>
      </c>
      <c r="O1382" s="4" t="s">
        <v>432</v>
      </c>
      <c r="P1382" s="2">
        <v>1000</v>
      </c>
      <c r="Q1382" s="2">
        <v>7909</v>
      </c>
      <c r="R1382" s="4" t="s">
        <v>755</v>
      </c>
      <c r="S1382" s="5">
        <v>63872000</v>
      </c>
    </row>
    <row r="1383" spans="1:19" x14ac:dyDescent="0.25">
      <c r="A1383" s="4" t="s">
        <v>61</v>
      </c>
      <c r="B1383" s="4" t="s">
        <v>59</v>
      </c>
      <c r="C1383" s="4" t="s">
        <v>62</v>
      </c>
      <c r="D1383" s="4" t="s">
        <v>63</v>
      </c>
      <c r="E1383" s="4" t="s">
        <v>522</v>
      </c>
      <c r="F1383" s="4" t="s">
        <v>523</v>
      </c>
      <c r="G1383" s="4" t="s">
        <v>108</v>
      </c>
      <c r="H1383" s="4" t="s">
        <v>26</v>
      </c>
      <c r="I1383" s="5">
        <v>150000000</v>
      </c>
      <c r="J1383" s="5">
        <v>70550</v>
      </c>
      <c r="K1383" s="5">
        <v>7055</v>
      </c>
      <c r="L1383" s="4" t="s">
        <v>524</v>
      </c>
      <c r="M1383" s="4" t="s">
        <v>525</v>
      </c>
      <c r="N1383" s="3">
        <v>45889</v>
      </c>
      <c r="O1383" s="4" t="s">
        <v>459</v>
      </c>
      <c r="P1383" s="2">
        <v>1000</v>
      </c>
      <c r="Q1383" s="2">
        <v>7909</v>
      </c>
      <c r="R1383" s="4" t="s">
        <v>755</v>
      </c>
      <c r="S1383" s="5">
        <v>149871200</v>
      </c>
    </row>
    <row r="1384" spans="1:19" x14ac:dyDescent="0.25">
      <c r="A1384" s="4" t="s">
        <v>61</v>
      </c>
      <c r="B1384" s="4" t="s">
        <v>59</v>
      </c>
      <c r="C1384" s="4" t="s">
        <v>62</v>
      </c>
      <c r="D1384" s="4" t="s">
        <v>63</v>
      </c>
      <c r="E1384" s="4" t="s">
        <v>522</v>
      </c>
      <c r="F1384" s="4" t="s">
        <v>523</v>
      </c>
      <c r="G1384" s="4" t="s">
        <v>108</v>
      </c>
      <c r="H1384" s="4" t="s">
        <v>26</v>
      </c>
      <c r="I1384" s="5">
        <v>150000000</v>
      </c>
      <c r="J1384" s="5">
        <v>4250</v>
      </c>
      <c r="K1384" s="5">
        <v>425</v>
      </c>
      <c r="L1384" s="4" t="s">
        <v>524</v>
      </c>
      <c r="M1384" s="4" t="s">
        <v>525</v>
      </c>
      <c r="N1384" s="3">
        <v>45889</v>
      </c>
      <c r="O1384" s="4" t="s">
        <v>459</v>
      </c>
      <c r="P1384" s="2">
        <v>2000</v>
      </c>
      <c r="Q1384" s="2">
        <v>7909</v>
      </c>
      <c r="R1384" s="4" t="s">
        <v>755</v>
      </c>
      <c r="S1384" s="5">
        <v>149871200</v>
      </c>
    </row>
    <row r="1385" spans="1:19" x14ac:dyDescent="0.25">
      <c r="A1385" s="4" t="s">
        <v>61</v>
      </c>
      <c r="B1385" s="4" t="s">
        <v>59</v>
      </c>
      <c r="C1385" s="4" t="s">
        <v>62</v>
      </c>
      <c r="D1385" s="4" t="s">
        <v>63</v>
      </c>
      <c r="E1385" s="4" t="s">
        <v>522</v>
      </c>
      <c r="F1385" s="4" t="s">
        <v>523</v>
      </c>
      <c r="G1385" s="4" t="s">
        <v>108</v>
      </c>
      <c r="H1385" s="4" t="s">
        <v>26</v>
      </c>
      <c r="I1385" s="5">
        <v>150000000</v>
      </c>
      <c r="J1385" s="5">
        <v>54000</v>
      </c>
      <c r="K1385" s="5">
        <v>5400</v>
      </c>
      <c r="L1385" s="4" t="s">
        <v>524</v>
      </c>
      <c r="M1385" s="4" t="s">
        <v>525</v>
      </c>
      <c r="N1385" s="3">
        <v>45889</v>
      </c>
      <c r="O1385" s="4" t="s">
        <v>459</v>
      </c>
      <c r="P1385" s="2">
        <v>1000</v>
      </c>
      <c r="Q1385" s="2">
        <v>7912</v>
      </c>
      <c r="R1385" s="4" t="s">
        <v>747</v>
      </c>
      <c r="S1385" s="5">
        <v>149871200</v>
      </c>
    </row>
    <row r="1386" spans="1:19" x14ac:dyDescent="0.25">
      <c r="A1386" s="4" t="s">
        <v>61</v>
      </c>
      <c r="B1386" s="4" t="s">
        <v>59</v>
      </c>
      <c r="C1386" s="4" t="s">
        <v>62</v>
      </c>
      <c r="D1386" s="4" t="s">
        <v>63</v>
      </c>
      <c r="E1386" s="4" t="s">
        <v>103</v>
      </c>
      <c r="F1386" s="4" t="s">
        <v>104</v>
      </c>
      <c r="G1386" s="4" t="s">
        <v>105</v>
      </c>
      <c r="H1386" s="4" t="s">
        <v>26</v>
      </c>
      <c r="I1386" s="5">
        <v>155000000</v>
      </c>
      <c r="J1386" s="5">
        <v>39200</v>
      </c>
      <c r="K1386" s="5">
        <v>3920</v>
      </c>
      <c r="L1386" s="4" t="s">
        <v>26</v>
      </c>
      <c r="M1386" s="4" t="s">
        <v>26</v>
      </c>
      <c r="N1386" s="3">
        <v>45894</v>
      </c>
      <c r="O1386" s="4" t="s">
        <v>565</v>
      </c>
      <c r="P1386" s="2">
        <v>1000</v>
      </c>
      <c r="Q1386" s="2">
        <v>7959</v>
      </c>
      <c r="R1386" s="4" t="s">
        <v>749</v>
      </c>
      <c r="S1386" s="5">
        <v>150234500</v>
      </c>
    </row>
    <row r="1387" spans="1:19" x14ac:dyDescent="0.25">
      <c r="A1387" s="4" t="s">
        <v>61</v>
      </c>
      <c r="B1387" s="4" t="s">
        <v>59</v>
      </c>
      <c r="C1387" s="4" t="s">
        <v>62</v>
      </c>
      <c r="D1387" s="4" t="s">
        <v>63</v>
      </c>
      <c r="E1387" s="4" t="s">
        <v>79</v>
      </c>
      <c r="F1387" s="4" t="s">
        <v>80</v>
      </c>
      <c r="G1387" s="4" t="s">
        <v>81</v>
      </c>
      <c r="H1387" s="4" t="s">
        <v>26</v>
      </c>
      <c r="I1387" s="5">
        <v>65000000</v>
      </c>
      <c r="J1387" s="5">
        <v>99000</v>
      </c>
      <c r="K1387" s="5">
        <v>9900</v>
      </c>
      <c r="L1387" s="4" t="s">
        <v>218</v>
      </c>
      <c r="M1387" s="4" t="s">
        <v>219</v>
      </c>
      <c r="N1387" s="3">
        <v>45884</v>
      </c>
      <c r="O1387" s="4" t="s">
        <v>154</v>
      </c>
      <c r="P1387" s="2">
        <v>1000</v>
      </c>
      <c r="Q1387" s="2">
        <v>7979</v>
      </c>
      <c r="R1387" s="4" t="s">
        <v>749</v>
      </c>
      <c r="S1387" s="5">
        <v>61690700</v>
      </c>
    </row>
    <row r="1388" spans="1:19" x14ac:dyDescent="0.25">
      <c r="A1388" s="4" t="s">
        <v>61</v>
      </c>
      <c r="B1388" s="4" t="s">
        <v>59</v>
      </c>
      <c r="C1388" s="4" t="s">
        <v>62</v>
      </c>
      <c r="D1388" s="4" t="s">
        <v>63</v>
      </c>
      <c r="E1388" s="4" t="s">
        <v>307</v>
      </c>
      <c r="F1388" s="4" t="s">
        <v>308</v>
      </c>
      <c r="G1388" s="4" t="s">
        <v>309</v>
      </c>
      <c r="H1388" s="4" t="s">
        <v>26</v>
      </c>
      <c r="I1388" s="5">
        <v>90000000</v>
      </c>
      <c r="J1388" s="5">
        <v>619000</v>
      </c>
      <c r="K1388" s="5">
        <v>61900</v>
      </c>
      <c r="L1388" s="4" t="s">
        <v>541</v>
      </c>
      <c r="M1388" s="4" t="s">
        <v>542</v>
      </c>
      <c r="N1388" s="3">
        <v>45893</v>
      </c>
      <c r="O1388" s="4" t="s">
        <v>719</v>
      </c>
      <c r="P1388" s="2">
        <v>1000</v>
      </c>
      <c r="Q1388" s="2">
        <v>8047</v>
      </c>
      <c r="R1388" s="4" t="s">
        <v>769</v>
      </c>
      <c r="S1388" s="5">
        <v>88166300</v>
      </c>
    </row>
    <row r="1389" spans="1:19" x14ac:dyDescent="0.25">
      <c r="A1389" s="4" t="s">
        <v>61</v>
      </c>
      <c r="B1389" s="4" t="s">
        <v>59</v>
      </c>
      <c r="C1389" s="4" t="s">
        <v>62</v>
      </c>
      <c r="D1389" s="4" t="s">
        <v>63</v>
      </c>
      <c r="E1389" s="4" t="s">
        <v>85</v>
      </c>
      <c r="F1389" s="4" t="s">
        <v>86</v>
      </c>
      <c r="G1389" s="4" t="s">
        <v>50</v>
      </c>
      <c r="H1389" s="4" t="s">
        <v>26</v>
      </c>
      <c r="I1389" s="5">
        <v>65000000</v>
      </c>
      <c r="J1389" s="5">
        <v>76500</v>
      </c>
      <c r="K1389" s="5">
        <v>7650</v>
      </c>
      <c r="L1389" s="4" t="s">
        <v>352</v>
      </c>
      <c r="M1389" s="4" t="s">
        <v>353</v>
      </c>
      <c r="N1389" s="3">
        <v>45894</v>
      </c>
      <c r="O1389" s="4" t="s">
        <v>565</v>
      </c>
      <c r="P1389" s="2">
        <v>1000</v>
      </c>
      <c r="Q1389" s="2">
        <v>8052</v>
      </c>
      <c r="R1389" s="4" t="s">
        <v>749</v>
      </c>
      <c r="S1389" s="5">
        <v>63946000</v>
      </c>
    </row>
    <row r="1390" spans="1:19" x14ac:dyDescent="0.25">
      <c r="A1390" s="4" t="s">
        <v>61</v>
      </c>
      <c r="B1390" s="4" t="s">
        <v>59</v>
      </c>
      <c r="C1390" s="4" t="s">
        <v>62</v>
      </c>
      <c r="D1390" s="4" t="s">
        <v>63</v>
      </c>
      <c r="E1390" s="4" t="s">
        <v>85</v>
      </c>
      <c r="F1390" s="4" t="s">
        <v>86</v>
      </c>
      <c r="G1390" s="4" t="s">
        <v>50</v>
      </c>
      <c r="H1390" s="4" t="s">
        <v>26</v>
      </c>
      <c r="I1390" s="5">
        <v>65000000</v>
      </c>
      <c r="J1390" s="5">
        <v>63000</v>
      </c>
      <c r="K1390" s="5">
        <v>6300</v>
      </c>
      <c r="L1390" s="4" t="s">
        <v>352</v>
      </c>
      <c r="M1390" s="4" t="s">
        <v>353</v>
      </c>
      <c r="N1390" s="3">
        <v>45894</v>
      </c>
      <c r="O1390" s="4" t="s">
        <v>565</v>
      </c>
      <c r="P1390" s="2">
        <v>2000</v>
      </c>
      <c r="Q1390" s="2">
        <v>8052</v>
      </c>
      <c r="R1390" s="4" t="s">
        <v>749</v>
      </c>
      <c r="S1390" s="5">
        <v>63946000</v>
      </c>
    </row>
    <row r="1391" spans="1:19" x14ac:dyDescent="0.25">
      <c r="A1391" s="4" t="s">
        <v>61</v>
      </c>
      <c r="B1391" s="4" t="s">
        <v>59</v>
      </c>
      <c r="C1391" s="4" t="s">
        <v>62</v>
      </c>
      <c r="D1391" s="4" t="s">
        <v>63</v>
      </c>
      <c r="E1391" s="4" t="s">
        <v>220</v>
      </c>
      <c r="F1391" s="4" t="s">
        <v>221</v>
      </c>
      <c r="G1391" s="4" t="s">
        <v>222</v>
      </c>
      <c r="H1391" s="4" t="s">
        <v>26</v>
      </c>
      <c r="I1391" s="5">
        <v>110000000</v>
      </c>
      <c r="J1391" s="5">
        <v>53900</v>
      </c>
      <c r="K1391" s="5">
        <v>5390</v>
      </c>
      <c r="L1391" s="4" t="s">
        <v>223</v>
      </c>
      <c r="M1391" s="4" t="s">
        <v>224</v>
      </c>
      <c r="N1391" s="3">
        <v>45885</v>
      </c>
      <c r="O1391" s="4" t="s">
        <v>154</v>
      </c>
      <c r="P1391" s="2">
        <v>1000</v>
      </c>
      <c r="Q1391" s="2">
        <v>8055</v>
      </c>
      <c r="R1391" s="4" t="s">
        <v>755</v>
      </c>
      <c r="S1391" s="5">
        <v>109093400</v>
      </c>
    </row>
    <row r="1392" spans="1:19" x14ac:dyDescent="0.25">
      <c r="A1392" s="4" t="s">
        <v>61</v>
      </c>
      <c r="B1392" s="4" t="s">
        <v>59</v>
      </c>
      <c r="C1392" s="4" t="s">
        <v>62</v>
      </c>
      <c r="D1392" s="4" t="s">
        <v>63</v>
      </c>
      <c r="E1392" s="4" t="s">
        <v>170</v>
      </c>
      <c r="F1392" s="4" t="s">
        <v>171</v>
      </c>
      <c r="G1392" s="4" t="s">
        <v>50</v>
      </c>
      <c r="H1392" s="4" t="s">
        <v>26</v>
      </c>
      <c r="I1392" s="5">
        <v>65000000</v>
      </c>
      <c r="J1392" s="5">
        <v>39200</v>
      </c>
      <c r="K1392" s="5">
        <v>3920</v>
      </c>
      <c r="L1392" s="4" t="s">
        <v>576</v>
      </c>
      <c r="M1392" s="4" t="s">
        <v>577</v>
      </c>
      <c r="N1392" s="3">
        <v>45894</v>
      </c>
      <c r="O1392" s="4" t="s">
        <v>565</v>
      </c>
      <c r="P1392" s="2">
        <v>1000</v>
      </c>
      <c r="Q1392" s="2">
        <v>8055</v>
      </c>
      <c r="R1392" s="4" t="s">
        <v>749</v>
      </c>
      <c r="S1392" s="5">
        <v>59051100</v>
      </c>
    </row>
    <row r="1393" spans="1:19" x14ac:dyDescent="0.25">
      <c r="A1393" s="4" t="s">
        <v>61</v>
      </c>
      <c r="B1393" s="4" t="s">
        <v>59</v>
      </c>
      <c r="C1393" s="4" t="s">
        <v>62</v>
      </c>
      <c r="D1393" s="4" t="s">
        <v>63</v>
      </c>
      <c r="E1393" s="4" t="s">
        <v>220</v>
      </c>
      <c r="F1393" s="4" t="s">
        <v>221</v>
      </c>
      <c r="G1393" s="4" t="s">
        <v>222</v>
      </c>
      <c r="H1393" s="4" t="s">
        <v>26</v>
      </c>
      <c r="I1393" s="5">
        <v>110000000</v>
      </c>
      <c r="J1393" s="5">
        <v>46200</v>
      </c>
      <c r="K1393" s="5">
        <v>4620</v>
      </c>
      <c r="L1393" s="4" t="s">
        <v>223</v>
      </c>
      <c r="M1393" s="4" t="s">
        <v>224</v>
      </c>
      <c r="N1393" s="3">
        <v>45885</v>
      </c>
      <c r="O1393" s="4" t="s">
        <v>154</v>
      </c>
      <c r="P1393" s="2">
        <v>2000</v>
      </c>
      <c r="Q1393" s="2">
        <v>8055</v>
      </c>
      <c r="R1393" s="4" t="s">
        <v>755</v>
      </c>
      <c r="S1393" s="5">
        <v>109093400</v>
      </c>
    </row>
    <row r="1394" spans="1:19" x14ac:dyDescent="0.25">
      <c r="A1394" s="4" t="s">
        <v>61</v>
      </c>
      <c r="B1394" s="4" t="s">
        <v>59</v>
      </c>
      <c r="C1394" s="4" t="s">
        <v>62</v>
      </c>
      <c r="D1394" s="4" t="s">
        <v>63</v>
      </c>
      <c r="E1394" s="4" t="s">
        <v>202</v>
      </c>
      <c r="F1394" s="4" t="s">
        <v>203</v>
      </c>
      <c r="G1394" s="4" t="s">
        <v>100</v>
      </c>
      <c r="H1394" s="4" t="s">
        <v>26</v>
      </c>
      <c r="I1394" s="5">
        <v>65000000</v>
      </c>
      <c r="J1394" s="5">
        <v>34000</v>
      </c>
      <c r="K1394" s="5">
        <v>3400</v>
      </c>
      <c r="L1394" s="4" t="s">
        <v>26</v>
      </c>
      <c r="M1394" s="4" t="s">
        <v>26</v>
      </c>
      <c r="N1394" s="3">
        <v>45885</v>
      </c>
      <c r="O1394" s="4" t="s">
        <v>154</v>
      </c>
      <c r="P1394" s="2">
        <v>1000</v>
      </c>
      <c r="Q1394" s="2">
        <v>8068</v>
      </c>
      <c r="R1394" s="4" t="s">
        <v>84</v>
      </c>
      <c r="S1394" s="5">
        <v>63226550</v>
      </c>
    </row>
    <row r="1395" spans="1:19" x14ac:dyDescent="0.25">
      <c r="A1395" s="4" t="s">
        <v>61</v>
      </c>
      <c r="B1395" s="4" t="s">
        <v>59</v>
      </c>
      <c r="C1395" s="4" t="s">
        <v>62</v>
      </c>
      <c r="D1395" s="4" t="s">
        <v>63</v>
      </c>
      <c r="E1395" s="4" t="s">
        <v>202</v>
      </c>
      <c r="F1395" s="4" t="s">
        <v>203</v>
      </c>
      <c r="G1395" s="4" t="s">
        <v>100</v>
      </c>
      <c r="H1395" s="4" t="s">
        <v>26</v>
      </c>
      <c r="I1395" s="5">
        <v>65000000</v>
      </c>
      <c r="J1395" s="5">
        <v>25500</v>
      </c>
      <c r="K1395" s="5">
        <v>2550</v>
      </c>
      <c r="L1395" s="4" t="s">
        <v>26</v>
      </c>
      <c r="M1395" s="4" t="s">
        <v>26</v>
      </c>
      <c r="N1395" s="3">
        <v>45885</v>
      </c>
      <c r="O1395" s="4" t="s">
        <v>154</v>
      </c>
      <c r="P1395" s="2">
        <v>2000</v>
      </c>
      <c r="Q1395" s="2">
        <v>8068</v>
      </c>
      <c r="R1395" s="4" t="s">
        <v>84</v>
      </c>
      <c r="S1395" s="5">
        <v>63226550</v>
      </c>
    </row>
    <row r="1396" spans="1:19" x14ac:dyDescent="0.25">
      <c r="A1396" s="4" t="s">
        <v>61</v>
      </c>
      <c r="B1396" s="4" t="s">
        <v>59</v>
      </c>
      <c r="C1396" s="4" t="s">
        <v>62</v>
      </c>
      <c r="D1396" s="4" t="s">
        <v>63</v>
      </c>
      <c r="E1396" s="4" t="s">
        <v>193</v>
      </c>
      <c r="F1396" s="4" t="s">
        <v>194</v>
      </c>
      <c r="G1396" s="4" t="s">
        <v>105</v>
      </c>
      <c r="H1396" s="4" t="s">
        <v>26</v>
      </c>
      <c r="I1396" s="5">
        <v>155000000</v>
      </c>
      <c r="J1396" s="5">
        <v>40500</v>
      </c>
      <c r="K1396" s="5">
        <v>4050</v>
      </c>
      <c r="L1396" s="4" t="s">
        <v>195</v>
      </c>
      <c r="M1396" s="4" t="s">
        <v>196</v>
      </c>
      <c r="N1396" s="3">
        <v>45890</v>
      </c>
      <c r="O1396" s="4" t="s">
        <v>459</v>
      </c>
      <c r="P1396" s="2">
        <v>1000</v>
      </c>
      <c r="Q1396" s="2">
        <v>8144</v>
      </c>
      <c r="R1396" s="4" t="s">
        <v>747</v>
      </c>
      <c r="S1396" s="5">
        <v>149540330</v>
      </c>
    </row>
    <row r="1397" spans="1:19" x14ac:dyDescent="0.25">
      <c r="A1397" s="4" t="s">
        <v>61</v>
      </c>
      <c r="B1397" s="4" t="s">
        <v>59</v>
      </c>
      <c r="C1397" s="4" t="s">
        <v>62</v>
      </c>
      <c r="D1397" s="4" t="s">
        <v>63</v>
      </c>
      <c r="E1397" s="4" t="s">
        <v>193</v>
      </c>
      <c r="F1397" s="4" t="s">
        <v>194</v>
      </c>
      <c r="G1397" s="4" t="s">
        <v>105</v>
      </c>
      <c r="H1397" s="4" t="s">
        <v>26</v>
      </c>
      <c r="I1397" s="5">
        <v>155000000</v>
      </c>
      <c r="J1397" s="5">
        <v>120000</v>
      </c>
      <c r="K1397" s="5">
        <v>12000</v>
      </c>
      <c r="L1397" s="4" t="s">
        <v>240</v>
      </c>
      <c r="M1397" s="4" t="s">
        <v>241</v>
      </c>
      <c r="N1397" s="3">
        <v>45890</v>
      </c>
      <c r="O1397" s="4" t="s">
        <v>459</v>
      </c>
      <c r="P1397" s="2">
        <v>1000</v>
      </c>
      <c r="Q1397" s="2">
        <v>8145</v>
      </c>
      <c r="R1397" s="4" t="s">
        <v>747</v>
      </c>
      <c r="S1397" s="5">
        <v>149540330</v>
      </c>
    </row>
    <row r="1398" spans="1:19" x14ac:dyDescent="0.25">
      <c r="A1398" s="4" t="s">
        <v>61</v>
      </c>
      <c r="B1398" s="4" t="s">
        <v>59</v>
      </c>
      <c r="C1398" s="4" t="s">
        <v>62</v>
      </c>
      <c r="D1398" s="4" t="s">
        <v>63</v>
      </c>
      <c r="E1398" s="4" t="s">
        <v>142</v>
      </c>
      <c r="F1398" s="4" t="s">
        <v>143</v>
      </c>
      <c r="G1398" s="4" t="s">
        <v>144</v>
      </c>
      <c r="H1398" s="4" t="s">
        <v>26</v>
      </c>
      <c r="I1398" s="5">
        <v>90000000</v>
      </c>
      <c r="J1398" s="5">
        <v>53900</v>
      </c>
      <c r="K1398" s="5">
        <v>5390</v>
      </c>
      <c r="L1398" s="4" t="s">
        <v>26</v>
      </c>
      <c r="M1398" s="4" t="s">
        <v>26</v>
      </c>
      <c r="N1398" s="3">
        <v>45890</v>
      </c>
      <c r="O1398" s="4" t="s">
        <v>459</v>
      </c>
      <c r="P1398" s="2">
        <v>1000</v>
      </c>
      <c r="Q1398" s="2">
        <v>8268</v>
      </c>
      <c r="R1398" s="4" t="s">
        <v>755</v>
      </c>
      <c r="S1398" s="5">
        <v>83720070</v>
      </c>
    </row>
    <row r="1399" spans="1:19" x14ac:dyDescent="0.25">
      <c r="A1399" s="4" t="s">
        <v>61</v>
      </c>
      <c r="B1399" s="4" t="s">
        <v>59</v>
      </c>
      <c r="C1399" s="4" t="s">
        <v>62</v>
      </c>
      <c r="D1399" s="4" t="s">
        <v>63</v>
      </c>
      <c r="E1399" s="4" t="s">
        <v>142</v>
      </c>
      <c r="F1399" s="4" t="s">
        <v>143</v>
      </c>
      <c r="G1399" s="4" t="s">
        <v>144</v>
      </c>
      <c r="H1399" s="4" t="s">
        <v>26</v>
      </c>
      <c r="I1399" s="5">
        <v>90000000</v>
      </c>
      <c r="J1399" s="5">
        <v>46200</v>
      </c>
      <c r="K1399" s="5">
        <v>4620</v>
      </c>
      <c r="L1399" s="4" t="s">
        <v>26</v>
      </c>
      <c r="M1399" s="4" t="s">
        <v>26</v>
      </c>
      <c r="N1399" s="3">
        <v>45890</v>
      </c>
      <c r="O1399" s="4" t="s">
        <v>459</v>
      </c>
      <c r="P1399" s="2">
        <v>2000</v>
      </c>
      <c r="Q1399" s="2">
        <v>8268</v>
      </c>
      <c r="R1399" s="4" t="s">
        <v>755</v>
      </c>
      <c r="S1399" s="5">
        <v>83720070</v>
      </c>
    </row>
    <row r="1400" spans="1:19" x14ac:dyDescent="0.25">
      <c r="A1400" s="4" t="s">
        <v>61</v>
      </c>
      <c r="B1400" s="4" t="s">
        <v>59</v>
      </c>
      <c r="C1400" s="4" t="s">
        <v>62</v>
      </c>
      <c r="D1400" s="4" t="s">
        <v>63</v>
      </c>
      <c r="E1400" s="4" t="s">
        <v>79</v>
      </c>
      <c r="F1400" s="4" t="s">
        <v>80</v>
      </c>
      <c r="G1400" s="4" t="s">
        <v>81</v>
      </c>
      <c r="H1400" s="4" t="s">
        <v>26</v>
      </c>
      <c r="I1400" s="5">
        <v>65000000</v>
      </c>
      <c r="J1400" s="5">
        <v>100100</v>
      </c>
      <c r="K1400" s="5">
        <v>10010</v>
      </c>
      <c r="L1400" s="4" t="s">
        <v>218</v>
      </c>
      <c r="M1400" s="4" t="s">
        <v>219</v>
      </c>
      <c r="N1400" s="3">
        <v>45890</v>
      </c>
      <c r="O1400" s="4" t="s">
        <v>459</v>
      </c>
      <c r="P1400" s="2">
        <v>1000</v>
      </c>
      <c r="Q1400" s="2">
        <v>8297</v>
      </c>
      <c r="R1400" s="4" t="s">
        <v>755</v>
      </c>
      <c r="S1400" s="5">
        <v>61690700</v>
      </c>
    </row>
    <row r="1401" spans="1:19" x14ac:dyDescent="0.25">
      <c r="A1401" s="4" t="s">
        <v>61</v>
      </c>
      <c r="B1401" s="4" t="s">
        <v>59</v>
      </c>
      <c r="C1401" s="4" t="s">
        <v>62</v>
      </c>
      <c r="D1401" s="4" t="s">
        <v>63</v>
      </c>
      <c r="E1401" s="4" t="s">
        <v>79</v>
      </c>
      <c r="F1401" s="4" t="s">
        <v>80</v>
      </c>
      <c r="G1401" s="4" t="s">
        <v>81</v>
      </c>
      <c r="H1401" s="4" t="s">
        <v>26</v>
      </c>
      <c r="I1401" s="5">
        <v>65000000</v>
      </c>
      <c r="J1401" s="5">
        <v>77000</v>
      </c>
      <c r="K1401" s="5">
        <v>7700</v>
      </c>
      <c r="L1401" s="4" t="s">
        <v>218</v>
      </c>
      <c r="M1401" s="4" t="s">
        <v>219</v>
      </c>
      <c r="N1401" s="3">
        <v>45890</v>
      </c>
      <c r="O1401" s="4" t="s">
        <v>459</v>
      </c>
      <c r="P1401" s="2">
        <v>2000</v>
      </c>
      <c r="Q1401" s="2">
        <v>8297</v>
      </c>
      <c r="R1401" s="4" t="s">
        <v>755</v>
      </c>
      <c r="S1401" s="5">
        <v>61690700</v>
      </c>
    </row>
    <row r="1402" spans="1:19" x14ac:dyDescent="0.25">
      <c r="A1402" s="4" t="s">
        <v>61</v>
      </c>
      <c r="B1402" s="4" t="s">
        <v>59</v>
      </c>
      <c r="C1402" s="4" t="s">
        <v>62</v>
      </c>
      <c r="D1402" s="4" t="s">
        <v>63</v>
      </c>
      <c r="E1402" s="4" t="s">
        <v>92</v>
      </c>
      <c r="F1402" s="4" t="s">
        <v>93</v>
      </c>
      <c r="G1402" s="4" t="s">
        <v>94</v>
      </c>
      <c r="H1402" s="4" t="s">
        <v>26</v>
      </c>
      <c r="I1402" s="5">
        <v>155000000</v>
      </c>
      <c r="J1402" s="5">
        <v>87200</v>
      </c>
      <c r="K1402" s="5">
        <v>8720</v>
      </c>
      <c r="L1402" s="4" t="s">
        <v>26</v>
      </c>
      <c r="M1402" s="4" t="s">
        <v>26</v>
      </c>
      <c r="N1402" s="3">
        <v>45891</v>
      </c>
      <c r="O1402" s="4" t="s">
        <v>51</v>
      </c>
      <c r="P1402" s="2">
        <v>1000</v>
      </c>
      <c r="Q1402" s="2">
        <v>8343</v>
      </c>
      <c r="R1402" s="4" t="s">
        <v>749</v>
      </c>
      <c r="S1402" s="5">
        <v>145558700</v>
      </c>
    </row>
    <row r="1403" spans="1:19" x14ac:dyDescent="0.25">
      <c r="A1403" s="4" t="s">
        <v>61</v>
      </c>
      <c r="B1403" s="4" t="s">
        <v>59</v>
      </c>
      <c r="C1403" s="4" t="s">
        <v>62</v>
      </c>
      <c r="D1403" s="4" t="s">
        <v>63</v>
      </c>
      <c r="E1403" s="4" t="s">
        <v>103</v>
      </c>
      <c r="F1403" s="4" t="s">
        <v>104</v>
      </c>
      <c r="G1403" s="4" t="s">
        <v>105</v>
      </c>
      <c r="H1403" s="4" t="s">
        <v>26</v>
      </c>
      <c r="I1403" s="5">
        <v>155000000</v>
      </c>
      <c r="J1403" s="5">
        <v>39200</v>
      </c>
      <c r="K1403" s="5">
        <v>3920</v>
      </c>
      <c r="L1403" s="4" t="s">
        <v>26</v>
      </c>
      <c r="M1403" s="4" t="s">
        <v>26</v>
      </c>
      <c r="N1403" s="3">
        <v>45891</v>
      </c>
      <c r="O1403" s="4" t="s">
        <v>51</v>
      </c>
      <c r="P1403" s="2">
        <v>1000</v>
      </c>
      <c r="Q1403" s="2">
        <v>8347</v>
      </c>
      <c r="R1403" s="4" t="s">
        <v>749</v>
      </c>
      <c r="S1403" s="5">
        <v>150234500</v>
      </c>
    </row>
    <row r="1404" spans="1:19" x14ac:dyDescent="0.25">
      <c r="A1404" s="4" t="s">
        <v>61</v>
      </c>
      <c r="B1404" s="4" t="s">
        <v>59</v>
      </c>
      <c r="C1404" s="4" t="s">
        <v>62</v>
      </c>
      <c r="D1404" s="4" t="s">
        <v>63</v>
      </c>
      <c r="E1404" s="4" t="s">
        <v>238</v>
      </c>
      <c r="F1404" s="4" t="s">
        <v>239</v>
      </c>
      <c r="G1404" s="4" t="s">
        <v>190</v>
      </c>
      <c r="H1404" s="4" t="s">
        <v>26</v>
      </c>
      <c r="I1404" s="5">
        <v>90000000</v>
      </c>
      <c r="J1404" s="5">
        <v>54000</v>
      </c>
      <c r="K1404" s="5">
        <v>5400</v>
      </c>
      <c r="L1404" s="4" t="s">
        <v>240</v>
      </c>
      <c r="M1404" s="4" t="s">
        <v>241</v>
      </c>
      <c r="N1404" s="3">
        <v>45891</v>
      </c>
      <c r="O1404" s="4" t="s">
        <v>459</v>
      </c>
      <c r="P1404" s="2">
        <v>1000</v>
      </c>
      <c r="Q1404" s="2">
        <v>8364</v>
      </c>
      <c r="R1404" s="4" t="s">
        <v>26</v>
      </c>
      <c r="S1404" s="5">
        <v>88561500</v>
      </c>
    </row>
    <row r="1405" spans="1:19" x14ac:dyDescent="0.25">
      <c r="A1405" s="4" t="s">
        <v>61</v>
      </c>
      <c r="B1405" s="4" t="s">
        <v>59</v>
      </c>
      <c r="C1405" s="4" t="s">
        <v>62</v>
      </c>
      <c r="D1405" s="4" t="s">
        <v>63</v>
      </c>
      <c r="E1405" s="4" t="s">
        <v>111</v>
      </c>
      <c r="F1405" s="4" t="s">
        <v>112</v>
      </c>
      <c r="G1405" s="4" t="s">
        <v>81</v>
      </c>
      <c r="H1405" s="4" t="s">
        <v>26</v>
      </c>
      <c r="I1405" s="5">
        <v>65000000</v>
      </c>
      <c r="J1405" s="5">
        <v>40500</v>
      </c>
      <c r="K1405" s="5">
        <v>4050</v>
      </c>
      <c r="L1405" s="4" t="s">
        <v>242</v>
      </c>
      <c r="M1405" s="4" t="s">
        <v>243</v>
      </c>
      <c r="N1405" s="3">
        <v>45891</v>
      </c>
      <c r="O1405" s="4" t="s">
        <v>459</v>
      </c>
      <c r="P1405" s="2">
        <v>1000</v>
      </c>
      <c r="Q1405" s="2">
        <v>8367</v>
      </c>
      <c r="R1405" s="4" t="s">
        <v>26</v>
      </c>
      <c r="S1405" s="5">
        <v>61345000</v>
      </c>
    </row>
    <row r="1406" spans="1:19" x14ac:dyDescent="0.25">
      <c r="A1406" s="4" t="s">
        <v>61</v>
      </c>
      <c r="B1406" s="4" t="s">
        <v>59</v>
      </c>
      <c r="C1406" s="4" t="s">
        <v>62</v>
      </c>
      <c r="D1406" s="4" t="s">
        <v>63</v>
      </c>
      <c r="E1406" s="4" t="s">
        <v>244</v>
      </c>
      <c r="F1406" s="4" t="s">
        <v>245</v>
      </c>
      <c r="G1406" s="4" t="s">
        <v>246</v>
      </c>
      <c r="H1406" s="4" t="s">
        <v>26</v>
      </c>
      <c r="I1406" s="5">
        <v>155000000</v>
      </c>
      <c r="J1406" s="5">
        <v>49500</v>
      </c>
      <c r="K1406" s="5">
        <v>4950</v>
      </c>
      <c r="L1406" s="4" t="s">
        <v>247</v>
      </c>
      <c r="M1406" s="4" t="s">
        <v>248</v>
      </c>
      <c r="N1406" s="3">
        <v>45891</v>
      </c>
      <c r="O1406" s="4" t="s">
        <v>459</v>
      </c>
      <c r="P1406" s="2">
        <v>1000</v>
      </c>
      <c r="Q1406" s="2">
        <v>8371</v>
      </c>
      <c r="R1406" s="4" t="s">
        <v>747</v>
      </c>
      <c r="S1406" s="5">
        <v>151077800</v>
      </c>
    </row>
    <row r="1407" spans="1:19" x14ac:dyDescent="0.25">
      <c r="A1407" s="4" t="s">
        <v>61</v>
      </c>
      <c r="B1407" s="4" t="s">
        <v>59</v>
      </c>
      <c r="C1407" s="4" t="s">
        <v>62</v>
      </c>
      <c r="D1407" s="4" t="s">
        <v>63</v>
      </c>
      <c r="E1407" s="4" t="s">
        <v>193</v>
      </c>
      <c r="F1407" s="4" t="s">
        <v>194</v>
      </c>
      <c r="G1407" s="4" t="s">
        <v>105</v>
      </c>
      <c r="H1407" s="4" t="s">
        <v>26</v>
      </c>
      <c r="I1407" s="5">
        <v>155000000</v>
      </c>
      <c r="J1407" s="5">
        <v>40500</v>
      </c>
      <c r="K1407" s="5">
        <v>4050</v>
      </c>
      <c r="L1407" s="4" t="s">
        <v>195</v>
      </c>
      <c r="M1407" s="4" t="s">
        <v>196</v>
      </c>
      <c r="N1407" s="3">
        <v>45891</v>
      </c>
      <c r="O1407" s="4" t="s">
        <v>459</v>
      </c>
      <c r="P1407" s="2">
        <v>1000</v>
      </c>
      <c r="Q1407" s="2">
        <v>8373</v>
      </c>
      <c r="R1407" s="4" t="s">
        <v>26</v>
      </c>
      <c r="S1407" s="5">
        <v>149540330</v>
      </c>
    </row>
    <row r="1408" spans="1:19" x14ac:dyDescent="0.25">
      <c r="A1408" s="4" t="s">
        <v>61</v>
      </c>
      <c r="B1408" s="4" t="s">
        <v>59</v>
      </c>
      <c r="C1408" s="4" t="s">
        <v>62</v>
      </c>
      <c r="D1408" s="4" t="s">
        <v>63</v>
      </c>
      <c r="E1408" s="4" t="s">
        <v>206</v>
      </c>
      <c r="F1408" s="4" t="s">
        <v>207</v>
      </c>
      <c r="G1408" s="4" t="s">
        <v>97</v>
      </c>
      <c r="H1408" s="4" t="s">
        <v>26</v>
      </c>
      <c r="I1408" s="5">
        <v>155000000</v>
      </c>
      <c r="J1408" s="5">
        <v>49500</v>
      </c>
      <c r="K1408" s="5">
        <v>4950</v>
      </c>
      <c r="L1408" s="4" t="s">
        <v>208</v>
      </c>
      <c r="M1408" s="4" t="s">
        <v>209</v>
      </c>
      <c r="N1408" s="3">
        <v>45891</v>
      </c>
      <c r="O1408" s="4" t="s">
        <v>459</v>
      </c>
      <c r="P1408" s="2">
        <v>1000</v>
      </c>
      <c r="Q1408" s="2">
        <v>8447</v>
      </c>
      <c r="R1408" s="4" t="s">
        <v>747</v>
      </c>
      <c r="S1408" s="5">
        <v>153252100</v>
      </c>
    </row>
    <row r="1409" spans="1:19" x14ac:dyDescent="0.25">
      <c r="A1409" s="4" t="s">
        <v>61</v>
      </c>
      <c r="B1409" s="4" t="s">
        <v>59</v>
      </c>
      <c r="C1409" s="4" t="s">
        <v>62</v>
      </c>
      <c r="D1409" s="4" t="s">
        <v>63</v>
      </c>
      <c r="E1409" s="4" t="s">
        <v>206</v>
      </c>
      <c r="F1409" s="4" t="s">
        <v>207</v>
      </c>
      <c r="G1409" s="4" t="s">
        <v>97</v>
      </c>
      <c r="H1409" s="4" t="s">
        <v>26</v>
      </c>
      <c r="I1409" s="5">
        <v>155000000</v>
      </c>
      <c r="J1409" s="5">
        <v>10000</v>
      </c>
      <c r="K1409" s="5">
        <v>1000</v>
      </c>
      <c r="L1409" s="4" t="s">
        <v>208</v>
      </c>
      <c r="M1409" s="4" t="s">
        <v>209</v>
      </c>
      <c r="N1409" s="3">
        <v>45891</v>
      </c>
      <c r="O1409" s="4" t="s">
        <v>459</v>
      </c>
      <c r="P1409" s="2">
        <v>2000</v>
      </c>
      <c r="Q1409" s="2">
        <v>8447</v>
      </c>
      <c r="R1409" s="4" t="s">
        <v>747</v>
      </c>
      <c r="S1409" s="5">
        <v>153252100</v>
      </c>
    </row>
    <row r="1410" spans="1:19" x14ac:dyDescent="0.25">
      <c r="A1410" s="4" t="s">
        <v>61</v>
      </c>
      <c r="B1410" s="4" t="s">
        <v>59</v>
      </c>
      <c r="C1410" s="4" t="s">
        <v>62</v>
      </c>
      <c r="D1410" s="4" t="s">
        <v>63</v>
      </c>
      <c r="E1410" s="4" t="s">
        <v>127</v>
      </c>
      <c r="F1410" s="4" t="s">
        <v>128</v>
      </c>
      <c r="G1410" s="4" t="s">
        <v>50</v>
      </c>
      <c r="H1410" s="4" t="s">
        <v>26</v>
      </c>
      <c r="I1410" s="5">
        <v>65000000</v>
      </c>
      <c r="J1410" s="5">
        <v>135000</v>
      </c>
      <c r="K1410" s="5">
        <v>13500</v>
      </c>
      <c r="L1410" s="4" t="s">
        <v>129</v>
      </c>
      <c r="M1410" s="4" t="s">
        <v>130</v>
      </c>
      <c r="N1410" s="3">
        <v>45891</v>
      </c>
      <c r="O1410" s="4" t="s">
        <v>51</v>
      </c>
      <c r="P1410" s="2">
        <v>1000</v>
      </c>
      <c r="Q1410" s="2">
        <v>8585</v>
      </c>
      <c r="R1410" s="4" t="s">
        <v>749</v>
      </c>
      <c r="S1410" s="5">
        <v>60417600</v>
      </c>
    </row>
    <row r="1411" spans="1:19" x14ac:dyDescent="0.25">
      <c r="A1411" s="4" t="s">
        <v>61</v>
      </c>
      <c r="B1411" s="4" t="s">
        <v>59</v>
      </c>
      <c r="C1411" s="4" t="s">
        <v>62</v>
      </c>
      <c r="D1411" s="4" t="s">
        <v>63</v>
      </c>
      <c r="E1411" s="4" t="s">
        <v>578</v>
      </c>
      <c r="F1411" s="4" t="s">
        <v>579</v>
      </c>
      <c r="G1411" s="4" t="s">
        <v>108</v>
      </c>
      <c r="H1411" s="4" t="s">
        <v>26</v>
      </c>
      <c r="I1411" s="5">
        <v>150000000</v>
      </c>
      <c r="J1411" s="5">
        <v>75000</v>
      </c>
      <c r="K1411" s="5">
        <v>7500</v>
      </c>
      <c r="L1411" s="4" t="s">
        <v>580</v>
      </c>
      <c r="M1411" s="4" t="s">
        <v>581</v>
      </c>
      <c r="N1411" s="3">
        <v>45896</v>
      </c>
      <c r="O1411" s="4" t="s">
        <v>565</v>
      </c>
      <c r="P1411" s="2">
        <v>1000</v>
      </c>
      <c r="Q1411" s="2">
        <v>8656</v>
      </c>
      <c r="R1411" s="4" t="s">
        <v>749</v>
      </c>
      <c r="S1411" s="5">
        <v>149925000</v>
      </c>
    </row>
    <row r="1412" spans="1:19" x14ac:dyDescent="0.25">
      <c r="A1412" s="4" t="s">
        <v>61</v>
      </c>
      <c r="B1412" s="4" t="s">
        <v>59</v>
      </c>
      <c r="C1412" s="4" t="s">
        <v>62</v>
      </c>
      <c r="D1412" s="4" t="s">
        <v>63</v>
      </c>
      <c r="E1412" s="4" t="s">
        <v>197</v>
      </c>
      <c r="F1412" s="4" t="s">
        <v>198</v>
      </c>
      <c r="G1412" s="4" t="s">
        <v>199</v>
      </c>
      <c r="H1412" s="4" t="s">
        <v>26</v>
      </c>
      <c r="I1412" s="5">
        <v>65000000</v>
      </c>
      <c r="J1412" s="5">
        <v>58500</v>
      </c>
      <c r="K1412" s="5">
        <v>5850</v>
      </c>
      <c r="L1412" s="4" t="s">
        <v>26</v>
      </c>
      <c r="M1412" s="4" t="s">
        <v>26</v>
      </c>
      <c r="N1412" s="3">
        <v>45892</v>
      </c>
      <c r="O1412" s="4" t="s">
        <v>459</v>
      </c>
      <c r="P1412" s="2">
        <v>1000</v>
      </c>
      <c r="Q1412" s="2">
        <v>8730</v>
      </c>
      <c r="R1412" s="4" t="s">
        <v>747</v>
      </c>
      <c r="S1412" s="5">
        <v>64626000</v>
      </c>
    </row>
    <row r="1413" spans="1:19" x14ac:dyDescent="0.25">
      <c r="A1413" s="4" t="s">
        <v>61</v>
      </c>
      <c r="B1413" s="4" t="s">
        <v>59</v>
      </c>
      <c r="C1413" s="4" t="s">
        <v>62</v>
      </c>
      <c r="D1413" s="4" t="s">
        <v>63</v>
      </c>
      <c r="E1413" s="4" t="s">
        <v>103</v>
      </c>
      <c r="F1413" s="4" t="s">
        <v>104</v>
      </c>
      <c r="G1413" s="4" t="s">
        <v>105</v>
      </c>
      <c r="H1413" s="4" t="s">
        <v>26</v>
      </c>
      <c r="I1413" s="5">
        <v>155000000</v>
      </c>
      <c r="J1413" s="5">
        <v>39200</v>
      </c>
      <c r="K1413" s="5">
        <v>3920</v>
      </c>
      <c r="L1413" s="4" t="s">
        <v>26</v>
      </c>
      <c r="M1413" s="4" t="s">
        <v>26</v>
      </c>
      <c r="N1413" s="3">
        <v>45892</v>
      </c>
      <c r="O1413" s="4" t="s">
        <v>51</v>
      </c>
      <c r="P1413" s="2">
        <v>1000</v>
      </c>
      <c r="Q1413" s="2">
        <v>8779</v>
      </c>
      <c r="R1413" s="4" t="s">
        <v>749</v>
      </c>
      <c r="S1413" s="5">
        <v>150234500</v>
      </c>
    </row>
    <row r="1414" spans="1:19" x14ac:dyDescent="0.25">
      <c r="A1414" s="4" t="s">
        <v>61</v>
      </c>
      <c r="B1414" s="4" t="s">
        <v>59</v>
      </c>
      <c r="C1414" s="4" t="s">
        <v>62</v>
      </c>
      <c r="D1414" s="4" t="s">
        <v>63</v>
      </c>
      <c r="E1414" s="4" t="s">
        <v>131</v>
      </c>
      <c r="F1414" s="4" t="s">
        <v>132</v>
      </c>
      <c r="G1414" s="4" t="s">
        <v>100</v>
      </c>
      <c r="H1414" s="4" t="s">
        <v>26</v>
      </c>
      <c r="I1414" s="5">
        <v>65000000</v>
      </c>
      <c r="J1414" s="5">
        <v>27000</v>
      </c>
      <c r="K1414" s="5">
        <v>2700</v>
      </c>
      <c r="L1414" s="4" t="s">
        <v>133</v>
      </c>
      <c r="M1414" s="4" t="s">
        <v>134</v>
      </c>
      <c r="N1414" s="3">
        <v>45892</v>
      </c>
      <c r="O1414" s="4" t="s">
        <v>51</v>
      </c>
      <c r="P1414" s="2">
        <v>1000</v>
      </c>
      <c r="Q1414" s="2">
        <v>8923</v>
      </c>
      <c r="R1414" s="4" t="s">
        <v>749</v>
      </c>
      <c r="S1414" s="5">
        <v>63739700</v>
      </c>
    </row>
    <row r="1415" spans="1:19" x14ac:dyDescent="0.25">
      <c r="A1415" s="4" t="s">
        <v>61</v>
      </c>
      <c r="B1415" s="4" t="s">
        <v>59</v>
      </c>
      <c r="C1415" s="4" t="s">
        <v>62</v>
      </c>
      <c r="D1415" s="4" t="s">
        <v>63</v>
      </c>
      <c r="E1415" s="4" t="s">
        <v>148</v>
      </c>
      <c r="F1415" s="4" t="s">
        <v>149</v>
      </c>
      <c r="G1415" s="4" t="s">
        <v>50</v>
      </c>
      <c r="H1415" s="4" t="s">
        <v>26</v>
      </c>
      <c r="I1415" s="5">
        <v>65000000</v>
      </c>
      <c r="J1415" s="5">
        <v>79900</v>
      </c>
      <c r="K1415" s="5">
        <v>7990</v>
      </c>
      <c r="L1415" s="4" t="s">
        <v>26</v>
      </c>
      <c r="M1415" s="4" t="s">
        <v>26</v>
      </c>
      <c r="N1415" s="3">
        <v>45886</v>
      </c>
      <c r="O1415" s="4" t="s">
        <v>154</v>
      </c>
      <c r="P1415" s="2">
        <v>1000</v>
      </c>
      <c r="Q1415" s="2">
        <v>8941</v>
      </c>
      <c r="R1415" s="4" t="s">
        <v>768</v>
      </c>
      <c r="S1415" s="5">
        <v>58699710</v>
      </c>
    </row>
    <row r="1416" spans="1:19" x14ac:dyDescent="0.25">
      <c r="A1416" s="4" t="s">
        <v>61</v>
      </c>
      <c r="B1416" s="4" t="s">
        <v>59</v>
      </c>
      <c r="C1416" s="4" t="s">
        <v>62</v>
      </c>
      <c r="D1416" s="4" t="s">
        <v>63</v>
      </c>
      <c r="E1416" s="4" t="s">
        <v>148</v>
      </c>
      <c r="F1416" s="4" t="s">
        <v>149</v>
      </c>
      <c r="G1416" s="4" t="s">
        <v>50</v>
      </c>
      <c r="H1416" s="4" t="s">
        <v>26</v>
      </c>
      <c r="I1416" s="5">
        <v>65000000</v>
      </c>
      <c r="J1416" s="5">
        <v>190000</v>
      </c>
      <c r="K1416" s="5">
        <v>19000</v>
      </c>
      <c r="L1416" s="4" t="s">
        <v>26</v>
      </c>
      <c r="M1416" s="4" t="s">
        <v>26</v>
      </c>
      <c r="N1416" s="3">
        <v>45892</v>
      </c>
      <c r="O1416" s="4" t="s">
        <v>459</v>
      </c>
      <c r="P1416" s="2">
        <v>1000</v>
      </c>
      <c r="Q1416" s="2">
        <v>8975</v>
      </c>
      <c r="R1416" s="4" t="s">
        <v>84</v>
      </c>
      <c r="S1416" s="5">
        <v>58699710</v>
      </c>
    </row>
    <row r="1417" spans="1:19" x14ac:dyDescent="0.25">
      <c r="A1417" s="4" t="s">
        <v>61</v>
      </c>
      <c r="B1417" s="4" t="s">
        <v>59</v>
      </c>
      <c r="C1417" s="4" t="s">
        <v>62</v>
      </c>
      <c r="D1417" s="4" t="s">
        <v>63</v>
      </c>
      <c r="E1417" s="4" t="s">
        <v>148</v>
      </c>
      <c r="F1417" s="4" t="s">
        <v>149</v>
      </c>
      <c r="G1417" s="4" t="s">
        <v>50</v>
      </c>
      <c r="H1417" s="4" t="s">
        <v>26</v>
      </c>
      <c r="I1417" s="5">
        <v>65000000</v>
      </c>
      <c r="J1417" s="5">
        <v>39000</v>
      </c>
      <c r="K1417" s="5">
        <v>3900</v>
      </c>
      <c r="L1417" s="4" t="s">
        <v>26</v>
      </c>
      <c r="M1417" s="4" t="s">
        <v>26</v>
      </c>
      <c r="N1417" s="3">
        <v>45892</v>
      </c>
      <c r="O1417" s="4" t="s">
        <v>459</v>
      </c>
      <c r="P1417" s="2">
        <v>1000</v>
      </c>
      <c r="Q1417" s="2">
        <v>8983</v>
      </c>
      <c r="R1417" s="4" t="s">
        <v>84</v>
      </c>
      <c r="S1417" s="5">
        <v>58699710</v>
      </c>
    </row>
    <row r="1418" spans="1:19" x14ac:dyDescent="0.25">
      <c r="A1418" s="4" t="s">
        <v>61</v>
      </c>
      <c r="B1418" s="4" t="s">
        <v>59</v>
      </c>
      <c r="C1418" s="4" t="s">
        <v>62</v>
      </c>
      <c r="D1418" s="4" t="s">
        <v>63</v>
      </c>
      <c r="E1418" s="4" t="s">
        <v>92</v>
      </c>
      <c r="F1418" s="4" t="s">
        <v>93</v>
      </c>
      <c r="G1418" s="4" t="s">
        <v>94</v>
      </c>
      <c r="H1418" s="4" t="s">
        <v>26</v>
      </c>
      <c r="I1418" s="5">
        <v>155000000</v>
      </c>
      <c r="J1418" s="5">
        <v>31200</v>
      </c>
      <c r="K1418" s="5">
        <v>3120</v>
      </c>
      <c r="L1418" s="4" t="s">
        <v>26</v>
      </c>
      <c r="M1418" s="4" t="s">
        <v>26</v>
      </c>
      <c r="N1418" s="3">
        <v>45897</v>
      </c>
      <c r="O1418" s="4" t="s">
        <v>565</v>
      </c>
      <c r="P1418" s="2">
        <v>1000</v>
      </c>
      <c r="Q1418" s="2">
        <v>9008</v>
      </c>
      <c r="R1418" s="4" t="s">
        <v>749</v>
      </c>
      <c r="S1418" s="5">
        <v>145558700</v>
      </c>
    </row>
    <row r="1419" spans="1:19" x14ac:dyDescent="0.25">
      <c r="A1419" s="4" t="s">
        <v>61</v>
      </c>
      <c r="B1419" s="4" t="s">
        <v>59</v>
      </c>
      <c r="C1419" s="4" t="s">
        <v>62</v>
      </c>
      <c r="D1419" s="4" t="s">
        <v>63</v>
      </c>
      <c r="E1419" s="4" t="s">
        <v>263</v>
      </c>
      <c r="F1419" s="4" t="s">
        <v>264</v>
      </c>
      <c r="G1419" s="4" t="s">
        <v>81</v>
      </c>
      <c r="H1419" s="4" t="s">
        <v>26</v>
      </c>
      <c r="I1419" s="5">
        <v>65000000</v>
      </c>
      <c r="J1419" s="5">
        <v>150000</v>
      </c>
      <c r="K1419" s="5">
        <v>15000</v>
      </c>
      <c r="L1419" s="4" t="s">
        <v>684</v>
      </c>
      <c r="M1419" s="4" t="s">
        <v>685</v>
      </c>
      <c r="N1419" s="3">
        <v>45896</v>
      </c>
      <c r="O1419" s="4" t="s">
        <v>716</v>
      </c>
      <c r="P1419" s="2">
        <v>1000</v>
      </c>
      <c r="Q1419" s="2">
        <v>9010</v>
      </c>
      <c r="R1419" s="4" t="s">
        <v>769</v>
      </c>
      <c r="S1419" s="5">
        <v>54808900</v>
      </c>
    </row>
    <row r="1420" spans="1:19" x14ac:dyDescent="0.25">
      <c r="A1420" s="4" t="s">
        <v>61</v>
      </c>
      <c r="B1420" s="4" t="s">
        <v>59</v>
      </c>
      <c r="C1420" s="4" t="s">
        <v>62</v>
      </c>
      <c r="D1420" s="4" t="s">
        <v>63</v>
      </c>
      <c r="E1420" s="4" t="s">
        <v>263</v>
      </c>
      <c r="F1420" s="4" t="s">
        <v>264</v>
      </c>
      <c r="G1420" s="4" t="s">
        <v>81</v>
      </c>
      <c r="H1420" s="4" t="s">
        <v>26</v>
      </c>
      <c r="I1420" s="5">
        <v>65000000</v>
      </c>
      <c r="J1420" s="5">
        <v>918000</v>
      </c>
      <c r="K1420" s="5">
        <v>91800</v>
      </c>
      <c r="L1420" s="4" t="s">
        <v>627</v>
      </c>
      <c r="M1420" s="4" t="s">
        <v>628</v>
      </c>
      <c r="N1420" s="3">
        <v>45896</v>
      </c>
      <c r="O1420" s="4" t="s">
        <v>716</v>
      </c>
      <c r="P1420" s="2">
        <v>1000</v>
      </c>
      <c r="Q1420" s="2">
        <v>9020</v>
      </c>
      <c r="R1420" s="4" t="s">
        <v>766</v>
      </c>
      <c r="S1420" s="5">
        <v>54808900</v>
      </c>
    </row>
    <row r="1421" spans="1:19" x14ac:dyDescent="0.25">
      <c r="A1421" s="4" t="s">
        <v>61</v>
      </c>
      <c r="B1421" s="4" t="s">
        <v>59</v>
      </c>
      <c r="C1421" s="4" t="s">
        <v>62</v>
      </c>
      <c r="D1421" s="4" t="s">
        <v>63</v>
      </c>
      <c r="E1421" s="4" t="s">
        <v>289</v>
      </c>
      <c r="F1421" s="4" t="s">
        <v>290</v>
      </c>
      <c r="G1421" s="4" t="s">
        <v>100</v>
      </c>
      <c r="H1421" s="4" t="s">
        <v>26</v>
      </c>
      <c r="I1421" s="5">
        <v>65000000</v>
      </c>
      <c r="J1421" s="5">
        <v>400000</v>
      </c>
      <c r="K1421" s="5">
        <v>40000</v>
      </c>
      <c r="L1421" s="4" t="s">
        <v>582</v>
      </c>
      <c r="M1421" s="4" t="s">
        <v>583</v>
      </c>
      <c r="N1421" s="3">
        <v>45897</v>
      </c>
      <c r="O1421" s="4" t="s">
        <v>565</v>
      </c>
      <c r="P1421" s="2">
        <v>1000</v>
      </c>
      <c r="Q1421" s="2">
        <v>9088</v>
      </c>
      <c r="R1421" s="4" t="s">
        <v>757</v>
      </c>
      <c r="S1421" s="5">
        <v>64257350</v>
      </c>
    </row>
    <row r="1422" spans="1:19" x14ac:dyDescent="0.25">
      <c r="A1422" s="4" t="s">
        <v>61</v>
      </c>
      <c r="B1422" s="4" t="s">
        <v>59</v>
      </c>
      <c r="C1422" s="4" t="s">
        <v>62</v>
      </c>
      <c r="D1422" s="4" t="s">
        <v>63</v>
      </c>
      <c r="E1422" s="4" t="s">
        <v>301</v>
      </c>
      <c r="F1422" s="4" t="s">
        <v>302</v>
      </c>
      <c r="G1422" s="4" t="s">
        <v>157</v>
      </c>
      <c r="H1422" s="4" t="s">
        <v>26</v>
      </c>
      <c r="I1422" s="5">
        <v>90000000</v>
      </c>
      <c r="J1422" s="5">
        <v>67500</v>
      </c>
      <c r="K1422" s="5">
        <v>6750</v>
      </c>
      <c r="L1422" s="4" t="s">
        <v>303</v>
      </c>
      <c r="M1422" s="4" t="s">
        <v>304</v>
      </c>
      <c r="N1422" s="3">
        <v>45897</v>
      </c>
      <c r="O1422" s="4" t="s">
        <v>565</v>
      </c>
      <c r="P1422" s="2">
        <v>1000</v>
      </c>
      <c r="Q1422" s="2">
        <v>9091</v>
      </c>
      <c r="R1422" s="4" t="s">
        <v>749</v>
      </c>
      <c r="S1422" s="5">
        <v>86019450</v>
      </c>
    </row>
    <row r="1423" spans="1:19" x14ac:dyDescent="0.25">
      <c r="A1423" s="4" t="s">
        <v>61</v>
      </c>
      <c r="B1423" s="4" t="s">
        <v>59</v>
      </c>
      <c r="C1423" s="4" t="s">
        <v>62</v>
      </c>
      <c r="D1423" s="4" t="s">
        <v>63</v>
      </c>
      <c r="E1423" s="4" t="s">
        <v>412</v>
      </c>
      <c r="F1423" s="4" t="s">
        <v>413</v>
      </c>
      <c r="G1423" s="4" t="s">
        <v>157</v>
      </c>
      <c r="H1423" s="4" t="s">
        <v>26</v>
      </c>
      <c r="I1423" s="5">
        <v>90000000</v>
      </c>
      <c r="J1423" s="5">
        <v>49500</v>
      </c>
      <c r="K1423" s="5">
        <v>4950</v>
      </c>
      <c r="L1423" s="4" t="s">
        <v>414</v>
      </c>
      <c r="M1423" s="4" t="s">
        <v>415</v>
      </c>
      <c r="N1423" s="3">
        <v>45893</v>
      </c>
      <c r="O1423" s="4" t="s">
        <v>459</v>
      </c>
      <c r="P1423" s="2">
        <v>1000</v>
      </c>
      <c r="Q1423" s="2">
        <v>9134</v>
      </c>
      <c r="R1423" s="4" t="s">
        <v>747</v>
      </c>
      <c r="S1423" s="5">
        <v>87613200</v>
      </c>
    </row>
    <row r="1424" spans="1:19" x14ac:dyDescent="0.25">
      <c r="A1424" s="4" t="s">
        <v>61</v>
      </c>
      <c r="B1424" s="4" t="s">
        <v>59</v>
      </c>
      <c r="C1424" s="4" t="s">
        <v>62</v>
      </c>
      <c r="D1424" s="4" t="s">
        <v>63</v>
      </c>
      <c r="E1424" s="4" t="s">
        <v>206</v>
      </c>
      <c r="F1424" s="4" t="s">
        <v>207</v>
      </c>
      <c r="G1424" s="4" t="s">
        <v>97</v>
      </c>
      <c r="H1424" s="4" t="s">
        <v>26</v>
      </c>
      <c r="I1424" s="5">
        <v>155000000</v>
      </c>
      <c r="J1424" s="5">
        <v>49500</v>
      </c>
      <c r="K1424" s="5">
        <v>4950</v>
      </c>
      <c r="L1424" s="4" t="s">
        <v>208</v>
      </c>
      <c r="M1424" s="4" t="s">
        <v>209</v>
      </c>
      <c r="N1424" s="3">
        <v>45893</v>
      </c>
      <c r="O1424" s="4" t="s">
        <v>459</v>
      </c>
      <c r="P1424" s="2">
        <v>1000</v>
      </c>
      <c r="Q1424" s="2">
        <v>9135</v>
      </c>
      <c r="R1424" s="4" t="s">
        <v>747</v>
      </c>
      <c r="S1424" s="5">
        <v>153252100</v>
      </c>
    </row>
    <row r="1425" spans="1:19" x14ac:dyDescent="0.25">
      <c r="A1425" s="4" t="s">
        <v>61</v>
      </c>
      <c r="B1425" s="4" t="s">
        <v>59</v>
      </c>
      <c r="C1425" s="4" t="s">
        <v>62</v>
      </c>
      <c r="D1425" s="4" t="s">
        <v>63</v>
      </c>
      <c r="E1425" s="4" t="s">
        <v>206</v>
      </c>
      <c r="F1425" s="4" t="s">
        <v>207</v>
      </c>
      <c r="G1425" s="4" t="s">
        <v>97</v>
      </c>
      <c r="H1425" s="4" t="s">
        <v>26</v>
      </c>
      <c r="I1425" s="5">
        <v>155000000</v>
      </c>
      <c r="J1425" s="5">
        <v>10000</v>
      </c>
      <c r="K1425" s="5">
        <v>1000</v>
      </c>
      <c r="L1425" s="4" t="s">
        <v>208</v>
      </c>
      <c r="M1425" s="4" t="s">
        <v>209</v>
      </c>
      <c r="N1425" s="3">
        <v>45893</v>
      </c>
      <c r="O1425" s="4" t="s">
        <v>459</v>
      </c>
      <c r="P1425" s="2">
        <v>2000</v>
      </c>
      <c r="Q1425" s="2">
        <v>9135</v>
      </c>
      <c r="R1425" s="4" t="s">
        <v>747</v>
      </c>
      <c r="S1425" s="5">
        <v>153252100</v>
      </c>
    </row>
    <row r="1426" spans="1:19" x14ac:dyDescent="0.25">
      <c r="A1426" s="4" t="s">
        <v>61</v>
      </c>
      <c r="B1426" s="4" t="s">
        <v>59</v>
      </c>
      <c r="C1426" s="4" t="s">
        <v>62</v>
      </c>
      <c r="D1426" s="4" t="s">
        <v>63</v>
      </c>
      <c r="E1426" s="4" t="s">
        <v>206</v>
      </c>
      <c r="F1426" s="4" t="s">
        <v>207</v>
      </c>
      <c r="G1426" s="4" t="s">
        <v>97</v>
      </c>
      <c r="H1426" s="4" t="s">
        <v>26</v>
      </c>
      <c r="I1426" s="5">
        <v>155000000</v>
      </c>
      <c r="J1426" s="5">
        <v>49500</v>
      </c>
      <c r="K1426" s="5">
        <v>4950</v>
      </c>
      <c r="L1426" s="4" t="s">
        <v>208</v>
      </c>
      <c r="M1426" s="4" t="s">
        <v>209</v>
      </c>
      <c r="N1426" s="3">
        <v>45893</v>
      </c>
      <c r="O1426" s="4" t="s">
        <v>459</v>
      </c>
      <c r="P1426" s="2">
        <v>3000</v>
      </c>
      <c r="Q1426" s="2">
        <v>9135</v>
      </c>
      <c r="R1426" s="4" t="s">
        <v>747</v>
      </c>
      <c r="S1426" s="5">
        <v>153252100</v>
      </c>
    </row>
    <row r="1427" spans="1:19" x14ac:dyDescent="0.25">
      <c r="A1427" s="4" t="s">
        <v>61</v>
      </c>
      <c r="B1427" s="4" t="s">
        <v>59</v>
      </c>
      <c r="C1427" s="4" t="s">
        <v>62</v>
      </c>
      <c r="D1427" s="4" t="s">
        <v>63</v>
      </c>
      <c r="E1427" s="4" t="s">
        <v>197</v>
      </c>
      <c r="F1427" s="4" t="s">
        <v>198</v>
      </c>
      <c r="G1427" s="4" t="s">
        <v>199</v>
      </c>
      <c r="H1427" s="4" t="s">
        <v>26</v>
      </c>
      <c r="I1427" s="5">
        <v>65000000</v>
      </c>
      <c r="J1427" s="5">
        <v>58500</v>
      </c>
      <c r="K1427" s="5">
        <v>5850</v>
      </c>
      <c r="L1427" s="4" t="s">
        <v>26</v>
      </c>
      <c r="M1427" s="4" t="s">
        <v>26</v>
      </c>
      <c r="N1427" s="3">
        <v>45893</v>
      </c>
      <c r="O1427" s="4" t="s">
        <v>459</v>
      </c>
      <c r="P1427" s="2">
        <v>1000</v>
      </c>
      <c r="Q1427" s="2">
        <v>9150</v>
      </c>
      <c r="R1427" s="4" t="s">
        <v>747</v>
      </c>
      <c r="S1427" s="5">
        <v>64626000</v>
      </c>
    </row>
    <row r="1428" spans="1:19" x14ac:dyDescent="0.25">
      <c r="A1428" s="4" t="s">
        <v>61</v>
      </c>
      <c r="B1428" s="4" t="s">
        <v>59</v>
      </c>
      <c r="C1428" s="4" t="s">
        <v>62</v>
      </c>
      <c r="D1428" s="4" t="s">
        <v>63</v>
      </c>
      <c r="E1428" s="4" t="s">
        <v>263</v>
      </c>
      <c r="F1428" s="4" t="s">
        <v>264</v>
      </c>
      <c r="G1428" s="4" t="s">
        <v>81</v>
      </c>
      <c r="H1428" s="4" t="s">
        <v>26</v>
      </c>
      <c r="I1428" s="5">
        <v>65000000</v>
      </c>
      <c r="J1428" s="5">
        <v>549000</v>
      </c>
      <c r="K1428" s="5">
        <v>54900</v>
      </c>
      <c r="L1428" s="4" t="s">
        <v>684</v>
      </c>
      <c r="M1428" s="4" t="s">
        <v>685</v>
      </c>
      <c r="N1428" s="3">
        <v>45896</v>
      </c>
      <c r="O1428" s="4" t="s">
        <v>719</v>
      </c>
      <c r="P1428" s="2">
        <v>1000</v>
      </c>
      <c r="Q1428" s="2">
        <v>9158</v>
      </c>
      <c r="R1428" s="4" t="s">
        <v>769</v>
      </c>
      <c r="S1428" s="5">
        <v>54808900</v>
      </c>
    </row>
    <row r="1429" spans="1:19" x14ac:dyDescent="0.25">
      <c r="A1429" s="4" t="s">
        <v>61</v>
      </c>
      <c r="B1429" s="4" t="s">
        <v>59</v>
      </c>
      <c r="C1429" s="4" t="s">
        <v>62</v>
      </c>
      <c r="D1429" s="4" t="s">
        <v>63</v>
      </c>
      <c r="E1429" s="4" t="s">
        <v>89</v>
      </c>
      <c r="F1429" s="4" t="s">
        <v>90</v>
      </c>
      <c r="G1429" s="4" t="s">
        <v>91</v>
      </c>
      <c r="H1429" s="4" t="s">
        <v>26</v>
      </c>
      <c r="I1429" s="5">
        <v>65000000</v>
      </c>
      <c r="J1429" s="5">
        <v>49500</v>
      </c>
      <c r="K1429" s="5">
        <v>4950</v>
      </c>
      <c r="L1429" s="4" t="s">
        <v>26</v>
      </c>
      <c r="M1429" s="4" t="s">
        <v>26</v>
      </c>
      <c r="N1429" s="3">
        <v>45895</v>
      </c>
      <c r="O1429" s="4" t="s">
        <v>416</v>
      </c>
      <c r="P1429" s="2">
        <v>1000</v>
      </c>
      <c r="Q1429" s="2">
        <v>9182</v>
      </c>
      <c r="R1429" s="4" t="s">
        <v>747</v>
      </c>
      <c r="S1429" s="5">
        <v>60891200</v>
      </c>
    </row>
    <row r="1430" spans="1:19" x14ac:dyDescent="0.25">
      <c r="A1430" s="4" t="s">
        <v>61</v>
      </c>
      <c r="B1430" s="4" t="s">
        <v>59</v>
      </c>
      <c r="C1430" s="4" t="s">
        <v>62</v>
      </c>
      <c r="D1430" s="4" t="s">
        <v>63</v>
      </c>
      <c r="E1430" s="4" t="s">
        <v>89</v>
      </c>
      <c r="F1430" s="4" t="s">
        <v>90</v>
      </c>
      <c r="G1430" s="4" t="s">
        <v>91</v>
      </c>
      <c r="H1430" s="4" t="s">
        <v>26</v>
      </c>
      <c r="I1430" s="5">
        <v>65000000</v>
      </c>
      <c r="J1430" s="5">
        <v>100000</v>
      </c>
      <c r="K1430" s="5">
        <v>10000</v>
      </c>
      <c r="L1430" s="4" t="s">
        <v>26</v>
      </c>
      <c r="M1430" s="4" t="s">
        <v>26</v>
      </c>
      <c r="N1430" s="3">
        <v>45895</v>
      </c>
      <c r="O1430" s="4" t="s">
        <v>416</v>
      </c>
      <c r="P1430" s="2">
        <v>1000</v>
      </c>
      <c r="Q1430" s="2">
        <v>9184</v>
      </c>
      <c r="R1430" s="4" t="s">
        <v>747</v>
      </c>
      <c r="S1430" s="5">
        <v>60891200</v>
      </c>
    </row>
    <row r="1431" spans="1:19" x14ac:dyDescent="0.25">
      <c r="A1431" s="4" t="s">
        <v>61</v>
      </c>
      <c r="B1431" s="4" t="s">
        <v>59</v>
      </c>
      <c r="C1431" s="4" t="s">
        <v>62</v>
      </c>
      <c r="D1431" s="4" t="s">
        <v>63</v>
      </c>
      <c r="E1431" s="4" t="s">
        <v>474</v>
      </c>
      <c r="F1431" s="4" t="s">
        <v>475</v>
      </c>
      <c r="G1431" s="4" t="s">
        <v>81</v>
      </c>
      <c r="H1431" s="4" t="s">
        <v>26</v>
      </c>
      <c r="I1431" s="5">
        <v>65000000</v>
      </c>
      <c r="J1431" s="5">
        <v>58400</v>
      </c>
      <c r="K1431" s="5">
        <v>5840</v>
      </c>
      <c r="L1431" s="4" t="s">
        <v>476</v>
      </c>
      <c r="M1431" s="4" t="s">
        <v>477</v>
      </c>
      <c r="N1431" s="3">
        <v>45898</v>
      </c>
      <c r="O1431" s="4" t="s">
        <v>565</v>
      </c>
      <c r="P1431" s="2">
        <v>1000</v>
      </c>
      <c r="Q1431" s="2">
        <v>9302</v>
      </c>
      <c r="R1431" s="4" t="s">
        <v>749</v>
      </c>
      <c r="S1431" s="5">
        <v>64312830</v>
      </c>
    </row>
    <row r="1432" spans="1:19" x14ac:dyDescent="0.25">
      <c r="A1432" s="4" t="s">
        <v>61</v>
      </c>
      <c r="B1432" s="4" t="s">
        <v>59</v>
      </c>
      <c r="C1432" s="4" t="s">
        <v>62</v>
      </c>
      <c r="D1432" s="4" t="s">
        <v>63</v>
      </c>
      <c r="E1432" s="4" t="s">
        <v>103</v>
      </c>
      <c r="F1432" s="4" t="s">
        <v>104</v>
      </c>
      <c r="G1432" s="4" t="s">
        <v>105</v>
      </c>
      <c r="H1432" s="4" t="s">
        <v>26</v>
      </c>
      <c r="I1432" s="5">
        <v>155000000</v>
      </c>
      <c r="J1432" s="5">
        <v>39200</v>
      </c>
      <c r="K1432" s="5">
        <v>3920</v>
      </c>
      <c r="L1432" s="4" t="s">
        <v>26</v>
      </c>
      <c r="M1432" s="4" t="s">
        <v>26</v>
      </c>
      <c r="N1432" s="3">
        <v>45898</v>
      </c>
      <c r="O1432" s="4" t="s">
        <v>565</v>
      </c>
      <c r="P1432" s="2">
        <v>1000</v>
      </c>
      <c r="Q1432" s="2">
        <v>9305</v>
      </c>
      <c r="R1432" s="4" t="s">
        <v>749</v>
      </c>
      <c r="S1432" s="5">
        <v>150234500</v>
      </c>
    </row>
    <row r="1433" spans="1:19" x14ac:dyDescent="0.25">
      <c r="A1433" s="4" t="s">
        <v>61</v>
      </c>
      <c r="B1433" s="4" t="s">
        <v>59</v>
      </c>
      <c r="C1433" s="4" t="s">
        <v>62</v>
      </c>
      <c r="D1433" s="4" t="s">
        <v>63</v>
      </c>
      <c r="E1433" s="4" t="s">
        <v>148</v>
      </c>
      <c r="F1433" s="4" t="s">
        <v>149</v>
      </c>
      <c r="G1433" s="4" t="s">
        <v>50</v>
      </c>
      <c r="H1433" s="4" t="s">
        <v>26</v>
      </c>
      <c r="I1433" s="5">
        <v>65000000</v>
      </c>
      <c r="J1433" s="5">
        <v>54000</v>
      </c>
      <c r="K1433" s="5">
        <v>5400</v>
      </c>
      <c r="L1433" s="4" t="s">
        <v>26</v>
      </c>
      <c r="M1433" s="4" t="s">
        <v>26</v>
      </c>
      <c r="N1433" s="3">
        <v>45887</v>
      </c>
      <c r="O1433" s="4" t="s">
        <v>584</v>
      </c>
      <c r="P1433" s="2">
        <v>1000</v>
      </c>
      <c r="Q1433" s="2">
        <v>9339</v>
      </c>
      <c r="R1433" s="4" t="s">
        <v>749</v>
      </c>
      <c r="S1433" s="5">
        <v>58699710</v>
      </c>
    </row>
    <row r="1434" spans="1:19" x14ac:dyDescent="0.25">
      <c r="A1434" s="4" t="s">
        <v>61</v>
      </c>
      <c r="B1434" s="4" t="s">
        <v>59</v>
      </c>
      <c r="C1434" s="4" t="s">
        <v>62</v>
      </c>
      <c r="D1434" s="4" t="s">
        <v>63</v>
      </c>
      <c r="E1434" s="4" t="s">
        <v>464</v>
      </c>
      <c r="F1434" s="4" t="s">
        <v>465</v>
      </c>
      <c r="G1434" s="4" t="s">
        <v>190</v>
      </c>
      <c r="H1434" s="4" t="s">
        <v>26</v>
      </c>
      <c r="I1434" s="5">
        <v>90000000</v>
      </c>
      <c r="J1434" s="5">
        <v>524250</v>
      </c>
      <c r="K1434" s="5">
        <v>52425</v>
      </c>
      <c r="L1434" s="4" t="s">
        <v>707</v>
      </c>
      <c r="M1434" s="4" t="s">
        <v>708</v>
      </c>
      <c r="N1434" s="3">
        <v>45897</v>
      </c>
      <c r="O1434" s="4" t="s">
        <v>719</v>
      </c>
      <c r="P1434" s="2">
        <v>1000</v>
      </c>
      <c r="Q1434" s="2">
        <v>9345</v>
      </c>
      <c r="R1434" s="4" t="s">
        <v>769</v>
      </c>
      <c r="S1434" s="5">
        <v>81637020</v>
      </c>
    </row>
    <row r="1435" spans="1:19" x14ac:dyDescent="0.25">
      <c r="A1435" s="4" t="s">
        <v>61</v>
      </c>
      <c r="B1435" s="4" t="s">
        <v>59</v>
      </c>
      <c r="C1435" s="4" t="s">
        <v>62</v>
      </c>
      <c r="D1435" s="4" t="s">
        <v>63</v>
      </c>
      <c r="E1435" s="4" t="s">
        <v>464</v>
      </c>
      <c r="F1435" s="4" t="s">
        <v>465</v>
      </c>
      <c r="G1435" s="4" t="s">
        <v>190</v>
      </c>
      <c r="H1435" s="4" t="s">
        <v>26</v>
      </c>
      <c r="I1435" s="5">
        <v>90000000</v>
      </c>
      <c r="J1435" s="5">
        <v>469000</v>
      </c>
      <c r="K1435" s="5">
        <v>46900</v>
      </c>
      <c r="L1435" s="4" t="s">
        <v>707</v>
      </c>
      <c r="M1435" s="4" t="s">
        <v>708</v>
      </c>
      <c r="N1435" s="3">
        <v>45897</v>
      </c>
      <c r="O1435" s="4" t="s">
        <v>719</v>
      </c>
      <c r="P1435" s="2">
        <v>2000</v>
      </c>
      <c r="Q1435" s="2">
        <v>9345</v>
      </c>
      <c r="R1435" s="4" t="s">
        <v>769</v>
      </c>
      <c r="S1435" s="5">
        <v>81637020</v>
      </c>
    </row>
    <row r="1436" spans="1:19" x14ac:dyDescent="0.25">
      <c r="A1436" s="4" t="s">
        <v>61</v>
      </c>
      <c r="B1436" s="4" t="s">
        <v>59</v>
      </c>
      <c r="C1436" s="4" t="s">
        <v>62</v>
      </c>
      <c r="D1436" s="4" t="s">
        <v>63</v>
      </c>
      <c r="E1436" s="4" t="s">
        <v>92</v>
      </c>
      <c r="F1436" s="4" t="s">
        <v>93</v>
      </c>
      <c r="G1436" s="4" t="s">
        <v>94</v>
      </c>
      <c r="H1436" s="4" t="s">
        <v>26</v>
      </c>
      <c r="I1436" s="5">
        <v>155000000</v>
      </c>
      <c r="J1436" s="5">
        <v>87200</v>
      </c>
      <c r="K1436" s="5">
        <v>8720</v>
      </c>
      <c r="L1436" s="4" t="s">
        <v>26</v>
      </c>
      <c r="M1436" s="4" t="s">
        <v>26</v>
      </c>
      <c r="N1436" s="3">
        <v>45893</v>
      </c>
      <c r="O1436" s="4" t="s">
        <v>51</v>
      </c>
      <c r="P1436" s="2">
        <v>1000</v>
      </c>
      <c r="Q1436" s="2">
        <v>9355</v>
      </c>
      <c r="R1436" s="4" t="s">
        <v>749</v>
      </c>
      <c r="S1436" s="5">
        <v>145558700</v>
      </c>
    </row>
    <row r="1437" spans="1:19" x14ac:dyDescent="0.25">
      <c r="A1437" s="4" t="s">
        <v>61</v>
      </c>
      <c r="B1437" s="4" t="s">
        <v>59</v>
      </c>
      <c r="C1437" s="4" t="s">
        <v>62</v>
      </c>
      <c r="D1437" s="4" t="s">
        <v>63</v>
      </c>
      <c r="E1437" s="4" t="s">
        <v>178</v>
      </c>
      <c r="F1437" s="4" t="s">
        <v>179</v>
      </c>
      <c r="G1437" s="4" t="s">
        <v>124</v>
      </c>
      <c r="H1437" s="4" t="s">
        <v>26</v>
      </c>
      <c r="I1437" s="5">
        <v>65000000</v>
      </c>
      <c r="J1437" s="5">
        <v>34000</v>
      </c>
      <c r="K1437" s="5">
        <v>3400</v>
      </c>
      <c r="L1437" s="4" t="s">
        <v>214</v>
      </c>
      <c r="M1437" s="4" t="s">
        <v>215</v>
      </c>
      <c r="N1437" s="3">
        <v>45887</v>
      </c>
      <c r="O1437" s="4" t="s">
        <v>154</v>
      </c>
      <c r="P1437" s="2">
        <v>1000</v>
      </c>
      <c r="Q1437" s="2">
        <v>9365</v>
      </c>
      <c r="R1437" s="4" t="s">
        <v>26</v>
      </c>
      <c r="S1437" s="5">
        <v>54146650</v>
      </c>
    </row>
    <row r="1438" spans="1:19" x14ac:dyDescent="0.25">
      <c r="A1438" s="4" t="s">
        <v>61</v>
      </c>
      <c r="B1438" s="4" t="s">
        <v>59</v>
      </c>
      <c r="C1438" s="4" t="s">
        <v>62</v>
      </c>
      <c r="D1438" s="4" t="s">
        <v>63</v>
      </c>
      <c r="E1438" s="4" t="s">
        <v>178</v>
      </c>
      <c r="F1438" s="4" t="s">
        <v>179</v>
      </c>
      <c r="G1438" s="4" t="s">
        <v>124</v>
      </c>
      <c r="H1438" s="4" t="s">
        <v>26</v>
      </c>
      <c r="I1438" s="5">
        <v>65000000</v>
      </c>
      <c r="J1438" s="5">
        <v>29750</v>
      </c>
      <c r="K1438" s="5">
        <v>2975</v>
      </c>
      <c r="L1438" s="4" t="s">
        <v>214</v>
      </c>
      <c r="M1438" s="4" t="s">
        <v>215</v>
      </c>
      <c r="N1438" s="3">
        <v>45887</v>
      </c>
      <c r="O1438" s="4" t="s">
        <v>154</v>
      </c>
      <c r="P1438" s="2">
        <v>2000</v>
      </c>
      <c r="Q1438" s="2">
        <v>9365</v>
      </c>
      <c r="R1438" s="4" t="s">
        <v>26</v>
      </c>
      <c r="S1438" s="5">
        <v>54146650</v>
      </c>
    </row>
    <row r="1439" spans="1:19" x14ac:dyDescent="0.25">
      <c r="A1439" s="4" t="s">
        <v>61</v>
      </c>
      <c r="B1439" s="4" t="s">
        <v>59</v>
      </c>
      <c r="C1439" s="4" t="s">
        <v>62</v>
      </c>
      <c r="D1439" s="4" t="s">
        <v>63</v>
      </c>
      <c r="E1439" s="4" t="s">
        <v>155</v>
      </c>
      <c r="F1439" s="4" t="s">
        <v>156</v>
      </c>
      <c r="G1439" s="4" t="s">
        <v>157</v>
      </c>
      <c r="H1439" s="4" t="s">
        <v>26</v>
      </c>
      <c r="I1439" s="5">
        <v>90000000</v>
      </c>
      <c r="J1439" s="5">
        <v>50000</v>
      </c>
      <c r="K1439" s="5">
        <v>5000</v>
      </c>
      <c r="L1439" s="4" t="s">
        <v>158</v>
      </c>
      <c r="M1439" s="4" t="s">
        <v>159</v>
      </c>
      <c r="N1439" s="3">
        <v>45893</v>
      </c>
      <c r="O1439" s="4" t="s">
        <v>459</v>
      </c>
      <c r="P1439" s="2">
        <v>1000</v>
      </c>
      <c r="Q1439" s="2">
        <v>9411</v>
      </c>
      <c r="R1439" s="4" t="s">
        <v>26</v>
      </c>
      <c r="S1439" s="5">
        <v>87868500</v>
      </c>
    </row>
    <row r="1440" spans="1:19" x14ac:dyDescent="0.25">
      <c r="A1440" s="4" t="s">
        <v>61</v>
      </c>
      <c r="B1440" s="4" t="s">
        <v>59</v>
      </c>
      <c r="C1440" s="4" t="s">
        <v>62</v>
      </c>
      <c r="D1440" s="4" t="s">
        <v>63</v>
      </c>
      <c r="E1440" s="4" t="s">
        <v>188</v>
      </c>
      <c r="F1440" s="4" t="s">
        <v>189</v>
      </c>
      <c r="G1440" s="4" t="s">
        <v>190</v>
      </c>
      <c r="H1440" s="4" t="s">
        <v>26</v>
      </c>
      <c r="I1440" s="5">
        <v>90000000</v>
      </c>
      <c r="J1440" s="5">
        <v>38500</v>
      </c>
      <c r="K1440" s="5">
        <v>3850</v>
      </c>
      <c r="L1440" s="4" t="s">
        <v>191</v>
      </c>
      <c r="M1440" s="4" t="s">
        <v>192</v>
      </c>
      <c r="N1440" s="3">
        <v>45887</v>
      </c>
      <c r="O1440" s="4" t="s">
        <v>154</v>
      </c>
      <c r="P1440" s="2">
        <v>1000</v>
      </c>
      <c r="Q1440" s="2">
        <v>9417</v>
      </c>
      <c r="R1440" s="4" t="s">
        <v>755</v>
      </c>
      <c r="S1440" s="5">
        <v>87040690</v>
      </c>
    </row>
    <row r="1441" spans="1:19" x14ac:dyDescent="0.25">
      <c r="A1441" s="4" t="s">
        <v>61</v>
      </c>
      <c r="B1441" s="4" t="s">
        <v>59</v>
      </c>
      <c r="C1441" s="4" t="s">
        <v>62</v>
      </c>
      <c r="D1441" s="4" t="s">
        <v>63</v>
      </c>
      <c r="E1441" s="4" t="s">
        <v>89</v>
      </c>
      <c r="F1441" s="4" t="s">
        <v>90</v>
      </c>
      <c r="G1441" s="4" t="s">
        <v>91</v>
      </c>
      <c r="H1441" s="4" t="s">
        <v>26</v>
      </c>
      <c r="I1441" s="5">
        <v>65000000</v>
      </c>
      <c r="J1441" s="5">
        <v>54000</v>
      </c>
      <c r="K1441" s="5">
        <v>5400</v>
      </c>
      <c r="L1441" s="4" t="s">
        <v>26</v>
      </c>
      <c r="M1441" s="4" t="s">
        <v>26</v>
      </c>
      <c r="N1441" s="3">
        <v>45894</v>
      </c>
      <c r="O1441" s="4" t="s">
        <v>459</v>
      </c>
      <c r="P1441" s="2">
        <v>1000</v>
      </c>
      <c r="Q1441" s="2">
        <v>9566</v>
      </c>
      <c r="R1441" s="4" t="s">
        <v>747</v>
      </c>
      <c r="S1441" s="5">
        <v>60891200</v>
      </c>
    </row>
    <row r="1442" spans="1:19" x14ac:dyDescent="0.25">
      <c r="A1442" s="4" t="s">
        <v>61</v>
      </c>
      <c r="B1442" s="4" t="s">
        <v>59</v>
      </c>
      <c r="C1442" s="4" t="s">
        <v>62</v>
      </c>
      <c r="D1442" s="4" t="s">
        <v>63</v>
      </c>
      <c r="E1442" s="4" t="s">
        <v>193</v>
      </c>
      <c r="F1442" s="4" t="s">
        <v>194</v>
      </c>
      <c r="G1442" s="4" t="s">
        <v>105</v>
      </c>
      <c r="H1442" s="4" t="s">
        <v>26</v>
      </c>
      <c r="I1442" s="5">
        <v>155000000</v>
      </c>
      <c r="J1442" s="5">
        <v>40500</v>
      </c>
      <c r="K1442" s="5">
        <v>4050</v>
      </c>
      <c r="L1442" s="4" t="s">
        <v>195</v>
      </c>
      <c r="M1442" s="4" t="s">
        <v>196</v>
      </c>
      <c r="N1442" s="3">
        <v>45894</v>
      </c>
      <c r="O1442" s="4" t="s">
        <v>459</v>
      </c>
      <c r="P1442" s="2">
        <v>1000</v>
      </c>
      <c r="Q1442" s="2">
        <v>9575</v>
      </c>
      <c r="R1442" s="4" t="s">
        <v>747</v>
      </c>
      <c r="S1442" s="5">
        <v>149540330</v>
      </c>
    </row>
    <row r="1443" spans="1:19" x14ac:dyDescent="0.25">
      <c r="A1443" s="4" t="s">
        <v>61</v>
      </c>
      <c r="B1443" s="4" t="s">
        <v>59</v>
      </c>
      <c r="C1443" s="4" t="s">
        <v>62</v>
      </c>
      <c r="D1443" s="4" t="s">
        <v>63</v>
      </c>
      <c r="E1443" s="4" t="s">
        <v>244</v>
      </c>
      <c r="F1443" s="4" t="s">
        <v>245</v>
      </c>
      <c r="G1443" s="4" t="s">
        <v>246</v>
      </c>
      <c r="H1443" s="4" t="s">
        <v>26</v>
      </c>
      <c r="I1443" s="5">
        <v>155000000</v>
      </c>
      <c r="J1443" s="5">
        <v>49500</v>
      </c>
      <c r="K1443" s="5">
        <v>4950</v>
      </c>
      <c r="L1443" s="4" t="s">
        <v>247</v>
      </c>
      <c r="M1443" s="4" t="s">
        <v>248</v>
      </c>
      <c r="N1443" s="3">
        <v>45894</v>
      </c>
      <c r="O1443" s="4" t="s">
        <v>459</v>
      </c>
      <c r="P1443" s="2">
        <v>1000</v>
      </c>
      <c r="Q1443" s="2">
        <v>9578</v>
      </c>
      <c r="R1443" s="4" t="s">
        <v>747</v>
      </c>
      <c r="S1443" s="5">
        <v>151077800</v>
      </c>
    </row>
    <row r="1444" spans="1:19" x14ac:dyDescent="0.25">
      <c r="A1444" s="4" t="s">
        <v>61</v>
      </c>
      <c r="B1444" s="4" t="s">
        <v>59</v>
      </c>
      <c r="C1444" s="4" t="s">
        <v>62</v>
      </c>
      <c r="D1444" s="4" t="s">
        <v>63</v>
      </c>
      <c r="E1444" s="4" t="s">
        <v>238</v>
      </c>
      <c r="F1444" s="4" t="s">
        <v>239</v>
      </c>
      <c r="G1444" s="4" t="s">
        <v>190</v>
      </c>
      <c r="H1444" s="4" t="s">
        <v>26</v>
      </c>
      <c r="I1444" s="5">
        <v>90000000</v>
      </c>
      <c r="J1444" s="5">
        <v>120000</v>
      </c>
      <c r="K1444" s="5">
        <v>12000</v>
      </c>
      <c r="L1444" s="4" t="s">
        <v>240</v>
      </c>
      <c r="M1444" s="4" t="s">
        <v>241</v>
      </c>
      <c r="N1444" s="3">
        <v>45894</v>
      </c>
      <c r="O1444" s="4" t="s">
        <v>459</v>
      </c>
      <c r="P1444" s="2">
        <v>1000</v>
      </c>
      <c r="Q1444" s="2">
        <v>9624</v>
      </c>
      <c r="R1444" s="4" t="s">
        <v>747</v>
      </c>
      <c r="S1444" s="5">
        <v>88561500</v>
      </c>
    </row>
    <row r="1445" spans="1:19" x14ac:dyDescent="0.25">
      <c r="A1445" s="4" t="s">
        <v>61</v>
      </c>
      <c r="B1445" s="4" t="s">
        <v>59</v>
      </c>
      <c r="C1445" s="4" t="s">
        <v>62</v>
      </c>
      <c r="D1445" s="4" t="s">
        <v>63</v>
      </c>
      <c r="E1445" s="4" t="s">
        <v>238</v>
      </c>
      <c r="F1445" s="4" t="s">
        <v>239</v>
      </c>
      <c r="G1445" s="4" t="s">
        <v>190</v>
      </c>
      <c r="H1445" s="4" t="s">
        <v>26</v>
      </c>
      <c r="I1445" s="5">
        <v>90000000</v>
      </c>
      <c r="J1445" s="5">
        <v>40500</v>
      </c>
      <c r="K1445" s="5">
        <v>4050</v>
      </c>
      <c r="L1445" s="4" t="s">
        <v>240</v>
      </c>
      <c r="M1445" s="4" t="s">
        <v>241</v>
      </c>
      <c r="N1445" s="3">
        <v>45894</v>
      </c>
      <c r="O1445" s="4" t="s">
        <v>459</v>
      </c>
      <c r="P1445" s="2">
        <v>2000</v>
      </c>
      <c r="Q1445" s="2">
        <v>9624</v>
      </c>
      <c r="R1445" s="4" t="s">
        <v>747</v>
      </c>
      <c r="S1445" s="5">
        <v>88561500</v>
      </c>
    </row>
    <row r="1446" spans="1:19" x14ac:dyDescent="0.25">
      <c r="A1446" s="4" t="s">
        <v>61</v>
      </c>
      <c r="B1446" s="4" t="s">
        <v>59</v>
      </c>
      <c r="C1446" s="4" t="s">
        <v>62</v>
      </c>
      <c r="D1446" s="4" t="s">
        <v>63</v>
      </c>
      <c r="E1446" s="4" t="s">
        <v>301</v>
      </c>
      <c r="F1446" s="4" t="s">
        <v>302</v>
      </c>
      <c r="G1446" s="4" t="s">
        <v>157</v>
      </c>
      <c r="H1446" s="4" t="s">
        <v>26</v>
      </c>
      <c r="I1446" s="5">
        <v>90000000</v>
      </c>
      <c r="J1446" s="5">
        <v>150000</v>
      </c>
      <c r="K1446" s="5">
        <v>15000</v>
      </c>
      <c r="L1446" s="4" t="s">
        <v>303</v>
      </c>
      <c r="M1446" s="4" t="s">
        <v>304</v>
      </c>
      <c r="N1446" s="3">
        <v>45898</v>
      </c>
      <c r="O1446" s="4" t="s">
        <v>565</v>
      </c>
      <c r="P1446" s="2">
        <v>1000</v>
      </c>
      <c r="Q1446" s="2">
        <v>9629</v>
      </c>
      <c r="R1446" s="4" t="s">
        <v>768</v>
      </c>
      <c r="S1446" s="5">
        <v>86019450</v>
      </c>
    </row>
    <row r="1447" spans="1:19" x14ac:dyDescent="0.25">
      <c r="A1447" s="4" t="s">
        <v>61</v>
      </c>
      <c r="B1447" s="4" t="s">
        <v>59</v>
      </c>
      <c r="C1447" s="4" t="s">
        <v>62</v>
      </c>
      <c r="D1447" s="4" t="s">
        <v>63</v>
      </c>
      <c r="E1447" s="4" t="s">
        <v>95</v>
      </c>
      <c r="F1447" s="4" t="s">
        <v>96</v>
      </c>
      <c r="G1447" s="4" t="s">
        <v>97</v>
      </c>
      <c r="H1447" s="4" t="s">
        <v>26</v>
      </c>
      <c r="I1447" s="5">
        <v>155000000</v>
      </c>
      <c r="J1447" s="5">
        <v>40500</v>
      </c>
      <c r="K1447" s="5">
        <v>4050</v>
      </c>
      <c r="L1447" s="4" t="s">
        <v>26</v>
      </c>
      <c r="M1447" s="4" t="s">
        <v>26</v>
      </c>
      <c r="N1447" s="3">
        <v>45894</v>
      </c>
      <c r="O1447" s="4" t="s">
        <v>459</v>
      </c>
      <c r="P1447" s="2">
        <v>1000</v>
      </c>
      <c r="Q1447" s="2">
        <v>9640</v>
      </c>
      <c r="R1447" s="4" t="s">
        <v>747</v>
      </c>
      <c r="S1447" s="5">
        <v>154473500</v>
      </c>
    </row>
    <row r="1448" spans="1:19" x14ac:dyDescent="0.25">
      <c r="A1448" s="4" t="s">
        <v>61</v>
      </c>
      <c r="B1448" s="4" t="s">
        <v>59</v>
      </c>
      <c r="C1448" s="4" t="s">
        <v>62</v>
      </c>
      <c r="D1448" s="4" t="s">
        <v>63</v>
      </c>
      <c r="E1448" s="4" t="s">
        <v>131</v>
      </c>
      <c r="F1448" s="4" t="s">
        <v>132</v>
      </c>
      <c r="G1448" s="4" t="s">
        <v>100</v>
      </c>
      <c r="H1448" s="4" t="s">
        <v>26</v>
      </c>
      <c r="I1448" s="5">
        <v>65000000</v>
      </c>
      <c r="J1448" s="5">
        <v>112500</v>
      </c>
      <c r="K1448" s="5">
        <v>11250</v>
      </c>
      <c r="L1448" s="4" t="s">
        <v>133</v>
      </c>
      <c r="M1448" s="4" t="s">
        <v>134</v>
      </c>
      <c r="N1448" s="3">
        <v>45887</v>
      </c>
      <c r="O1448" s="4" t="s">
        <v>154</v>
      </c>
      <c r="P1448" s="2">
        <v>1000</v>
      </c>
      <c r="Q1448" s="2">
        <v>9649</v>
      </c>
      <c r="R1448" s="4" t="s">
        <v>757</v>
      </c>
      <c r="S1448" s="5">
        <v>63739700</v>
      </c>
    </row>
    <row r="1449" spans="1:19" x14ac:dyDescent="0.25">
      <c r="A1449" s="4" t="s">
        <v>61</v>
      </c>
      <c r="B1449" s="4" t="s">
        <v>59</v>
      </c>
      <c r="C1449" s="4" t="s">
        <v>62</v>
      </c>
      <c r="D1449" s="4" t="s">
        <v>63</v>
      </c>
      <c r="E1449" s="4" t="s">
        <v>79</v>
      </c>
      <c r="F1449" s="4" t="s">
        <v>80</v>
      </c>
      <c r="G1449" s="4" t="s">
        <v>81</v>
      </c>
      <c r="H1449" s="4" t="s">
        <v>26</v>
      </c>
      <c r="I1449" s="5">
        <v>65000000</v>
      </c>
      <c r="J1449" s="5">
        <v>116100</v>
      </c>
      <c r="K1449" s="5">
        <v>11610</v>
      </c>
      <c r="L1449" s="4" t="s">
        <v>402</v>
      </c>
      <c r="M1449" s="4" t="s">
        <v>403</v>
      </c>
      <c r="N1449" s="3">
        <v>45894</v>
      </c>
      <c r="O1449" s="4" t="s">
        <v>459</v>
      </c>
      <c r="P1449" s="2">
        <v>1000</v>
      </c>
      <c r="Q1449" s="2">
        <v>9682</v>
      </c>
      <c r="R1449" s="4" t="s">
        <v>755</v>
      </c>
      <c r="S1449" s="5">
        <v>61690700</v>
      </c>
    </row>
    <row r="1450" spans="1:19" x14ac:dyDescent="0.25">
      <c r="A1450" s="4" t="s">
        <v>61</v>
      </c>
      <c r="B1450" s="4" t="s">
        <v>59</v>
      </c>
      <c r="C1450" s="4" t="s">
        <v>62</v>
      </c>
      <c r="D1450" s="4" t="s">
        <v>63</v>
      </c>
      <c r="E1450" s="4" t="s">
        <v>79</v>
      </c>
      <c r="F1450" s="4" t="s">
        <v>80</v>
      </c>
      <c r="G1450" s="4" t="s">
        <v>81</v>
      </c>
      <c r="H1450" s="4" t="s">
        <v>26</v>
      </c>
      <c r="I1450" s="5">
        <v>65000000</v>
      </c>
      <c r="J1450" s="5">
        <v>107100</v>
      </c>
      <c r="K1450" s="5">
        <v>10710</v>
      </c>
      <c r="L1450" s="4" t="s">
        <v>402</v>
      </c>
      <c r="M1450" s="4" t="s">
        <v>403</v>
      </c>
      <c r="N1450" s="3">
        <v>45894</v>
      </c>
      <c r="O1450" s="4" t="s">
        <v>459</v>
      </c>
      <c r="P1450" s="2">
        <v>2000</v>
      </c>
      <c r="Q1450" s="2">
        <v>9682</v>
      </c>
      <c r="R1450" s="4" t="s">
        <v>755</v>
      </c>
      <c r="S1450" s="5">
        <v>61690700</v>
      </c>
    </row>
    <row r="1451" spans="1:19" x14ac:dyDescent="0.25">
      <c r="A1451" s="4" t="s">
        <v>61</v>
      </c>
      <c r="B1451" s="4" t="s">
        <v>59</v>
      </c>
      <c r="C1451" s="4" t="s">
        <v>62</v>
      </c>
      <c r="D1451" s="4" t="s">
        <v>63</v>
      </c>
      <c r="E1451" s="4" t="s">
        <v>148</v>
      </c>
      <c r="F1451" s="4" t="s">
        <v>149</v>
      </c>
      <c r="G1451" s="4" t="s">
        <v>50</v>
      </c>
      <c r="H1451" s="4" t="s">
        <v>26</v>
      </c>
      <c r="I1451" s="5">
        <v>65000000</v>
      </c>
      <c r="J1451" s="5">
        <v>57000</v>
      </c>
      <c r="K1451" s="5">
        <v>5700</v>
      </c>
      <c r="L1451" s="4" t="s">
        <v>26</v>
      </c>
      <c r="M1451" s="4" t="s">
        <v>26</v>
      </c>
      <c r="N1451" s="3">
        <v>45894</v>
      </c>
      <c r="O1451" s="4" t="s">
        <v>459</v>
      </c>
      <c r="P1451" s="2">
        <v>1000</v>
      </c>
      <c r="Q1451" s="2">
        <v>9769</v>
      </c>
      <c r="R1451" s="4" t="s">
        <v>84</v>
      </c>
      <c r="S1451" s="5">
        <v>58699710</v>
      </c>
    </row>
    <row r="1452" spans="1:19" x14ac:dyDescent="0.25">
      <c r="A1452" s="4" t="s">
        <v>61</v>
      </c>
      <c r="B1452" s="4" t="s">
        <v>59</v>
      </c>
      <c r="C1452" s="4" t="s">
        <v>62</v>
      </c>
      <c r="D1452" s="4" t="s">
        <v>63</v>
      </c>
      <c r="E1452" s="4" t="s">
        <v>92</v>
      </c>
      <c r="F1452" s="4" t="s">
        <v>93</v>
      </c>
      <c r="G1452" s="4" t="s">
        <v>94</v>
      </c>
      <c r="H1452" s="4" t="s">
        <v>26</v>
      </c>
      <c r="I1452" s="5">
        <v>155000000</v>
      </c>
      <c r="J1452" s="5">
        <v>39200</v>
      </c>
      <c r="K1452" s="5">
        <v>3920</v>
      </c>
      <c r="L1452" s="4" t="s">
        <v>26</v>
      </c>
      <c r="M1452" s="4" t="s">
        <v>26</v>
      </c>
      <c r="N1452" s="3">
        <v>45894</v>
      </c>
      <c r="O1452" s="4" t="s">
        <v>51</v>
      </c>
      <c r="P1452" s="2">
        <v>1000</v>
      </c>
      <c r="Q1452" s="2">
        <v>9800</v>
      </c>
      <c r="R1452" s="4" t="s">
        <v>749</v>
      </c>
      <c r="S1452" s="5">
        <v>145558700</v>
      </c>
    </row>
    <row r="1453" spans="1:19" x14ac:dyDescent="0.25">
      <c r="A1453" s="4" t="s">
        <v>61</v>
      </c>
      <c r="B1453" s="4" t="s">
        <v>59</v>
      </c>
      <c r="C1453" s="4" t="s">
        <v>62</v>
      </c>
      <c r="D1453" s="4" t="s">
        <v>63</v>
      </c>
      <c r="E1453" s="4" t="s">
        <v>103</v>
      </c>
      <c r="F1453" s="4" t="s">
        <v>104</v>
      </c>
      <c r="G1453" s="4" t="s">
        <v>105</v>
      </c>
      <c r="H1453" s="4" t="s">
        <v>26</v>
      </c>
      <c r="I1453" s="5">
        <v>155000000</v>
      </c>
      <c r="J1453" s="5">
        <v>39200</v>
      </c>
      <c r="K1453" s="5">
        <v>3920</v>
      </c>
      <c r="L1453" s="4" t="s">
        <v>26</v>
      </c>
      <c r="M1453" s="4" t="s">
        <v>26</v>
      </c>
      <c r="N1453" s="3">
        <v>45894</v>
      </c>
      <c r="O1453" s="4" t="s">
        <v>51</v>
      </c>
      <c r="P1453" s="2">
        <v>1000</v>
      </c>
      <c r="Q1453" s="2">
        <v>9806</v>
      </c>
      <c r="R1453" s="4" t="s">
        <v>749</v>
      </c>
      <c r="S1453" s="5">
        <v>150234500</v>
      </c>
    </row>
    <row r="1454" spans="1:19" x14ac:dyDescent="0.25">
      <c r="A1454" s="4" t="s">
        <v>61</v>
      </c>
      <c r="B1454" s="4" t="s">
        <v>59</v>
      </c>
      <c r="C1454" s="4" t="s">
        <v>62</v>
      </c>
      <c r="D1454" s="4" t="s">
        <v>63</v>
      </c>
      <c r="E1454" s="4" t="s">
        <v>85</v>
      </c>
      <c r="F1454" s="4" t="s">
        <v>86</v>
      </c>
      <c r="G1454" s="4" t="s">
        <v>50</v>
      </c>
      <c r="H1454" s="4" t="s">
        <v>26</v>
      </c>
      <c r="I1454" s="5">
        <v>65000000</v>
      </c>
      <c r="J1454" s="5">
        <v>54000</v>
      </c>
      <c r="K1454" s="5">
        <v>5400</v>
      </c>
      <c r="L1454" s="4" t="s">
        <v>26</v>
      </c>
      <c r="M1454" s="4" t="s">
        <v>26</v>
      </c>
      <c r="N1454" s="3">
        <v>45894</v>
      </c>
      <c r="O1454" s="4" t="s">
        <v>51</v>
      </c>
      <c r="P1454" s="2">
        <v>1000</v>
      </c>
      <c r="Q1454" s="2">
        <v>9845</v>
      </c>
      <c r="R1454" s="4" t="s">
        <v>749</v>
      </c>
      <c r="S1454" s="5">
        <v>63946000</v>
      </c>
    </row>
    <row r="1455" spans="1:19" x14ac:dyDescent="0.25">
      <c r="A1455" s="4" t="s">
        <v>61</v>
      </c>
      <c r="B1455" s="4" t="s">
        <v>59</v>
      </c>
      <c r="C1455" s="4" t="s">
        <v>62</v>
      </c>
      <c r="D1455" s="4" t="s">
        <v>63</v>
      </c>
      <c r="E1455" s="4" t="s">
        <v>85</v>
      </c>
      <c r="F1455" s="4" t="s">
        <v>86</v>
      </c>
      <c r="G1455" s="4" t="s">
        <v>50</v>
      </c>
      <c r="H1455" s="4" t="s">
        <v>26</v>
      </c>
      <c r="I1455" s="5">
        <v>65000000</v>
      </c>
      <c r="J1455" s="5">
        <v>76500</v>
      </c>
      <c r="K1455" s="5">
        <v>7650</v>
      </c>
      <c r="L1455" s="4" t="s">
        <v>26</v>
      </c>
      <c r="M1455" s="4" t="s">
        <v>26</v>
      </c>
      <c r="N1455" s="3">
        <v>45894</v>
      </c>
      <c r="O1455" s="4" t="s">
        <v>51</v>
      </c>
      <c r="P1455" s="2">
        <v>2000</v>
      </c>
      <c r="Q1455" s="2">
        <v>9845</v>
      </c>
      <c r="R1455" s="4" t="s">
        <v>749</v>
      </c>
      <c r="S1455" s="5">
        <v>63946000</v>
      </c>
    </row>
    <row r="1456" spans="1:19" x14ac:dyDescent="0.25">
      <c r="A1456" s="4" t="s">
        <v>61</v>
      </c>
      <c r="B1456" s="4" t="s">
        <v>59</v>
      </c>
      <c r="C1456" s="4" t="s">
        <v>62</v>
      </c>
      <c r="D1456" s="4" t="s">
        <v>63</v>
      </c>
      <c r="E1456" s="4" t="s">
        <v>85</v>
      </c>
      <c r="F1456" s="4" t="s">
        <v>86</v>
      </c>
      <c r="G1456" s="4" t="s">
        <v>50</v>
      </c>
      <c r="H1456" s="4" t="s">
        <v>26</v>
      </c>
      <c r="I1456" s="5">
        <v>65000000</v>
      </c>
      <c r="J1456" s="5">
        <v>54000</v>
      </c>
      <c r="K1456" s="5">
        <v>5400</v>
      </c>
      <c r="L1456" s="4" t="s">
        <v>26</v>
      </c>
      <c r="M1456" s="4" t="s">
        <v>26</v>
      </c>
      <c r="N1456" s="3">
        <v>45894</v>
      </c>
      <c r="O1456" s="4" t="s">
        <v>51</v>
      </c>
      <c r="P1456" s="2">
        <v>1000</v>
      </c>
      <c r="Q1456" s="2">
        <v>9853</v>
      </c>
      <c r="R1456" s="4" t="s">
        <v>749</v>
      </c>
      <c r="S1456" s="5">
        <v>63946000</v>
      </c>
    </row>
    <row r="1457" spans="1:19" x14ac:dyDescent="0.25">
      <c r="A1457" s="4" t="s">
        <v>61</v>
      </c>
      <c r="B1457" s="4" t="s">
        <v>59</v>
      </c>
      <c r="C1457" s="4" t="s">
        <v>62</v>
      </c>
      <c r="D1457" s="4" t="s">
        <v>63</v>
      </c>
      <c r="E1457" s="4" t="s">
        <v>220</v>
      </c>
      <c r="F1457" s="4" t="s">
        <v>221</v>
      </c>
      <c r="G1457" s="4" t="s">
        <v>222</v>
      </c>
      <c r="H1457" s="4" t="s">
        <v>26</v>
      </c>
      <c r="I1457" s="5">
        <v>110000000</v>
      </c>
      <c r="J1457" s="5">
        <v>54000</v>
      </c>
      <c r="K1457" s="5">
        <v>5400</v>
      </c>
      <c r="L1457" s="4" t="s">
        <v>240</v>
      </c>
      <c r="M1457" s="4" t="s">
        <v>241</v>
      </c>
      <c r="N1457" s="3">
        <v>45895</v>
      </c>
      <c r="O1457" s="4" t="s">
        <v>459</v>
      </c>
      <c r="P1457" s="2">
        <v>1000</v>
      </c>
      <c r="Q1457" s="2">
        <v>9854</v>
      </c>
      <c r="R1457" s="4" t="s">
        <v>26</v>
      </c>
      <c r="S1457" s="5">
        <v>109093400</v>
      </c>
    </row>
    <row r="1458" spans="1:19" x14ac:dyDescent="0.25">
      <c r="A1458" s="4" t="s">
        <v>61</v>
      </c>
      <c r="B1458" s="4" t="s">
        <v>59</v>
      </c>
      <c r="C1458" s="4" t="s">
        <v>62</v>
      </c>
      <c r="D1458" s="4" t="s">
        <v>63</v>
      </c>
      <c r="E1458" s="4" t="s">
        <v>103</v>
      </c>
      <c r="F1458" s="4" t="s">
        <v>104</v>
      </c>
      <c r="G1458" s="4" t="s">
        <v>105</v>
      </c>
      <c r="H1458" s="4" t="s">
        <v>26</v>
      </c>
      <c r="I1458" s="5">
        <v>155000000</v>
      </c>
      <c r="J1458" s="5">
        <v>87200</v>
      </c>
      <c r="K1458" s="5">
        <v>8720</v>
      </c>
      <c r="L1458" s="4" t="s">
        <v>26</v>
      </c>
      <c r="M1458" s="4" t="s">
        <v>26</v>
      </c>
      <c r="N1458" s="3">
        <v>45894</v>
      </c>
      <c r="O1458" s="4" t="s">
        <v>51</v>
      </c>
      <c r="P1458" s="2">
        <v>1000</v>
      </c>
      <c r="Q1458" s="2">
        <v>9859</v>
      </c>
      <c r="R1458" s="4" t="s">
        <v>749</v>
      </c>
      <c r="S1458" s="5">
        <v>150234500</v>
      </c>
    </row>
    <row r="1459" spans="1:19" x14ac:dyDescent="0.25">
      <c r="A1459" s="4" t="s">
        <v>61</v>
      </c>
      <c r="B1459" s="4" t="s">
        <v>59</v>
      </c>
      <c r="C1459" s="4" t="s">
        <v>62</v>
      </c>
      <c r="D1459" s="4" t="s">
        <v>63</v>
      </c>
      <c r="E1459" s="4" t="s">
        <v>103</v>
      </c>
      <c r="F1459" s="4" t="s">
        <v>104</v>
      </c>
      <c r="G1459" s="4" t="s">
        <v>105</v>
      </c>
      <c r="H1459" s="4" t="s">
        <v>26</v>
      </c>
      <c r="I1459" s="5">
        <v>155000000</v>
      </c>
      <c r="J1459" s="5">
        <v>87200</v>
      </c>
      <c r="K1459" s="5">
        <v>8720</v>
      </c>
      <c r="L1459" s="4" t="s">
        <v>26</v>
      </c>
      <c r="M1459" s="4" t="s">
        <v>26</v>
      </c>
      <c r="N1459" s="3">
        <v>45894</v>
      </c>
      <c r="O1459" s="4" t="s">
        <v>51</v>
      </c>
      <c r="P1459" s="2">
        <v>1000</v>
      </c>
      <c r="Q1459" s="2">
        <v>9860</v>
      </c>
      <c r="R1459" s="4" t="s">
        <v>749</v>
      </c>
      <c r="S1459" s="5">
        <v>150234500</v>
      </c>
    </row>
    <row r="1460" spans="1:19" x14ac:dyDescent="0.25">
      <c r="A1460" s="4" t="s">
        <v>61</v>
      </c>
      <c r="B1460" s="4" t="s">
        <v>59</v>
      </c>
      <c r="C1460" s="4" t="s">
        <v>62</v>
      </c>
      <c r="D1460" s="4" t="s">
        <v>63</v>
      </c>
      <c r="E1460" s="4" t="s">
        <v>206</v>
      </c>
      <c r="F1460" s="4" t="s">
        <v>207</v>
      </c>
      <c r="G1460" s="4" t="s">
        <v>97</v>
      </c>
      <c r="H1460" s="4" t="s">
        <v>26</v>
      </c>
      <c r="I1460" s="5">
        <v>155000000</v>
      </c>
      <c r="J1460" s="5">
        <v>49500</v>
      </c>
      <c r="K1460" s="5">
        <v>4950</v>
      </c>
      <c r="L1460" s="4" t="s">
        <v>208</v>
      </c>
      <c r="M1460" s="4" t="s">
        <v>209</v>
      </c>
      <c r="N1460" s="3">
        <v>45895</v>
      </c>
      <c r="O1460" s="4" t="s">
        <v>459</v>
      </c>
      <c r="P1460" s="2">
        <v>1000</v>
      </c>
      <c r="Q1460" s="2">
        <v>9866</v>
      </c>
      <c r="R1460" s="4" t="s">
        <v>747</v>
      </c>
      <c r="S1460" s="5">
        <v>153252100</v>
      </c>
    </row>
    <row r="1461" spans="1:19" x14ac:dyDescent="0.25">
      <c r="A1461" s="4" t="s">
        <v>61</v>
      </c>
      <c r="B1461" s="4" t="s">
        <v>59</v>
      </c>
      <c r="C1461" s="4" t="s">
        <v>62</v>
      </c>
      <c r="D1461" s="4" t="s">
        <v>63</v>
      </c>
      <c r="E1461" s="4" t="s">
        <v>206</v>
      </c>
      <c r="F1461" s="4" t="s">
        <v>207</v>
      </c>
      <c r="G1461" s="4" t="s">
        <v>97</v>
      </c>
      <c r="H1461" s="4" t="s">
        <v>26</v>
      </c>
      <c r="I1461" s="5">
        <v>155000000</v>
      </c>
      <c r="J1461" s="5">
        <v>10000</v>
      </c>
      <c r="K1461" s="5">
        <v>1000</v>
      </c>
      <c r="L1461" s="4" t="s">
        <v>208</v>
      </c>
      <c r="M1461" s="4" t="s">
        <v>209</v>
      </c>
      <c r="N1461" s="3">
        <v>45895</v>
      </c>
      <c r="O1461" s="4" t="s">
        <v>459</v>
      </c>
      <c r="P1461" s="2">
        <v>2000</v>
      </c>
      <c r="Q1461" s="2">
        <v>9866</v>
      </c>
      <c r="R1461" s="4" t="s">
        <v>747</v>
      </c>
      <c r="S1461" s="5">
        <v>153252100</v>
      </c>
    </row>
    <row r="1462" spans="1:19" x14ac:dyDescent="0.25">
      <c r="A1462" s="4" t="s">
        <v>61</v>
      </c>
      <c r="B1462" s="4" t="s">
        <v>59</v>
      </c>
      <c r="C1462" s="4" t="s">
        <v>62</v>
      </c>
      <c r="D1462" s="4" t="s">
        <v>63</v>
      </c>
      <c r="E1462" s="4" t="s">
        <v>244</v>
      </c>
      <c r="F1462" s="4" t="s">
        <v>245</v>
      </c>
      <c r="G1462" s="4" t="s">
        <v>246</v>
      </c>
      <c r="H1462" s="4" t="s">
        <v>26</v>
      </c>
      <c r="I1462" s="5">
        <v>155000000</v>
      </c>
      <c r="J1462" s="5">
        <v>49500</v>
      </c>
      <c r="K1462" s="5">
        <v>4950</v>
      </c>
      <c r="L1462" s="4" t="s">
        <v>247</v>
      </c>
      <c r="M1462" s="4" t="s">
        <v>248</v>
      </c>
      <c r="N1462" s="3">
        <v>45895</v>
      </c>
      <c r="O1462" s="4" t="s">
        <v>459</v>
      </c>
      <c r="P1462" s="2">
        <v>1000</v>
      </c>
      <c r="Q1462" s="2">
        <v>9867</v>
      </c>
      <c r="R1462" s="4" t="s">
        <v>26</v>
      </c>
      <c r="S1462" s="5">
        <v>151077800</v>
      </c>
    </row>
    <row r="1463" spans="1:19" x14ac:dyDescent="0.25">
      <c r="A1463" s="4" t="s">
        <v>61</v>
      </c>
      <c r="B1463" s="4" t="s">
        <v>59</v>
      </c>
      <c r="C1463" s="4" t="s">
        <v>62</v>
      </c>
      <c r="D1463" s="4" t="s">
        <v>63</v>
      </c>
      <c r="E1463" s="4" t="s">
        <v>275</v>
      </c>
      <c r="F1463" s="4" t="s">
        <v>276</v>
      </c>
      <c r="G1463" s="4" t="s">
        <v>115</v>
      </c>
      <c r="H1463" s="4" t="s">
        <v>26</v>
      </c>
      <c r="I1463" s="5">
        <v>65000000</v>
      </c>
      <c r="J1463" s="5">
        <v>75000</v>
      </c>
      <c r="K1463" s="5">
        <v>7500</v>
      </c>
      <c r="L1463" s="4" t="s">
        <v>535</v>
      </c>
      <c r="M1463" s="4" t="s">
        <v>536</v>
      </c>
      <c r="N1463" s="3">
        <v>45899</v>
      </c>
      <c r="O1463" s="4" t="s">
        <v>716</v>
      </c>
      <c r="P1463" s="2">
        <v>1000</v>
      </c>
      <c r="Q1463" s="2">
        <v>9900</v>
      </c>
      <c r="R1463" s="4" t="s">
        <v>604</v>
      </c>
      <c r="S1463" s="5">
        <v>63302500</v>
      </c>
    </row>
    <row r="1464" spans="1:19" x14ac:dyDescent="0.25">
      <c r="A1464" s="4" t="s">
        <v>61</v>
      </c>
      <c r="B1464" s="4" t="s">
        <v>59</v>
      </c>
      <c r="C1464" s="4" t="s">
        <v>62</v>
      </c>
      <c r="D1464" s="4" t="s">
        <v>63</v>
      </c>
      <c r="E1464" s="4" t="s">
        <v>275</v>
      </c>
      <c r="F1464" s="4" t="s">
        <v>276</v>
      </c>
      <c r="G1464" s="4" t="s">
        <v>115</v>
      </c>
      <c r="H1464" s="4" t="s">
        <v>26</v>
      </c>
      <c r="I1464" s="5">
        <v>65000000</v>
      </c>
      <c r="J1464" s="5">
        <v>75000</v>
      </c>
      <c r="K1464" s="5">
        <v>7500</v>
      </c>
      <c r="L1464" s="4" t="s">
        <v>535</v>
      </c>
      <c r="M1464" s="4" t="s">
        <v>536</v>
      </c>
      <c r="N1464" s="3">
        <v>45899</v>
      </c>
      <c r="O1464" s="4" t="s">
        <v>716</v>
      </c>
      <c r="P1464" s="2">
        <v>2000</v>
      </c>
      <c r="Q1464" s="2">
        <v>9900</v>
      </c>
      <c r="R1464" s="4" t="s">
        <v>604</v>
      </c>
      <c r="S1464" s="5">
        <v>63302500</v>
      </c>
    </row>
    <row r="1465" spans="1:19" x14ac:dyDescent="0.25">
      <c r="A1465" s="4" t="s">
        <v>61</v>
      </c>
      <c r="B1465" s="4" t="s">
        <v>59</v>
      </c>
      <c r="C1465" s="4" t="s">
        <v>62</v>
      </c>
      <c r="D1465" s="4" t="s">
        <v>63</v>
      </c>
      <c r="E1465" s="4" t="s">
        <v>275</v>
      </c>
      <c r="F1465" s="4" t="s">
        <v>276</v>
      </c>
      <c r="G1465" s="4" t="s">
        <v>115</v>
      </c>
      <c r="H1465" s="4" t="s">
        <v>26</v>
      </c>
      <c r="I1465" s="5">
        <v>65000000</v>
      </c>
      <c r="J1465" s="5">
        <v>75000</v>
      </c>
      <c r="K1465" s="5">
        <v>7500</v>
      </c>
      <c r="L1465" s="4" t="s">
        <v>535</v>
      </c>
      <c r="M1465" s="4" t="s">
        <v>536</v>
      </c>
      <c r="N1465" s="3">
        <v>45899</v>
      </c>
      <c r="O1465" s="4" t="s">
        <v>716</v>
      </c>
      <c r="P1465" s="2">
        <v>3000</v>
      </c>
      <c r="Q1465" s="2">
        <v>9900</v>
      </c>
      <c r="R1465" s="4" t="s">
        <v>604</v>
      </c>
      <c r="S1465" s="5">
        <v>63302500</v>
      </c>
    </row>
    <row r="1466" spans="1:19" x14ac:dyDescent="0.25">
      <c r="A1466" s="4" t="s">
        <v>61</v>
      </c>
      <c r="B1466" s="4" t="s">
        <v>59</v>
      </c>
      <c r="C1466" s="4" t="s">
        <v>62</v>
      </c>
      <c r="D1466" s="4" t="s">
        <v>63</v>
      </c>
      <c r="E1466" s="4" t="s">
        <v>275</v>
      </c>
      <c r="F1466" s="4" t="s">
        <v>276</v>
      </c>
      <c r="G1466" s="4" t="s">
        <v>115</v>
      </c>
      <c r="H1466" s="4" t="s">
        <v>26</v>
      </c>
      <c r="I1466" s="5">
        <v>65000000</v>
      </c>
      <c r="J1466" s="5">
        <v>75000</v>
      </c>
      <c r="K1466" s="5">
        <v>7500</v>
      </c>
      <c r="L1466" s="4" t="s">
        <v>535</v>
      </c>
      <c r="M1466" s="4" t="s">
        <v>536</v>
      </c>
      <c r="N1466" s="3">
        <v>45899</v>
      </c>
      <c r="O1466" s="4" t="s">
        <v>716</v>
      </c>
      <c r="P1466" s="2">
        <v>4000</v>
      </c>
      <c r="Q1466" s="2">
        <v>9900</v>
      </c>
      <c r="R1466" s="4" t="s">
        <v>604</v>
      </c>
      <c r="S1466" s="5">
        <v>63302500</v>
      </c>
    </row>
    <row r="1467" spans="1:19" x14ac:dyDescent="0.25">
      <c r="A1467" s="4" t="s">
        <v>61</v>
      </c>
      <c r="B1467" s="4" t="s">
        <v>59</v>
      </c>
      <c r="C1467" s="4" t="s">
        <v>62</v>
      </c>
      <c r="D1467" s="4" t="s">
        <v>63</v>
      </c>
      <c r="E1467" s="4" t="s">
        <v>275</v>
      </c>
      <c r="F1467" s="4" t="s">
        <v>276</v>
      </c>
      <c r="G1467" s="4" t="s">
        <v>115</v>
      </c>
      <c r="H1467" s="4" t="s">
        <v>26</v>
      </c>
      <c r="I1467" s="5">
        <v>65000000</v>
      </c>
      <c r="J1467" s="5">
        <v>75000</v>
      </c>
      <c r="K1467" s="5">
        <v>7500</v>
      </c>
      <c r="L1467" s="4" t="s">
        <v>535</v>
      </c>
      <c r="M1467" s="4" t="s">
        <v>536</v>
      </c>
      <c r="N1467" s="3">
        <v>45899</v>
      </c>
      <c r="O1467" s="4" t="s">
        <v>716</v>
      </c>
      <c r="P1467" s="2">
        <v>5000</v>
      </c>
      <c r="Q1467" s="2">
        <v>9900</v>
      </c>
      <c r="R1467" s="4" t="s">
        <v>604</v>
      </c>
      <c r="S1467" s="5">
        <v>63302500</v>
      </c>
    </row>
    <row r="1468" spans="1:19" x14ac:dyDescent="0.25">
      <c r="A1468" s="4" t="s">
        <v>61</v>
      </c>
      <c r="B1468" s="4" t="s">
        <v>59</v>
      </c>
      <c r="C1468" s="4" t="s">
        <v>62</v>
      </c>
      <c r="D1468" s="4" t="s">
        <v>63</v>
      </c>
      <c r="E1468" s="4" t="s">
        <v>275</v>
      </c>
      <c r="F1468" s="4" t="s">
        <v>276</v>
      </c>
      <c r="G1468" s="4" t="s">
        <v>115</v>
      </c>
      <c r="H1468" s="4" t="s">
        <v>26</v>
      </c>
      <c r="I1468" s="5">
        <v>65000000</v>
      </c>
      <c r="J1468" s="5">
        <v>75000</v>
      </c>
      <c r="K1468" s="5">
        <v>7500</v>
      </c>
      <c r="L1468" s="4" t="s">
        <v>535</v>
      </c>
      <c r="M1468" s="4" t="s">
        <v>536</v>
      </c>
      <c r="N1468" s="3">
        <v>45899</v>
      </c>
      <c r="O1468" s="4" t="s">
        <v>716</v>
      </c>
      <c r="P1468" s="2">
        <v>6000</v>
      </c>
      <c r="Q1468" s="2">
        <v>9900</v>
      </c>
      <c r="R1468" s="4" t="s">
        <v>604</v>
      </c>
      <c r="S1468" s="5">
        <v>63302500</v>
      </c>
    </row>
    <row r="1469" spans="1:19" x14ac:dyDescent="0.25">
      <c r="A1469" s="4" t="s">
        <v>61</v>
      </c>
      <c r="B1469" s="4" t="s">
        <v>59</v>
      </c>
      <c r="C1469" s="4" t="s">
        <v>62</v>
      </c>
      <c r="D1469" s="4" t="s">
        <v>63</v>
      </c>
      <c r="E1469" s="4" t="s">
        <v>275</v>
      </c>
      <c r="F1469" s="4" t="s">
        <v>276</v>
      </c>
      <c r="G1469" s="4" t="s">
        <v>115</v>
      </c>
      <c r="H1469" s="4" t="s">
        <v>26</v>
      </c>
      <c r="I1469" s="5">
        <v>65000000</v>
      </c>
      <c r="J1469" s="5">
        <v>297500</v>
      </c>
      <c r="K1469" s="5">
        <v>29750</v>
      </c>
      <c r="L1469" s="4" t="s">
        <v>535</v>
      </c>
      <c r="M1469" s="4" t="s">
        <v>536</v>
      </c>
      <c r="N1469" s="3">
        <v>45899</v>
      </c>
      <c r="O1469" s="4" t="s">
        <v>716</v>
      </c>
      <c r="P1469" s="2">
        <v>7000</v>
      </c>
      <c r="Q1469" s="2">
        <v>9900</v>
      </c>
      <c r="R1469" s="4" t="s">
        <v>604</v>
      </c>
      <c r="S1469" s="5">
        <v>63302500</v>
      </c>
    </row>
    <row r="1470" spans="1:19" x14ac:dyDescent="0.25">
      <c r="A1470" s="4" t="s">
        <v>61</v>
      </c>
      <c r="B1470" s="4" t="s">
        <v>59</v>
      </c>
      <c r="C1470" s="4" t="s">
        <v>62</v>
      </c>
      <c r="D1470" s="4" t="s">
        <v>63</v>
      </c>
      <c r="E1470" s="4" t="s">
        <v>174</v>
      </c>
      <c r="F1470" s="4" t="s">
        <v>175</v>
      </c>
      <c r="G1470" s="4" t="s">
        <v>50</v>
      </c>
      <c r="H1470" s="4" t="s">
        <v>26</v>
      </c>
      <c r="I1470" s="5">
        <v>65000000</v>
      </c>
      <c r="J1470" s="5">
        <v>75000</v>
      </c>
      <c r="K1470" s="5">
        <v>7500</v>
      </c>
      <c r="L1470" s="4" t="s">
        <v>730</v>
      </c>
      <c r="M1470" s="4" t="s">
        <v>731</v>
      </c>
      <c r="N1470" s="3">
        <v>45898</v>
      </c>
      <c r="O1470" s="4" t="s">
        <v>719</v>
      </c>
      <c r="P1470" s="2">
        <v>1000</v>
      </c>
      <c r="Q1470" s="2">
        <v>9902</v>
      </c>
      <c r="R1470" s="4" t="s">
        <v>756</v>
      </c>
      <c r="S1470" s="5">
        <v>63740700</v>
      </c>
    </row>
    <row r="1471" spans="1:19" x14ac:dyDescent="0.25">
      <c r="A1471" s="4" t="s">
        <v>61</v>
      </c>
      <c r="B1471" s="4" t="s">
        <v>59</v>
      </c>
      <c r="C1471" s="4" t="s">
        <v>62</v>
      </c>
      <c r="D1471" s="4" t="s">
        <v>63</v>
      </c>
      <c r="E1471" s="4" t="s">
        <v>174</v>
      </c>
      <c r="F1471" s="4" t="s">
        <v>175</v>
      </c>
      <c r="G1471" s="4" t="s">
        <v>50</v>
      </c>
      <c r="H1471" s="4" t="s">
        <v>26</v>
      </c>
      <c r="I1471" s="5">
        <v>65000000</v>
      </c>
      <c r="J1471" s="5">
        <v>75000</v>
      </c>
      <c r="K1471" s="5">
        <v>7500</v>
      </c>
      <c r="L1471" s="4" t="s">
        <v>730</v>
      </c>
      <c r="M1471" s="4" t="s">
        <v>731</v>
      </c>
      <c r="N1471" s="3">
        <v>45898</v>
      </c>
      <c r="O1471" s="4" t="s">
        <v>719</v>
      </c>
      <c r="P1471" s="2">
        <v>2000</v>
      </c>
      <c r="Q1471" s="2">
        <v>9902</v>
      </c>
      <c r="R1471" s="4" t="s">
        <v>756</v>
      </c>
      <c r="S1471" s="5">
        <v>63740700</v>
      </c>
    </row>
    <row r="1472" spans="1:19" x14ac:dyDescent="0.25">
      <c r="A1472" s="4" t="s">
        <v>61</v>
      </c>
      <c r="B1472" s="4" t="s">
        <v>59</v>
      </c>
      <c r="C1472" s="4" t="s">
        <v>62</v>
      </c>
      <c r="D1472" s="4" t="s">
        <v>63</v>
      </c>
      <c r="E1472" s="4" t="s">
        <v>174</v>
      </c>
      <c r="F1472" s="4" t="s">
        <v>175</v>
      </c>
      <c r="G1472" s="4" t="s">
        <v>50</v>
      </c>
      <c r="H1472" s="4" t="s">
        <v>26</v>
      </c>
      <c r="I1472" s="5">
        <v>65000000</v>
      </c>
      <c r="J1472" s="5">
        <v>75000</v>
      </c>
      <c r="K1472" s="5">
        <v>7500</v>
      </c>
      <c r="L1472" s="4" t="s">
        <v>730</v>
      </c>
      <c r="M1472" s="4" t="s">
        <v>731</v>
      </c>
      <c r="N1472" s="3">
        <v>45898</v>
      </c>
      <c r="O1472" s="4" t="s">
        <v>719</v>
      </c>
      <c r="P1472" s="2">
        <v>3000</v>
      </c>
      <c r="Q1472" s="2">
        <v>9902</v>
      </c>
      <c r="R1472" s="4" t="s">
        <v>756</v>
      </c>
      <c r="S1472" s="5">
        <v>63740700</v>
      </c>
    </row>
    <row r="1473" spans="1:19" x14ac:dyDescent="0.25">
      <c r="A1473" s="4" t="s">
        <v>61</v>
      </c>
      <c r="B1473" s="4" t="s">
        <v>59</v>
      </c>
      <c r="C1473" s="4" t="s">
        <v>62</v>
      </c>
      <c r="D1473" s="4" t="s">
        <v>63</v>
      </c>
      <c r="E1473" s="4" t="s">
        <v>174</v>
      </c>
      <c r="F1473" s="4" t="s">
        <v>175</v>
      </c>
      <c r="G1473" s="4" t="s">
        <v>50</v>
      </c>
      <c r="H1473" s="4" t="s">
        <v>26</v>
      </c>
      <c r="I1473" s="5">
        <v>65000000</v>
      </c>
      <c r="J1473" s="5">
        <v>75000</v>
      </c>
      <c r="K1473" s="5">
        <v>7500</v>
      </c>
      <c r="L1473" s="4" t="s">
        <v>730</v>
      </c>
      <c r="M1473" s="4" t="s">
        <v>731</v>
      </c>
      <c r="N1473" s="3">
        <v>45898</v>
      </c>
      <c r="O1473" s="4" t="s">
        <v>719</v>
      </c>
      <c r="P1473" s="2">
        <v>4000</v>
      </c>
      <c r="Q1473" s="2">
        <v>9902</v>
      </c>
      <c r="R1473" s="4" t="s">
        <v>756</v>
      </c>
      <c r="S1473" s="5">
        <v>63740700</v>
      </c>
    </row>
    <row r="1474" spans="1:19" x14ac:dyDescent="0.25">
      <c r="A1474" s="4" t="s">
        <v>61</v>
      </c>
      <c r="B1474" s="4" t="s">
        <v>59</v>
      </c>
      <c r="C1474" s="4" t="s">
        <v>62</v>
      </c>
      <c r="D1474" s="4" t="s">
        <v>63</v>
      </c>
      <c r="E1474" s="4" t="s">
        <v>174</v>
      </c>
      <c r="F1474" s="4" t="s">
        <v>175</v>
      </c>
      <c r="G1474" s="4" t="s">
        <v>50</v>
      </c>
      <c r="H1474" s="4" t="s">
        <v>26</v>
      </c>
      <c r="I1474" s="5">
        <v>65000000</v>
      </c>
      <c r="J1474" s="5">
        <v>97500</v>
      </c>
      <c r="K1474" s="5">
        <v>9750</v>
      </c>
      <c r="L1474" s="4" t="s">
        <v>730</v>
      </c>
      <c r="M1474" s="4" t="s">
        <v>731</v>
      </c>
      <c r="N1474" s="3">
        <v>45898</v>
      </c>
      <c r="O1474" s="4" t="s">
        <v>719</v>
      </c>
      <c r="P1474" s="2">
        <v>5000</v>
      </c>
      <c r="Q1474" s="2">
        <v>9902</v>
      </c>
      <c r="R1474" s="4" t="s">
        <v>756</v>
      </c>
      <c r="S1474" s="5">
        <v>63740700</v>
      </c>
    </row>
    <row r="1475" spans="1:19" x14ac:dyDescent="0.25">
      <c r="A1475" s="4" t="s">
        <v>61</v>
      </c>
      <c r="B1475" s="4" t="s">
        <v>59</v>
      </c>
      <c r="C1475" s="4" t="s">
        <v>62</v>
      </c>
      <c r="D1475" s="4" t="s">
        <v>63</v>
      </c>
      <c r="E1475" s="4" t="s">
        <v>422</v>
      </c>
      <c r="F1475" s="4" t="s">
        <v>423</v>
      </c>
      <c r="G1475" s="4" t="s">
        <v>124</v>
      </c>
      <c r="H1475" s="4" t="s">
        <v>26</v>
      </c>
      <c r="I1475" s="5">
        <v>65000000</v>
      </c>
      <c r="J1475" s="5">
        <v>152000</v>
      </c>
      <c r="K1475" s="5">
        <v>15200</v>
      </c>
      <c r="L1475" s="4" t="s">
        <v>26</v>
      </c>
      <c r="M1475" s="4" t="s">
        <v>26</v>
      </c>
      <c r="N1475" s="3">
        <v>45899</v>
      </c>
      <c r="O1475" s="4" t="s">
        <v>716</v>
      </c>
      <c r="P1475" s="2">
        <v>1000</v>
      </c>
      <c r="Q1475" s="2">
        <v>9914</v>
      </c>
      <c r="R1475" s="4" t="s">
        <v>766</v>
      </c>
      <c r="S1475" s="5">
        <v>63183000</v>
      </c>
    </row>
    <row r="1476" spans="1:19" x14ac:dyDescent="0.25">
      <c r="A1476" s="4" t="s">
        <v>61</v>
      </c>
      <c r="B1476" s="4" t="s">
        <v>59</v>
      </c>
      <c r="C1476" s="4" t="s">
        <v>62</v>
      </c>
      <c r="D1476" s="4" t="s">
        <v>63</v>
      </c>
      <c r="E1476" s="4" t="s">
        <v>118</v>
      </c>
      <c r="F1476" s="4" t="s">
        <v>119</v>
      </c>
      <c r="G1476" s="4" t="s">
        <v>100</v>
      </c>
      <c r="H1476" s="4" t="s">
        <v>26</v>
      </c>
      <c r="I1476" s="5">
        <v>65000000</v>
      </c>
      <c r="J1476" s="5">
        <v>190000</v>
      </c>
      <c r="K1476" s="5">
        <v>19000</v>
      </c>
      <c r="L1476" s="4" t="s">
        <v>120</v>
      </c>
      <c r="M1476" s="4" t="s">
        <v>121</v>
      </c>
      <c r="N1476" s="3">
        <v>45895</v>
      </c>
      <c r="O1476" s="4" t="s">
        <v>459</v>
      </c>
      <c r="P1476" s="2">
        <v>1000</v>
      </c>
      <c r="Q1476" s="2">
        <v>9934</v>
      </c>
      <c r="R1476" s="4" t="s">
        <v>26</v>
      </c>
      <c r="S1476" s="5">
        <v>63851150</v>
      </c>
    </row>
    <row r="1477" spans="1:19" x14ac:dyDescent="0.25">
      <c r="A1477" s="4" t="s">
        <v>61</v>
      </c>
      <c r="B1477" s="4" t="s">
        <v>59</v>
      </c>
      <c r="C1477" s="4" t="s">
        <v>62</v>
      </c>
      <c r="D1477" s="4" t="s">
        <v>63</v>
      </c>
      <c r="E1477" s="4" t="s">
        <v>216</v>
      </c>
      <c r="F1477" s="4" t="s">
        <v>217</v>
      </c>
      <c r="G1477" s="4" t="s">
        <v>97</v>
      </c>
      <c r="H1477" s="4" t="s">
        <v>26</v>
      </c>
      <c r="I1477" s="5">
        <v>155000000</v>
      </c>
      <c r="J1477" s="5">
        <v>40500</v>
      </c>
      <c r="K1477" s="5">
        <v>4050</v>
      </c>
      <c r="L1477" s="4" t="s">
        <v>26</v>
      </c>
      <c r="M1477" s="4" t="s">
        <v>26</v>
      </c>
      <c r="N1477" s="3">
        <v>45895</v>
      </c>
      <c r="O1477" s="4" t="s">
        <v>459</v>
      </c>
      <c r="P1477" s="2">
        <v>1000</v>
      </c>
      <c r="Q1477" s="2">
        <v>9967</v>
      </c>
      <c r="R1477" s="4" t="s">
        <v>747</v>
      </c>
      <c r="S1477" s="5">
        <v>152389300</v>
      </c>
    </row>
    <row r="1478" spans="1:19" x14ac:dyDescent="0.25">
      <c r="A1478" s="4" t="s">
        <v>61</v>
      </c>
      <c r="B1478" s="4" t="s">
        <v>59</v>
      </c>
      <c r="C1478" s="4" t="s">
        <v>62</v>
      </c>
      <c r="D1478" s="4" t="s">
        <v>63</v>
      </c>
      <c r="E1478" s="4" t="s">
        <v>193</v>
      </c>
      <c r="F1478" s="4" t="s">
        <v>194</v>
      </c>
      <c r="G1478" s="4" t="s">
        <v>105</v>
      </c>
      <c r="H1478" s="4" t="s">
        <v>26</v>
      </c>
      <c r="I1478" s="5">
        <v>155000000</v>
      </c>
      <c r="J1478" s="5">
        <v>40500</v>
      </c>
      <c r="K1478" s="5">
        <v>4050</v>
      </c>
      <c r="L1478" s="4" t="s">
        <v>195</v>
      </c>
      <c r="M1478" s="4" t="s">
        <v>196</v>
      </c>
      <c r="N1478" s="3">
        <v>45895</v>
      </c>
      <c r="O1478" s="4" t="s">
        <v>459</v>
      </c>
      <c r="P1478" s="2">
        <v>1000</v>
      </c>
      <c r="Q1478" s="2">
        <v>9972</v>
      </c>
      <c r="R1478" s="4" t="s">
        <v>26</v>
      </c>
      <c r="S1478" s="5">
        <v>149540330</v>
      </c>
    </row>
    <row r="1479" spans="1:19" x14ac:dyDescent="0.25">
      <c r="A1479" s="4" t="s">
        <v>61</v>
      </c>
      <c r="B1479" s="4" t="s">
        <v>59</v>
      </c>
      <c r="C1479" s="4" t="s">
        <v>62</v>
      </c>
      <c r="D1479" s="4" t="s">
        <v>63</v>
      </c>
      <c r="E1479" s="4" t="s">
        <v>585</v>
      </c>
      <c r="F1479" s="4" t="s">
        <v>586</v>
      </c>
      <c r="G1479" s="4" t="s">
        <v>81</v>
      </c>
      <c r="H1479" s="4" t="s">
        <v>26</v>
      </c>
      <c r="I1479" s="5">
        <v>65000000</v>
      </c>
      <c r="J1479" s="5">
        <v>46200</v>
      </c>
      <c r="K1479" s="5">
        <v>4620</v>
      </c>
      <c r="L1479" s="4" t="s">
        <v>26</v>
      </c>
      <c r="M1479" s="4" t="s">
        <v>26</v>
      </c>
      <c r="N1479" s="3">
        <v>45888</v>
      </c>
      <c r="O1479" s="4" t="s">
        <v>584</v>
      </c>
      <c r="P1479" s="2">
        <v>1000</v>
      </c>
      <c r="Q1479" s="2">
        <v>9985</v>
      </c>
      <c r="R1479" s="4" t="s">
        <v>755</v>
      </c>
      <c r="S1479" s="5">
        <v>64709600</v>
      </c>
    </row>
    <row r="1480" spans="1:19" x14ac:dyDescent="0.25">
      <c r="A1480" s="4" t="s">
        <v>61</v>
      </c>
      <c r="B1480" s="4" t="s">
        <v>59</v>
      </c>
      <c r="C1480" s="4" t="s">
        <v>62</v>
      </c>
      <c r="D1480" s="4" t="s">
        <v>63</v>
      </c>
      <c r="E1480" s="4" t="s">
        <v>160</v>
      </c>
      <c r="F1480" s="4" t="s">
        <v>161</v>
      </c>
      <c r="G1480" s="4" t="s">
        <v>115</v>
      </c>
      <c r="H1480" s="4" t="s">
        <v>26</v>
      </c>
      <c r="I1480" s="5">
        <v>65000000</v>
      </c>
      <c r="J1480" s="5">
        <v>50000</v>
      </c>
      <c r="K1480" s="5">
        <v>5000</v>
      </c>
      <c r="L1480" s="4" t="s">
        <v>162</v>
      </c>
      <c r="M1480" s="4" t="s">
        <v>163</v>
      </c>
      <c r="N1480" s="3">
        <v>45888</v>
      </c>
      <c r="O1480" s="4" t="s">
        <v>154</v>
      </c>
      <c r="P1480" s="2">
        <v>1000</v>
      </c>
      <c r="Q1480" s="2">
        <v>10008</v>
      </c>
      <c r="R1480" s="4" t="s">
        <v>84</v>
      </c>
      <c r="S1480" s="5">
        <v>64250650</v>
      </c>
    </row>
    <row r="1481" spans="1:19" x14ac:dyDescent="0.25">
      <c r="A1481" s="4" t="s">
        <v>61</v>
      </c>
      <c r="B1481" s="4" t="s">
        <v>59</v>
      </c>
      <c r="C1481" s="4" t="s">
        <v>62</v>
      </c>
      <c r="D1481" s="4" t="s">
        <v>63</v>
      </c>
      <c r="E1481" s="4" t="s">
        <v>178</v>
      </c>
      <c r="F1481" s="4" t="s">
        <v>179</v>
      </c>
      <c r="G1481" s="4" t="s">
        <v>124</v>
      </c>
      <c r="H1481" s="4" t="s">
        <v>26</v>
      </c>
      <c r="I1481" s="5">
        <v>65000000</v>
      </c>
      <c r="J1481" s="5">
        <v>275000</v>
      </c>
      <c r="K1481" s="5">
        <v>27500</v>
      </c>
      <c r="L1481" s="4" t="s">
        <v>214</v>
      </c>
      <c r="M1481" s="4" t="s">
        <v>215</v>
      </c>
      <c r="N1481" s="3">
        <v>45899</v>
      </c>
      <c r="O1481" s="4" t="s">
        <v>719</v>
      </c>
      <c r="P1481" s="2">
        <v>1000</v>
      </c>
      <c r="Q1481" s="2">
        <v>10027</v>
      </c>
      <c r="R1481" s="4" t="s">
        <v>769</v>
      </c>
      <c r="S1481" s="5">
        <v>54146650</v>
      </c>
    </row>
    <row r="1482" spans="1:19" x14ac:dyDescent="0.25">
      <c r="A1482" s="4" t="s">
        <v>61</v>
      </c>
      <c r="B1482" s="4" t="s">
        <v>59</v>
      </c>
      <c r="C1482" s="4" t="s">
        <v>62</v>
      </c>
      <c r="D1482" s="4" t="s">
        <v>63</v>
      </c>
      <c r="E1482" s="4" t="s">
        <v>348</v>
      </c>
      <c r="F1482" s="4" t="s">
        <v>349</v>
      </c>
      <c r="G1482" s="4" t="s">
        <v>100</v>
      </c>
      <c r="H1482" s="4" t="s">
        <v>26</v>
      </c>
      <c r="I1482" s="5">
        <v>65000000</v>
      </c>
      <c r="J1482" s="5">
        <v>180000</v>
      </c>
      <c r="K1482" s="5">
        <v>18000</v>
      </c>
      <c r="L1482" s="4" t="s">
        <v>26</v>
      </c>
      <c r="M1482" s="4" t="s">
        <v>26</v>
      </c>
      <c r="N1482" s="3">
        <v>45895</v>
      </c>
      <c r="O1482" s="4" t="s">
        <v>459</v>
      </c>
      <c r="P1482" s="2">
        <v>1000</v>
      </c>
      <c r="Q1482" s="2">
        <v>10051</v>
      </c>
      <c r="R1482" s="4" t="s">
        <v>755</v>
      </c>
      <c r="S1482" s="5">
        <v>64076500</v>
      </c>
    </row>
    <row r="1483" spans="1:19" x14ac:dyDescent="0.25">
      <c r="A1483" s="4" t="s">
        <v>61</v>
      </c>
      <c r="B1483" s="4" t="s">
        <v>59</v>
      </c>
      <c r="C1483" s="4" t="s">
        <v>62</v>
      </c>
      <c r="D1483" s="4" t="s">
        <v>63</v>
      </c>
      <c r="E1483" s="4" t="s">
        <v>348</v>
      </c>
      <c r="F1483" s="4" t="s">
        <v>349</v>
      </c>
      <c r="G1483" s="4" t="s">
        <v>100</v>
      </c>
      <c r="H1483" s="4" t="s">
        <v>26</v>
      </c>
      <c r="I1483" s="5">
        <v>65000000</v>
      </c>
      <c r="J1483" s="5">
        <v>165000</v>
      </c>
      <c r="K1483" s="5">
        <v>16500</v>
      </c>
      <c r="L1483" s="4" t="s">
        <v>26</v>
      </c>
      <c r="M1483" s="4" t="s">
        <v>26</v>
      </c>
      <c r="N1483" s="3">
        <v>45895</v>
      </c>
      <c r="O1483" s="4" t="s">
        <v>459</v>
      </c>
      <c r="P1483" s="2">
        <v>2000</v>
      </c>
      <c r="Q1483" s="2">
        <v>10051</v>
      </c>
      <c r="R1483" s="4" t="s">
        <v>755</v>
      </c>
      <c r="S1483" s="5">
        <v>64076500</v>
      </c>
    </row>
    <row r="1484" spans="1:19" x14ac:dyDescent="0.25">
      <c r="A1484" s="4" t="s">
        <v>61</v>
      </c>
      <c r="B1484" s="4" t="s">
        <v>59</v>
      </c>
      <c r="C1484" s="4" t="s">
        <v>62</v>
      </c>
      <c r="D1484" s="4" t="s">
        <v>63</v>
      </c>
      <c r="E1484" s="4" t="s">
        <v>348</v>
      </c>
      <c r="F1484" s="4" t="s">
        <v>349</v>
      </c>
      <c r="G1484" s="4" t="s">
        <v>100</v>
      </c>
      <c r="H1484" s="4" t="s">
        <v>26</v>
      </c>
      <c r="I1484" s="5">
        <v>65000000</v>
      </c>
      <c r="J1484" s="5">
        <v>5000</v>
      </c>
      <c r="K1484" s="5">
        <v>500</v>
      </c>
      <c r="L1484" s="4" t="s">
        <v>26</v>
      </c>
      <c r="M1484" s="4" t="s">
        <v>26</v>
      </c>
      <c r="N1484" s="3">
        <v>45895</v>
      </c>
      <c r="O1484" s="4" t="s">
        <v>459</v>
      </c>
      <c r="P1484" s="2">
        <v>3000</v>
      </c>
      <c r="Q1484" s="2">
        <v>10051</v>
      </c>
      <c r="R1484" s="4" t="s">
        <v>755</v>
      </c>
      <c r="S1484" s="5">
        <v>64076500</v>
      </c>
    </row>
    <row r="1485" spans="1:19" x14ac:dyDescent="0.25">
      <c r="A1485" s="4" t="s">
        <v>61</v>
      </c>
      <c r="B1485" s="4" t="s">
        <v>59</v>
      </c>
      <c r="C1485" s="4" t="s">
        <v>62</v>
      </c>
      <c r="D1485" s="4" t="s">
        <v>63</v>
      </c>
      <c r="E1485" s="4" t="s">
        <v>348</v>
      </c>
      <c r="F1485" s="4" t="s">
        <v>349</v>
      </c>
      <c r="G1485" s="4" t="s">
        <v>100</v>
      </c>
      <c r="H1485" s="4" t="s">
        <v>26</v>
      </c>
      <c r="I1485" s="5">
        <v>65000000</v>
      </c>
      <c r="J1485" s="5">
        <v>75000</v>
      </c>
      <c r="K1485" s="5">
        <v>7500</v>
      </c>
      <c r="L1485" s="4" t="s">
        <v>26</v>
      </c>
      <c r="M1485" s="4" t="s">
        <v>26</v>
      </c>
      <c r="N1485" s="3">
        <v>45895</v>
      </c>
      <c r="O1485" s="4" t="s">
        <v>459</v>
      </c>
      <c r="P1485" s="2">
        <v>4000</v>
      </c>
      <c r="Q1485" s="2">
        <v>10051</v>
      </c>
      <c r="R1485" s="4" t="s">
        <v>755</v>
      </c>
      <c r="S1485" s="5">
        <v>64076500</v>
      </c>
    </row>
    <row r="1486" spans="1:19" x14ac:dyDescent="0.25">
      <c r="A1486" s="4" t="s">
        <v>61</v>
      </c>
      <c r="B1486" s="4" t="s">
        <v>59</v>
      </c>
      <c r="C1486" s="4" t="s">
        <v>62</v>
      </c>
      <c r="D1486" s="4" t="s">
        <v>63</v>
      </c>
      <c r="E1486" s="4" t="s">
        <v>348</v>
      </c>
      <c r="F1486" s="4" t="s">
        <v>349</v>
      </c>
      <c r="G1486" s="4" t="s">
        <v>100</v>
      </c>
      <c r="H1486" s="4" t="s">
        <v>26</v>
      </c>
      <c r="I1486" s="5">
        <v>65000000</v>
      </c>
      <c r="J1486" s="5">
        <v>95000</v>
      </c>
      <c r="K1486" s="5">
        <v>9500</v>
      </c>
      <c r="L1486" s="4" t="s">
        <v>26</v>
      </c>
      <c r="M1486" s="4" t="s">
        <v>26</v>
      </c>
      <c r="N1486" s="3">
        <v>45895</v>
      </c>
      <c r="O1486" s="4" t="s">
        <v>459</v>
      </c>
      <c r="P1486" s="2">
        <v>5000</v>
      </c>
      <c r="Q1486" s="2">
        <v>10051</v>
      </c>
      <c r="R1486" s="4" t="s">
        <v>755</v>
      </c>
      <c r="S1486" s="5">
        <v>64076500</v>
      </c>
    </row>
    <row r="1487" spans="1:19" x14ac:dyDescent="0.25">
      <c r="A1487" s="4" t="s">
        <v>61</v>
      </c>
      <c r="B1487" s="4" t="s">
        <v>59</v>
      </c>
      <c r="C1487" s="4" t="s">
        <v>62</v>
      </c>
      <c r="D1487" s="4" t="s">
        <v>63</v>
      </c>
      <c r="E1487" s="4" t="s">
        <v>103</v>
      </c>
      <c r="F1487" s="4" t="s">
        <v>104</v>
      </c>
      <c r="G1487" s="4" t="s">
        <v>105</v>
      </c>
      <c r="H1487" s="4" t="s">
        <v>26</v>
      </c>
      <c r="I1487" s="5">
        <v>155000000</v>
      </c>
      <c r="J1487" s="5">
        <v>39200</v>
      </c>
      <c r="K1487" s="5">
        <v>3920</v>
      </c>
      <c r="L1487" s="4" t="s">
        <v>26</v>
      </c>
      <c r="M1487" s="4" t="s">
        <v>26</v>
      </c>
      <c r="N1487" s="3">
        <v>45895</v>
      </c>
      <c r="O1487" s="4" t="s">
        <v>51</v>
      </c>
      <c r="P1487" s="2">
        <v>1000</v>
      </c>
      <c r="Q1487" s="2">
        <v>10114</v>
      </c>
      <c r="R1487" s="4" t="s">
        <v>749</v>
      </c>
      <c r="S1487" s="5">
        <v>150234500</v>
      </c>
    </row>
    <row r="1488" spans="1:19" x14ac:dyDescent="0.25">
      <c r="A1488" s="4" t="s">
        <v>61</v>
      </c>
      <c r="B1488" s="4" t="s">
        <v>59</v>
      </c>
      <c r="C1488" s="4" t="s">
        <v>62</v>
      </c>
      <c r="D1488" s="4" t="s">
        <v>63</v>
      </c>
      <c r="E1488" s="4" t="s">
        <v>92</v>
      </c>
      <c r="F1488" s="4" t="s">
        <v>93</v>
      </c>
      <c r="G1488" s="4" t="s">
        <v>94</v>
      </c>
      <c r="H1488" s="4" t="s">
        <v>26</v>
      </c>
      <c r="I1488" s="5">
        <v>155000000</v>
      </c>
      <c r="J1488" s="5">
        <v>26400</v>
      </c>
      <c r="K1488" s="5">
        <v>2640</v>
      </c>
      <c r="L1488" s="4" t="s">
        <v>26</v>
      </c>
      <c r="M1488" s="4" t="s">
        <v>26</v>
      </c>
      <c r="N1488" s="3">
        <v>45895</v>
      </c>
      <c r="O1488" s="4" t="s">
        <v>51</v>
      </c>
      <c r="P1488" s="2">
        <v>1000</v>
      </c>
      <c r="Q1488" s="2">
        <v>10117</v>
      </c>
      <c r="R1488" s="4" t="s">
        <v>749</v>
      </c>
      <c r="S1488" s="5">
        <v>145558700</v>
      </c>
    </row>
    <row r="1489" spans="1:19" x14ac:dyDescent="0.25">
      <c r="A1489" s="4" t="s">
        <v>61</v>
      </c>
      <c r="B1489" s="4" t="s">
        <v>59</v>
      </c>
      <c r="C1489" s="4" t="s">
        <v>62</v>
      </c>
      <c r="D1489" s="4" t="s">
        <v>63</v>
      </c>
      <c r="E1489" s="4" t="s">
        <v>92</v>
      </c>
      <c r="F1489" s="4" t="s">
        <v>93</v>
      </c>
      <c r="G1489" s="4" t="s">
        <v>94</v>
      </c>
      <c r="H1489" s="4" t="s">
        <v>26</v>
      </c>
      <c r="I1489" s="5">
        <v>155000000</v>
      </c>
      <c r="J1489" s="5">
        <v>20000</v>
      </c>
      <c r="K1489" s="5">
        <v>2000</v>
      </c>
      <c r="L1489" s="4" t="s">
        <v>26</v>
      </c>
      <c r="M1489" s="4" t="s">
        <v>26</v>
      </c>
      <c r="N1489" s="3">
        <v>45895</v>
      </c>
      <c r="O1489" s="4" t="s">
        <v>51</v>
      </c>
      <c r="P1489" s="2">
        <v>2000</v>
      </c>
      <c r="Q1489" s="2">
        <v>10117</v>
      </c>
      <c r="R1489" s="4" t="s">
        <v>749</v>
      </c>
      <c r="S1489" s="5">
        <v>145558700</v>
      </c>
    </row>
    <row r="1490" spans="1:19" x14ac:dyDescent="0.25">
      <c r="A1490" s="4" t="s">
        <v>61</v>
      </c>
      <c r="B1490" s="4" t="s">
        <v>59</v>
      </c>
      <c r="C1490" s="4" t="s">
        <v>62</v>
      </c>
      <c r="D1490" s="4" t="s">
        <v>63</v>
      </c>
      <c r="E1490" s="4" t="s">
        <v>101</v>
      </c>
      <c r="F1490" s="4" t="s">
        <v>102</v>
      </c>
      <c r="G1490" s="4" t="s">
        <v>71</v>
      </c>
      <c r="H1490" s="4" t="s">
        <v>26</v>
      </c>
      <c r="I1490" s="5">
        <v>155000000</v>
      </c>
      <c r="J1490" s="5">
        <v>99000</v>
      </c>
      <c r="K1490" s="5">
        <v>9900</v>
      </c>
      <c r="L1490" s="4" t="s">
        <v>26</v>
      </c>
      <c r="M1490" s="4" t="s">
        <v>26</v>
      </c>
      <c r="N1490" s="3">
        <v>45895</v>
      </c>
      <c r="O1490" s="4" t="s">
        <v>51</v>
      </c>
      <c r="P1490" s="2">
        <v>1000</v>
      </c>
      <c r="Q1490" s="2">
        <v>10136</v>
      </c>
      <c r="R1490" s="4" t="s">
        <v>749</v>
      </c>
      <c r="S1490" s="5">
        <v>154309700</v>
      </c>
    </row>
    <row r="1491" spans="1:19" x14ac:dyDescent="0.25">
      <c r="A1491" s="4" t="s">
        <v>61</v>
      </c>
      <c r="B1491" s="4" t="s">
        <v>59</v>
      </c>
      <c r="C1491" s="4" t="s">
        <v>62</v>
      </c>
      <c r="D1491" s="4" t="s">
        <v>63</v>
      </c>
      <c r="E1491" s="4" t="s">
        <v>193</v>
      </c>
      <c r="F1491" s="4" t="s">
        <v>194</v>
      </c>
      <c r="G1491" s="4" t="s">
        <v>105</v>
      </c>
      <c r="H1491" s="4" t="s">
        <v>26</v>
      </c>
      <c r="I1491" s="5">
        <v>155000000</v>
      </c>
      <c r="J1491" s="5">
        <v>40500</v>
      </c>
      <c r="K1491" s="5">
        <v>4050</v>
      </c>
      <c r="L1491" s="4" t="s">
        <v>195</v>
      </c>
      <c r="M1491" s="4" t="s">
        <v>196</v>
      </c>
      <c r="N1491" s="3">
        <v>45896</v>
      </c>
      <c r="O1491" s="4" t="s">
        <v>459</v>
      </c>
      <c r="P1491" s="2">
        <v>1000</v>
      </c>
      <c r="Q1491" s="2">
        <v>10162</v>
      </c>
      <c r="R1491" s="4" t="s">
        <v>26</v>
      </c>
      <c r="S1491" s="5">
        <v>149540330</v>
      </c>
    </row>
    <row r="1492" spans="1:19" x14ac:dyDescent="0.25">
      <c r="A1492" s="4" t="s">
        <v>61</v>
      </c>
      <c r="B1492" s="4" t="s">
        <v>59</v>
      </c>
      <c r="C1492" s="4" t="s">
        <v>62</v>
      </c>
      <c r="D1492" s="4" t="s">
        <v>63</v>
      </c>
      <c r="E1492" s="4" t="s">
        <v>95</v>
      </c>
      <c r="F1492" s="4" t="s">
        <v>96</v>
      </c>
      <c r="G1492" s="4" t="s">
        <v>97</v>
      </c>
      <c r="H1492" s="4" t="s">
        <v>26</v>
      </c>
      <c r="I1492" s="5">
        <v>155000000</v>
      </c>
      <c r="J1492" s="5">
        <v>40500</v>
      </c>
      <c r="K1492" s="5">
        <v>4050</v>
      </c>
      <c r="L1492" s="4" t="s">
        <v>26</v>
      </c>
      <c r="M1492" s="4" t="s">
        <v>26</v>
      </c>
      <c r="N1492" s="3">
        <v>45896</v>
      </c>
      <c r="O1492" s="4" t="s">
        <v>459</v>
      </c>
      <c r="P1492" s="2">
        <v>1000</v>
      </c>
      <c r="Q1492" s="2">
        <v>10175</v>
      </c>
      <c r="R1492" s="4" t="s">
        <v>747</v>
      </c>
      <c r="S1492" s="5">
        <v>154473500</v>
      </c>
    </row>
    <row r="1493" spans="1:19" x14ac:dyDescent="0.25">
      <c r="A1493" s="4" t="s">
        <v>61</v>
      </c>
      <c r="B1493" s="4" t="s">
        <v>59</v>
      </c>
      <c r="C1493" s="4" t="s">
        <v>62</v>
      </c>
      <c r="D1493" s="4" t="s">
        <v>63</v>
      </c>
      <c r="E1493" s="4" t="s">
        <v>74</v>
      </c>
      <c r="F1493" s="4" t="s">
        <v>75</v>
      </c>
      <c r="G1493" s="4" t="s">
        <v>76</v>
      </c>
      <c r="H1493" s="4" t="s">
        <v>26</v>
      </c>
      <c r="I1493" s="5">
        <v>110000000</v>
      </c>
      <c r="J1493" s="5">
        <v>58500</v>
      </c>
      <c r="K1493" s="5">
        <v>5850</v>
      </c>
      <c r="L1493" s="4" t="s">
        <v>77</v>
      </c>
      <c r="M1493" s="4" t="s">
        <v>78</v>
      </c>
      <c r="N1493" s="3">
        <v>45896</v>
      </c>
      <c r="O1493" s="4" t="s">
        <v>459</v>
      </c>
      <c r="P1493" s="2">
        <v>1000</v>
      </c>
      <c r="Q1493" s="2">
        <v>10184</v>
      </c>
      <c r="R1493" s="4" t="s">
        <v>747</v>
      </c>
      <c r="S1493" s="5">
        <v>108586000</v>
      </c>
    </row>
    <row r="1494" spans="1:19" x14ac:dyDescent="0.25">
      <c r="A1494" s="4" t="s">
        <v>61</v>
      </c>
      <c r="B1494" s="4" t="s">
        <v>59</v>
      </c>
      <c r="C1494" s="4" t="s">
        <v>62</v>
      </c>
      <c r="D1494" s="4" t="s">
        <v>63</v>
      </c>
      <c r="E1494" s="4" t="s">
        <v>103</v>
      </c>
      <c r="F1494" s="4" t="s">
        <v>104</v>
      </c>
      <c r="G1494" s="4" t="s">
        <v>105</v>
      </c>
      <c r="H1494" s="4" t="s">
        <v>26</v>
      </c>
      <c r="I1494" s="5">
        <v>155000000</v>
      </c>
      <c r="J1494" s="5">
        <v>39200</v>
      </c>
      <c r="K1494" s="5">
        <v>3920</v>
      </c>
      <c r="L1494" s="4" t="s">
        <v>26</v>
      </c>
      <c r="M1494" s="4" t="s">
        <v>26</v>
      </c>
      <c r="N1494" s="3">
        <v>45896</v>
      </c>
      <c r="O1494" s="4" t="s">
        <v>51</v>
      </c>
      <c r="P1494" s="2">
        <v>1000</v>
      </c>
      <c r="Q1494" s="2">
        <v>10193</v>
      </c>
      <c r="R1494" s="4" t="s">
        <v>749</v>
      </c>
      <c r="S1494" s="5">
        <v>150234500</v>
      </c>
    </row>
    <row r="1495" spans="1:19" x14ac:dyDescent="0.25">
      <c r="A1495" s="4" t="s">
        <v>61</v>
      </c>
      <c r="B1495" s="4" t="s">
        <v>59</v>
      </c>
      <c r="C1495" s="4" t="s">
        <v>62</v>
      </c>
      <c r="D1495" s="4" t="s">
        <v>63</v>
      </c>
      <c r="E1495" s="4" t="s">
        <v>188</v>
      </c>
      <c r="F1495" s="4" t="s">
        <v>189</v>
      </c>
      <c r="G1495" s="4" t="s">
        <v>190</v>
      </c>
      <c r="H1495" s="4" t="s">
        <v>26</v>
      </c>
      <c r="I1495" s="5">
        <v>90000000</v>
      </c>
      <c r="J1495" s="5">
        <v>85000</v>
      </c>
      <c r="K1495" s="5">
        <v>8500</v>
      </c>
      <c r="L1495" s="4" t="s">
        <v>191</v>
      </c>
      <c r="M1495" s="4" t="s">
        <v>192</v>
      </c>
      <c r="N1495" s="3">
        <v>45896</v>
      </c>
      <c r="O1495" s="4" t="s">
        <v>459</v>
      </c>
      <c r="P1495" s="2">
        <v>1000</v>
      </c>
      <c r="Q1495" s="2">
        <v>10228</v>
      </c>
      <c r="R1495" s="4" t="s">
        <v>84</v>
      </c>
      <c r="S1495" s="5">
        <v>87040690</v>
      </c>
    </row>
    <row r="1496" spans="1:19" x14ac:dyDescent="0.25">
      <c r="A1496" s="4" t="s">
        <v>61</v>
      </c>
      <c r="B1496" s="4" t="s">
        <v>59</v>
      </c>
      <c r="C1496" s="4" t="s">
        <v>62</v>
      </c>
      <c r="D1496" s="4" t="s">
        <v>63</v>
      </c>
      <c r="E1496" s="4" t="s">
        <v>155</v>
      </c>
      <c r="F1496" s="4" t="s">
        <v>156</v>
      </c>
      <c r="G1496" s="4" t="s">
        <v>157</v>
      </c>
      <c r="H1496" s="4" t="s">
        <v>26</v>
      </c>
      <c r="I1496" s="5">
        <v>90000000</v>
      </c>
      <c r="J1496" s="5">
        <v>50000</v>
      </c>
      <c r="K1496" s="5">
        <v>5000</v>
      </c>
      <c r="L1496" s="4" t="s">
        <v>158</v>
      </c>
      <c r="M1496" s="4" t="s">
        <v>159</v>
      </c>
      <c r="N1496" s="3">
        <v>45896</v>
      </c>
      <c r="O1496" s="4" t="s">
        <v>459</v>
      </c>
      <c r="P1496" s="2">
        <v>1000</v>
      </c>
      <c r="Q1496" s="2">
        <v>10232</v>
      </c>
      <c r="R1496" s="4" t="s">
        <v>747</v>
      </c>
      <c r="S1496" s="5">
        <v>87868500</v>
      </c>
    </row>
    <row r="1497" spans="1:19" x14ac:dyDescent="0.25">
      <c r="A1497" s="4" t="s">
        <v>61</v>
      </c>
      <c r="B1497" s="4" t="s">
        <v>59</v>
      </c>
      <c r="C1497" s="4" t="s">
        <v>62</v>
      </c>
      <c r="D1497" s="4" t="s">
        <v>63</v>
      </c>
      <c r="E1497" s="4" t="s">
        <v>155</v>
      </c>
      <c r="F1497" s="4" t="s">
        <v>156</v>
      </c>
      <c r="G1497" s="4" t="s">
        <v>157</v>
      </c>
      <c r="H1497" s="4" t="s">
        <v>26</v>
      </c>
      <c r="I1497" s="5">
        <v>90000000</v>
      </c>
      <c r="J1497" s="5">
        <v>50000</v>
      </c>
      <c r="K1497" s="5">
        <v>5000</v>
      </c>
      <c r="L1497" s="4" t="s">
        <v>158</v>
      </c>
      <c r="M1497" s="4" t="s">
        <v>159</v>
      </c>
      <c r="N1497" s="3">
        <v>45896</v>
      </c>
      <c r="O1497" s="4" t="s">
        <v>459</v>
      </c>
      <c r="P1497" s="2">
        <v>2000</v>
      </c>
      <c r="Q1497" s="2">
        <v>10232</v>
      </c>
      <c r="R1497" s="4" t="s">
        <v>747</v>
      </c>
      <c r="S1497" s="5">
        <v>87868500</v>
      </c>
    </row>
    <row r="1498" spans="1:19" x14ac:dyDescent="0.25">
      <c r="A1498" s="4" t="s">
        <v>61</v>
      </c>
      <c r="B1498" s="4" t="s">
        <v>59</v>
      </c>
      <c r="C1498" s="4" t="s">
        <v>62</v>
      </c>
      <c r="D1498" s="4" t="s">
        <v>63</v>
      </c>
      <c r="E1498" s="4" t="s">
        <v>244</v>
      </c>
      <c r="F1498" s="4" t="s">
        <v>245</v>
      </c>
      <c r="G1498" s="4" t="s">
        <v>246</v>
      </c>
      <c r="H1498" s="4" t="s">
        <v>26</v>
      </c>
      <c r="I1498" s="5">
        <v>155000000</v>
      </c>
      <c r="J1498" s="5">
        <v>49500</v>
      </c>
      <c r="K1498" s="5">
        <v>4950</v>
      </c>
      <c r="L1498" s="4" t="s">
        <v>247</v>
      </c>
      <c r="M1498" s="4" t="s">
        <v>248</v>
      </c>
      <c r="N1498" s="3">
        <v>45896</v>
      </c>
      <c r="O1498" s="4" t="s">
        <v>459</v>
      </c>
      <c r="P1498" s="2">
        <v>1000</v>
      </c>
      <c r="Q1498" s="2">
        <v>10316</v>
      </c>
      <c r="R1498" s="4" t="s">
        <v>26</v>
      </c>
      <c r="S1498" s="5">
        <v>151077800</v>
      </c>
    </row>
    <row r="1499" spans="1:19" x14ac:dyDescent="0.25">
      <c r="A1499" s="4" t="s">
        <v>61</v>
      </c>
      <c r="B1499" s="4" t="s">
        <v>59</v>
      </c>
      <c r="C1499" s="4" t="s">
        <v>62</v>
      </c>
      <c r="D1499" s="4" t="s">
        <v>63</v>
      </c>
      <c r="E1499" s="4" t="s">
        <v>174</v>
      </c>
      <c r="F1499" s="4" t="s">
        <v>175</v>
      </c>
      <c r="G1499" s="4" t="s">
        <v>50</v>
      </c>
      <c r="H1499" s="4" t="s">
        <v>26</v>
      </c>
      <c r="I1499" s="5">
        <v>65000000</v>
      </c>
      <c r="J1499" s="5">
        <v>64000</v>
      </c>
      <c r="K1499" s="5">
        <v>6400</v>
      </c>
      <c r="L1499" s="4" t="s">
        <v>26</v>
      </c>
      <c r="M1499" s="4" t="s">
        <v>26</v>
      </c>
      <c r="N1499" s="3">
        <v>45896</v>
      </c>
      <c r="O1499" s="4" t="s">
        <v>459</v>
      </c>
      <c r="P1499" s="2">
        <v>1000</v>
      </c>
      <c r="Q1499" s="2">
        <v>10350</v>
      </c>
      <c r="R1499" s="4" t="s">
        <v>84</v>
      </c>
      <c r="S1499" s="5">
        <v>63740700</v>
      </c>
    </row>
    <row r="1500" spans="1:19" x14ac:dyDescent="0.25">
      <c r="A1500" s="4" t="s">
        <v>61</v>
      </c>
      <c r="B1500" s="4" t="s">
        <v>59</v>
      </c>
      <c r="C1500" s="4" t="s">
        <v>62</v>
      </c>
      <c r="D1500" s="4" t="s">
        <v>63</v>
      </c>
      <c r="E1500" s="4" t="s">
        <v>188</v>
      </c>
      <c r="F1500" s="4" t="s">
        <v>189</v>
      </c>
      <c r="G1500" s="4" t="s">
        <v>190</v>
      </c>
      <c r="H1500" s="4" t="s">
        <v>26</v>
      </c>
      <c r="I1500" s="5">
        <v>90000000</v>
      </c>
      <c r="J1500" s="5">
        <v>255000</v>
      </c>
      <c r="K1500" s="5">
        <v>25500</v>
      </c>
      <c r="L1500" s="4" t="s">
        <v>191</v>
      </c>
      <c r="M1500" s="4" t="s">
        <v>192</v>
      </c>
      <c r="N1500" s="3">
        <v>45896</v>
      </c>
      <c r="O1500" s="4" t="s">
        <v>459</v>
      </c>
      <c r="P1500" s="2">
        <v>1000</v>
      </c>
      <c r="Q1500" s="2">
        <v>10394</v>
      </c>
      <c r="R1500" s="4" t="s">
        <v>84</v>
      </c>
      <c r="S1500" s="5">
        <v>87040690</v>
      </c>
    </row>
    <row r="1501" spans="1:19" x14ac:dyDescent="0.25">
      <c r="A1501" s="4" t="s">
        <v>61</v>
      </c>
      <c r="B1501" s="4" t="s">
        <v>59</v>
      </c>
      <c r="C1501" s="4" t="s">
        <v>62</v>
      </c>
      <c r="D1501" s="4" t="s">
        <v>63</v>
      </c>
      <c r="E1501" s="4" t="s">
        <v>155</v>
      </c>
      <c r="F1501" s="4" t="s">
        <v>156</v>
      </c>
      <c r="G1501" s="4" t="s">
        <v>157</v>
      </c>
      <c r="H1501" s="4" t="s">
        <v>26</v>
      </c>
      <c r="I1501" s="5">
        <v>90000000</v>
      </c>
      <c r="J1501" s="5">
        <v>34000</v>
      </c>
      <c r="K1501" s="5">
        <v>3400</v>
      </c>
      <c r="L1501" s="4" t="s">
        <v>158</v>
      </c>
      <c r="M1501" s="4" t="s">
        <v>159</v>
      </c>
      <c r="N1501" s="3">
        <v>45889</v>
      </c>
      <c r="O1501" s="4" t="s">
        <v>154</v>
      </c>
      <c r="P1501" s="2">
        <v>1000</v>
      </c>
      <c r="Q1501" s="2">
        <v>10436</v>
      </c>
      <c r="R1501" s="4" t="s">
        <v>84</v>
      </c>
      <c r="S1501" s="5">
        <v>87868500</v>
      </c>
    </row>
    <row r="1502" spans="1:19" x14ac:dyDescent="0.25">
      <c r="A1502" s="4" t="s">
        <v>61</v>
      </c>
      <c r="B1502" s="4" t="s">
        <v>59</v>
      </c>
      <c r="C1502" s="4" t="s">
        <v>62</v>
      </c>
      <c r="D1502" s="4" t="s">
        <v>63</v>
      </c>
      <c r="E1502" s="4" t="s">
        <v>74</v>
      </c>
      <c r="F1502" s="4" t="s">
        <v>75</v>
      </c>
      <c r="G1502" s="4" t="s">
        <v>76</v>
      </c>
      <c r="H1502" s="4" t="s">
        <v>26</v>
      </c>
      <c r="I1502" s="5">
        <v>110000000</v>
      </c>
      <c r="J1502" s="5">
        <v>63000</v>
      </c>
      <c r="K1502" s="5">
        <v>6300</v>
      </c>
      <c r="L1502" s="4" t="s">
        <v>77</v>
      </c>
      <c r="M1502" s="4" t="s">
        <v>78</v>
      </c>
      <c r="N1502" s="3">
        <v>45897</v>
      </c>
      <c r="O1502" s="4" t="s">
        <v>459</v>
      </c>
      <c r="P1502" s="2">
        <v>1000</v>
      </c>
      <c r="Q1502" s="2">
        <v>10437</v>
      </c>
      <c r="R1502" s="4" t="s">
        <v>747</v>
      </c>
      <c r="S1502" s="5">
        <v>108586000</v>
      </c>
    </row>
    <row r="1503" spans="1:19" x14ac:dyDescent="0.25">
      <c r="A1503" s="4" t="s">
        <v>61</v>
      </c>
      <c r="B1503" s="4" t="s">
        <v>59</v>
      </c>
      <c r="C1503" s="4" t="s">
        <v>62</v>
      </c>
      <c r="D1503" s="4" t="s">
        <v>63</v>
      </c>
      <c r="E1503" s="4" t="s">
        <v>74</v>
      </c>
      <c r="F1503" s="4" t="s">
        <v>75</v>
      </c>
      <c r="G1503" s="4" t="s">
        <v>76</v>
      </c>
      <c r="H1503" s="4" t="s">
        <v>26</v>
      </c>
      <c r="I1503" s="5">
        <v>110000000</v>
      </c>
      <c r="J1503" s="5">
        <v>58500</v>
      </c>
      <c r="K1503" s="5">
        <v>5850</v>
      </c>
      <c r="L1503" s="4" t="s">
        <v>77</v>
      </c>
      <c r="M1503" s="4" t="s">
        <v>78</v>
      </c>
      <c r="N1503" s="3">
        <v>45897</v>
      </c>
      <c r="O1503" s="4" t="s">
        <v>459</v>
      </c>
      <c r="P1503" s="2">
        <v>2000</v>
      </c>
      <c r="Q1503" s="2">
        <v>10437</v>
      </c>
      <c r="R1503" s="4" t="s">
        <v>747</v>
      </c>
      <c r="S1503" s="5">
        <v>108586000</v>
      </c>
    </row>
    <row r="1504" spans="1:19" x14ac:dyDescent="0.25">
      <c r="A1504" s="4" t="s">
        <v>61</v>
      </c>
      <c r="B1504" s="4" t="s">
        <v>59</v>
      </c>
      <c r="C1504" s="4" t="s">
        <v>62</v>
      </c>
      <c r="D1504" s="4" t="s">
        <v>63</v>
      </c>
      <c r="E1504" s="4" t="s">
        <v>74</v>
      </c>
      <c r="F1504" s="4" t="s">
        <v>75</v>
      </c>
      <c r="G1504" s="4" t="s">
        <v>76</v>
      </c>
      <c r="H1504" s="4" t="s">
        <v>26</v>
      </c>
      <c r="I1504" s="5">
        <v>110000000</v>
      </c>
      <c r="J1504" s="5">
        <v>45000</v>
      </c>
      <c r="K1504" s="5">
        <v>4500</v>
      </c>
      <c r="L1504" s="4" t="s">
        <v>77</v>
      </c>
      <c r="M1504" s="4" t="s">
        <v>78</v>
      </c>
      <c r="N1504" s="3">
        <v>45897</v>
      </c>
      <c r="O1504" s="4" t="s">
        <v>459</v>
      </c>
      <c r="P1504" s="2">
        <v>3000</v>
      </c>
      <c r="Q1504" s="2">
        <v>10437</v>
      </c>
      <c r="R1504" s="4" t="s">
        <v>747</v>
      </c>
      <c r="S1504" s="5">
        <v>108586000</v>
      </c>
    </row>
    <row r="1505" spans="1:19" x14ac:dyDescent="0.25">
      <c r="A1505" s="4" t="s">
        <v>61</v>
      </c>
      <c r="B1505" s="4" t="s">
        <v>59</v>
      </c>
      <c r="C1505" s="4" t="s">
        <v>62</v>
      </c>
      <c r="D1505" s="4" t="s">
        <v>63</v>
      </c>
      <c r="E1505" s="4" t="s">
        <v>244</v>
      </c>
      <c r="F1505" s="4" t="s">
        <v>245</v>
      </c>
      <c r="G1505" s="4" t="s">
        <v>246</v>
      </c>
      <c r="H1505" s="4" t="s">
        <v>26</v>
      </c>
      <c r="I1505" s="5">
        <v>155000000</v>
      </c>
      <c r="J1505" s="5">
        <v>49500</v>
      </c>
      <c r="K1505" s="5">
        <v>4950</v>
      </c>
      <c r="L1505" s="4" t="s">
        <v>247</v>
      </c>
      <c r="M1505" s="4" t="s">
        <v>248</v>
      </c>
      <c r="N1505" s="3">
        <v>45897</v>
      </c>
      <c r="O1505" s="4" t="s">
        <v>459</v>
      </c>
      <c r="P1505" s="2">
        <v>1000</v>
      </c>
      <c r="Q1505" s="2">
        <v>10438</v>
      </c>
      <c r="R1505" s="4" t="s">
        <v>747</v>
      </c>
      <c r="S1505" s="5">
        <v>151077800</v>
      </c>
    </row>
    <row r="1506" spans="1:19" x14ac:dyDescent="0.25">
      <c r="A1506" s="4" t="s">
        <v>61</v>
      </c>
      <c r="B1506" s="4" t="s">
        <v>59</v>
      </c>
      <c r="C1506" s="4" t="s">
        <v>62</v>
      </c>
      <c r="D1506" s="4" t="s">
        <v>63</v>
      </c>
      <c r="E1506" s="4" t="s">
        <v>216</v>
      </c>
      <c r="F1506" s="4" t="s">
        <v>217</v>
      </c>
      <c r="G1506" s="4" t="s">
        <v>97</v>
      </c>
      <c r="H1506" s="4" t="s">
        <v>26</v>
      </c>
      <c r="I1506" s="5">
        <v>155000000</v>
      </c>
      <c r="J1506" s="5">
        <v>49500</v>
      </c>
      <c r="K1506" s="5">
        <v>4950</v>
      </c>
      <c r="L1506" s="4" t="s">
        <v>26</v>
      </c>
      <c r="M1506" s="4" t="s">
        <v>26</v>
      </c>
      <c r="N1506" s="3">
        <v>45897</v>
      </c>
      <c r="O1506" s="4" t="s">
        <v>459</v>
      </c>
      <c r="P1506" s="2">
        <v>1000</v>
      </c>
      <c r="Q1506" s="2">
        <v>10439</v>
      </c>
      <c r="R1506" s="4" t="s">
        <v>747</v>
      </c>
      <c r="S1506" s="5">
        <v>152389300</v>
      </c>
    </row>
    <row r="1507" spans="1:19" x14ac:dyDescent="0.25">
      <c r="A1507" s="4" t="s">
        <v>61</v>
      </c>
      <c r="B1507" s="4" t="s">
        <v>59</v>
      </c>
      <c r="C1507" s="4" t="s">
        <v>62</v>
      </c>
      <c r="D1507" s="4" t="s">
        <v>63</v>
      </c>
      <c r="E1507" s="4" t="s">
        <v>193</v>
      </c>
      <c r="F1507" s="4" t="s">
        <v>194</v>
      </c>
      <c r="G1507" s="4" t="s">
        <v>105</v>
      </c>
      <c r="H1507" s="4" t="s">
        <v>26</v>
      </c>
      <c r="I1507" s="5">
        <v>155000000</v>
      </c>
      <c r="J1507" s="5">
        <v>40500</v>
      </c>
      <c r="K1507" s="5">
        <v>4050</v>
      </c>
      <c r="L1507" s="4" t="s">
        <v>195</v>
      </c>
      <c r="M1507" s="4" t="s">
        <v>196</v>
      </c>
      <c r="N1507" s="3">
        <v>45897</v>
      </c>
      <c r="O1507" s="4" t="s">
        <v>459</v>
      </c>
      <c r="P1507" s="2">
        <v>1000</v>
      </c>
      <c r="Q1507" s="2">
        <v>10446</v>
      </c>
      <c r="R1507" s="4" t="s">
        <v>747</v>
      </c>
      <c r="S1507" s="5">
        <v>149540330</v>
      </c>
    </row>
    <row r="1508" spans="1:19" x14ac:dyDescent="0.25">
      <c r="A1508" s="4" t="s">
        <v>61</v>
      </c>
      <c r="B1508" s="4" t="s">
        <v>59</v>
      </c>
      <c r="C1508" s="4" t="s">
        <v>62</v>
      </c>
      <c r="D1508" s="4" t="s">
        <v>63</v>
      </c>
      <c r="E1508" s="4" t="s">
        <v>277</v>
      </c>
      <c r="F1508" s="4" t="s">
        <v>278</v>
      </c>
      <c r="G1508" s="4" t="s">
        <v>50</v>
      </c>
      <c r="H1508" s="4" t="s">
        <v>26</v>
      </c>
      <c r="I1508" s="5">
        <v>65000000</v>
      </c>
      <c r="J1508" s="5">
        <v>54000</v>
      </c>
      <c r="K1508" s="5">
        <v>5400</v>
      </c>
      <c r="L1508" s="4" t="s">
        <v>26</v>
      </c>
      <c r="M1508" s="4" t="s">
        <v>26</v>
      </c>
      <c r="N1508" s="3">
        <v>45897</v>
      </c>
      <c r="O1508" s="4" t="s">
        <v>459</v>
      </c>
      <c r="P1508" s="2">
        <v>1000</v>
      </c>
      <c r="Q1508" s="2">
        <v>10448</v>
      </c>
      <c r="R1508" s="4" t="s">
        <v>747</v>
      </c>
      <c r="S1508" s="5">
        <v>64145800</v>
      </c>
    </row>
    <row r="1509" spans="1:19" x14ac:dyDescent="0.25">
      <c r="A1509" s="4" t="s">
        <v>61</v>
      </c>
      <c r="B1509" s="4" t="s">
        <v>59</v>
      </c>
      <c r="C1509" s="4" t="s">
        <v>62</v>
      </c>
      <c r="D1509" s="4" t="s">
        <v>63</v>
      </c>
      <c r="E1509" s="4" t="s">
        <v>69</v>
      </c>
      <c r="F1509" s="4" t="s">
        <v>70</v>
      </c>
      <c r="G1509" s="4" t="s">
        <v>71</v>
      </c>
      <c r="H1509" s="4" t="s">
        <v>26</v>
      </c>
      <c r="I1509" s="5">
        <v>155000000</v>
      </c>
      <c r="J1509" s="5">
        <v>23100</v>
      </c>
      <c r="K1509" s="5">
        <v>2310</v>
      </c>
      <c r="L1509" s="4" t="s">
        <v>26</v>
      </c>
      <c r="M1509" s="4" t="s">
        <v>26</v>
      </c>
      <c r="N1509" s="3">
        <v>45897</v>
      </c>
      <c r="O1509" s="4" t="s">
        <v>51</v>
      </c>
      <c r="P1509" s="2">
        <v>1000</v>
      </c>
      <c r="Q1509" s="2">
        <v>10464</v>
      </c>
      <c r="R1509" s="4" t="s">
        <v>749</v>
      </c>
      <c r="S1509" s="5">
        <v>143018000</v>
      </c>
    </row>
    <row r="1510" spans="1:19" x14ac:dyDescent="0.25">
      <c r="A1510" s="4" t="s">
        <v>61</v>
      </c>
      <c r="B1510" s="4" t="s">
        <v>59</v>
      </c>
      <c r="C1510" s="4" t="s">
        <v>62</v>
      </c>
      <c r="D1510" s="4" t="s">
        <v>63</v>
      </c>
      <c r="E1510" s="4" t="s">
        <v>92</v>
      </c>
      <c r="F1510" s="4" t="s">
        <v>93</v>
      </c>
      <c r="G1510" s="4" t="s">
        <v>94</v>
      </c>
      <c r="H1510" s="4" t="s">
        <v>26</v>
      </c>
      <c r="I1510" s="5">
        <v>155000000</v>
      </c>
      <c r="J1510" s="5">
        <v>87200</v>
      </c>
      <c r="K1510" s="5">
        <v>8720</v>
      </c>
      <c r="L1510" s="4" t="s">
        <v>26</v>
      </c>
      <c r="M1510" s="4" t="s">
        <v>26</v>
      </c>
      <c r="N1510" s="3">
        <v>45897</v>
      </c>
      <c r="O1510" s="4" t="s">
        <v>51</v>
      </c>
      <c r="P1510" s="2">
        <v>1000</v>
      </c>
      <c r="Q1510" s="2">
        <v>10473</v>
      </c>
      <c r="R1510" s="4" t="s">
        <v>26</v>
      </c>
      <c r="S1510" s="5">
        <v>145558700</v>
      </c>
    </row>
    <row r="1511" spans="1:19" x14ac:dyDescent="0.25">
      <c r="A1511" s="4" t="s">
        <v>61</v>
      </c>
      <c r="B1511" s="4" t="s">
        <v>59</v>
      </c>
      <c r="C1511" s="4" t="s">
        <v>62</v>
      </c>
      <c r="D1511" s="4" t="s">
        <v>63</v>
      </c>
      <c r="E1511" s="4" t="s">
        <v>106</v>
      </c>
      <c r="F1511" s="4" t="s">
        <v>107</v>
      </c>
      <c r="G1511" s="4" t="s">
        <v>108</v>
      </c>
      <c r="H1511" s="4" t="s">
        <v>26</v>
      </c>
      <c r="I1511" s="5">
        <v>150000000</v>
      </c>
      <c r="J1511" s="5">
        <v>67500</v>
      </c>
      <c r="K1511" s="5">
        <v>6750</v>
      </c>
      <c r="L1511" s="4" t="s">
        <v>109</v>
      </c>
      <c r="M1511" s="4" t="s">
        <v>110</v>
      </c>
      <c r="N1511" s="3">
        <v>45889</v>
      </c>
      <c r="O1511" s="4" t="s">
        <v>154</v>
      </c>
      <c r="P1511" s="2">
        <v>1000</v>
      </c>
      <c r="Q1511" s="2">
        <v>10475</v>
      </c>
      <c r="R1511" s="4" t="s">
        <v>749</v>
      </c>
      <c r="S1511" s="5">
        <v>149865000</v>
      </c>
    </row>
    <row r="1512" spans="1:19" x14ac:dyDescent="0.25">
      <c r="A1512" s="4" t="s">
        <v>61</v>
      </c>
      <c r="B1512" s="4" t="s">
        <v>59</v>
      </c>
      <c r="C1512" s="4" t="s">
        <v>62</v>
      </c>
      <c r="D1512" s="4" t="s">
        <v>63</v>
      </c>
      <c r="E1512" s="4" t="s">
        <v>526</v>
      </c>
      <c r="F1512" s="4" t="s">
        <v>527</v>
      </c>
      <c r="G1512" s="4" t="s">
        <v>81</v>
      </c>
      <c r="H1512" s="4" t="s">
        <v>26</v>
      </c>
      <c r="I1512" s="5">
        <v>65000000</v>
      </c>
      <c r="J1512" s="5">
        <v>63000</v>
      </c>
      <c r="K1512" s="5">
        <v>6300</v>
      </c>
      <c r="L1512" s="4" t="s">
        <v>26</v>
      </c>
      <c r="M1512" s="4" t="s">
        <v>26</v>
      </c>
      <c r="N1512" s="3">
        <v>45897</v>
      </c>
      <c r="O1512" s="4" t="s">
        <v>459</v>
      </c>
      <c r="P1512" s="2">
        <v>1000</v>
      </c>
      <c r="Q1512" s="2">
        <v>10544</v>
      </c>
      <c r="R1512" s="4" t="s">
        <v>747</v>
      </c>
      <c r="S1512" s="5">
        <v>62339960</v>
      </c>
    </row>
    <row r="1513" spans="1:19" x14ac:dyDescent="0.25">
      <c r="A1513" s="4" t="s">
        <v>61</v>
      </c>
      <c r="B1513" s="4" t="s">
        <v>59</v>
      </c>
      <c r="C1513" s="4" t="s">
        <v>62</v>
      </c>
      <c r="D1513" s="4" t="s">
        <v>63</v>
      </c>
      <c r="E1513" s="4" t="s">
        <v>148</v>
      </c>
      <c r="F1513" s="4" t="s">
        <v>149</v>
      </c>
      <c r="G1513" s="4" t="s">
        <v>50</v>
      </c>
      <c r="H1513" s="4" t="s">
        <v>26</v>
      </c>
      <c r="I1513" s="5">
        <v>65000000</v>
      </c>
      <c r="J1513" s="5">
        <v>65000</v>
      </c>
      <c r="K1513" s="5">
        <v>6500</v>
      </c>
      <c r="L1513" s="4" t="s">
        <v>26</v>
      </c>
      <c r="M1513" s="4" t="s">
        <v>26</v>
      </c>
      <c r="N1513" s="3">
        <v>45889</v>
      </c>
      <c r="O1513" s="4" t="s">
        <v>154</v>
      </c>
      <c r="P1513" s="2">
        <v>1000</v>
      </c>
      <c r="Q1513" s="2">
        <v>10565</v>
      </c>
      <c r="R1513" s="4" t="s">
        <v>84</v>
      </c>
      <c r="S1513" s="5">
        <v>58699710</v>
      </c>
    </row>
    <row r="1514" spans="1:19" x14ac:dyDescent="0.25">
      <c r="A1514" s="4" t="s">
        <v>61</v>
      </c>
      <c r="B1514" s="4" t="s">
        <v>59</v>
      </c>
      <c r="C1514" s="4" t="s">
        <v>62</v>
      </c>
      <c r="D1514" s="4" t="s">
        <v>63</v>
      </c>
      <c r="E1514" s="4" t="s">
        <v>155</v>
      </c>
      <c r="F1514" s="4" t="s">
        <v>156</v>
      </c>
      <c r="G1514" s="4" t="s">
        <v>157</v>
      </c>
      <c r="H1514" s="4" t="s">
        <v>26</v>
      </c>
      <c r="I1514" s="5">
        <v>90000000</v>
      </c>
      <c r="J1514" s="5">
        <v>100000</v>
      </c>
      <c r="K1514" s="5">
        <v>10000</v>
      </c>
      <c r="L1514" s="4" t="s">
        <v>158</v>
      </c>
      <c r="M1514" s="4" t="s">
        <v>159</v>
      </c>
      <c r="N1514" s="3">
        <v>45897</v>
      </c>
      <c r="O1514" s="4" t="s">
        <v>459</v>
      </c>
      <c r="P1514" s="2">
        <v>1000</v>
      </c>
      <c r="Q1514" s="2">
        <v>10567</v>
      </c>
      <c r="R1514" s="4" t="s">
        <v>26</v>
      </c>
      <c r="S1514" s="5">
        <v>87868500</v>
      </c>
    </row>
    <row r="1515" spans="1:19" x14ac:dyDescent="0.25">
      <c r="A1515" s="4" t="s">
        <v>61</v>
      </c>
      <c r="B1515" s="4" t="s">
        <v>59</v>
      </c>
      <c r="C1515" s="4" t="s">
        <v>62</v>
      </c>
      <c r="D1515" s="4" t="s">
        <v>63</v>
      </c>
      <c r="E1515" s="4" t="s">
        <v>79</v>
      </c>
      <c r="F1515" s="4" t="s">
        <v>80</v>
      </c>
      <c r="G1515" s="4" t="s">
        <v>81</v>
      </c>
      <c r="H1515" s="4" t="s">
        <v>26</v>
      </c>
      <c r="I1515" s="5">
        <v>65000000</v>
      </c>
      <c r="J1515" s="5">
        <v>96000</v>
      </c>
      <c r="K1515" s="5">
        <v>9600</v>
      </c>
      <c r="L1515" s="4" t="s">
        <v>218</v>
      </c>
      <c r="M1515" s="4" t="s">
        <v>219</v>
      </c>
      <c r="N1515" s="3">
        <v>45897</v>
      </c>
      <c r="O1515" s="4" t="s">
        <v>459</v>
      </c>
      <c r="P1515" s="2">
        <v>1000</v>
      </c>
      <c r="Q1515" s="2">
        <v>10578</v>
      </c>
      <c r="R1515" s="4" t="s">
        <v>84</v>
      </c>
      <c r="S1515" s="5">
        <v>61690700</v>
      </c>
    </row>
    <row r="1516" spans="1:19" x14ac:dyDescent="0.25">
      <c r="A1516" s="4" t="s">
        <v>61</v>
      </c>
      <c r="B1516" s="4" t="s">
        <v>59</v>
      </c>
      <c r="C1516" s="4" t="s">
        <v>62</v>
      </c>
      <c r="D1516" s="4" t="s">
        <v>63</v>
      </c>
      <c r="E1516" s="4" t="s">
        <v>160</v>
      </c>
      <c r="F1516" s="4" t="s">
        <v>161</v>
      </c>
      <c r="G1516" s="4" t="s">
        <v>115</v>
      </c>
      <c r="H1516" s="4" t="s">
        <v>26</v>
      </c>
      <c r="I1516" s="5">
        <v>65000000</v>
      </c>
      <c r="J1516" s="5">
        <v>96000</v>
      </c>
      <c r="K1516" s="5">
        <v>9600</v>
      </c>
      <c r="L1516" s="4" t="s">
        <v>162</v>
      </c>
      <c r="M1516" s="4" t="s">
        <v>163</v>
      </c>
      <c r="N1516" s="3">
        <v>45897</v>
      </c>
      <c r="O1516" s="4" t="s">
        <v>459</v>
      </c>
      <c r="P1516" s="2">
        <v>1000</v>
      </c>
      <c r="Q1516" s="2">
        <v>10579</v>
      </c>
      <c r="R1516" s="4" t="s">
        <v>84</v>
      </c>
      <c r="S1516" s="5">
        <v>64250650</v>
      </c>
    </row>
    <row r="1517" spans="1:19" x14ac:dyDescent="0.25">
      <c r="A1517" s="4" t="s">
        <v>61</v>
      </c>
      <c r="B1517" s="4" t="s">
        <v>59</v>
      </c>
      <c r="C1517" s="4" t="s">
        <v>62</v>
      </c>
      <c r="D1517" s="4" t="s">
        <v>63</v>
      </c>
      <c r="E1517" s="4" t="s">
        <v>127</v>
      </c>
      <c r="F1517" s="4" t="s">
        <v>128</v>
      </c>
      <c r="G1517" s="4" t="s">
        <v>50</v>
      </c>
      <c r="H1517" s="4" t="s">
        <v>26</v>
      </c>
      <c r="I1517" s="5">
        <v>65000000</v>
      </c>
      <c r="J1517" s="5">
        <v>890000</v>
      </c>
      <c r="K1517" s="5">
        <v>89000</v>
      </c>
      <c r="L1517" s="4" t="s">
        <v>129</v>
      </c>
      <c r="M1517" s="4" t="s">
        <v>130</v>
      </c>
      <c r="N1517" s="3">
        <v>45897</v>
      </c>
      <c r="O1517" s="4" t="s">
        <v>459</v>
      </c>
      <c r="P1517" s="2">
        <v>1000</v>
      </c>
      <c r="Q1517" s="2">
        <v>10591</v>
      </c>
      <c r="R1517" s="4" t="s">
        <v>84</v>
      </c>
      <c r="S1517" s="5">
        <v>60417600</v>
      </c>
    </row>
    <row r="1518" spans="1:19" x14ac:dyDescent="0.25">
      <c r="A1518" s="4" t="s">
        <v>61</v>
      </c>
      <c r="B1518" s="4" t="s">
        <v>59</v>
      </c>
      <c r="C1518" s="4" t="s">
        <v>62</v>
      </c>
      <c r="D1518" s="4" t="s">
        <v>63</v>
      </c>
      <c r="E1518" s="4" t="s">
        <v>74</v>
      </c>
      <c r="F1518" s="4" t="s">
        <v>75</v>
      </c>
      <c r="G1518" s="4" t="s">
        <v>76</v>
      </c>
      <c r="H1518" s="4" t="s">
        <v>26</v>
      </c>
      <c r="I1518" s="5">
        <v>110000000</v>
      </c>
      <c r="J1518" s="5">
        <v>130000</v>
      </c>
      <c r="K1518" s="5">
        <v>13000</v>
      </c>
      <c r="L1518" s="4" t="s">
        <v>77</v>
      </c>
      <c r="M1518" s="4" t="s">
        <v>78</v>
      </c>
      <c r="N1518" s="3">
        <v>45897</v>
      </c>
      <c r="O1518" s="4" t="s">
        <v>459</v>
      </c>
      <c r="P1518" s="2">
        <v>1000</v>
      </c>
      <c r="Q1518" s="2">
        <v>10594</v>
      </c>
      <c r="R1518" s="4" t="s">
        <v>84</v>
      </c>
      <c r="S1518" s="5">
        <v>108586000</v>
      </c>
    </row>
    <row r="1519" spans="1:19" x14ac:dyDescent="0.25">
      <c r="A1519" s="4" t="s">
        <v>61</v>
      </c>
      <c r="B1519" s="4" t="s">
        <v>59</v>
      </c>
      <c r="C1519" s="4" t="s">
        <v>62</v>
      </c>
      <c r="D1519" s="4" t="s">
        <v>63</v>
      </c>
      <c r="E1519" s="4" t="s">
        <v>74</v>
      </c>
      <c r="F1519" s="4" t="s">
        <v>75</v>
      </c>
      <c r="G1519" s="4" t="s">
        <v>76</v>
      </c>
      <c r="H1519" s="4" t="s">
        <v>26</v>
      </c>
      <c r="I1519" s="5">
        <v>110000000</v>
      </c>
      <c r="J1519" s="5">
        <v>135000</v>
      </c>
      <c r="K1519" s="5">
        <v>13500</v>
      </c>
      <c r="L1519" s="4" t="s">
        <v>77</v>
      </c>
      <c r="M1519" s="4" t="s">
        <v>78</v>
      </c>
      <c r="N1519" s="3">
        <v>45897</v>
      </c>
      <c r="O1519" s="4" t="s">
        <v>459</v>
      </c>
      <c r="P1519" s="2">
        <v>2000</v>
      </c>
      <c r="Q1519" s="2">
        <v>10594</v>
      </c>
      <c r="R1519" s="4" t="s">
        <v>84</v>
      </c>
      <c r="S1519" s="5">
        <v>108586000</v>
      </c>
    </row>
    <row r="1520" spans="1:19" x14ac:dyDescent="0.25">
      <c r="A1520" s="4" t="s">
        <v>61</v>
      </c>
      <c r="B1520" s="4" t="s">
        <v>59</v>
      </c>
      <c r="C1520" s="4" t="s">
        <v>62</v>
      </c>
      <c r="D1520" s="4" t="s">
        <v>63</v>
      </c>
      <c r="E1520" s="4" t="s">
        <v>74</v>
      </c>
      <c r="F1520" s="4" t="s">
        <v>75</v>
      </c>
      <c r="G1520" s="4" t="s">
        <v>76</v>
      </c>
      <c r="H1520" s="4" t="s">
        <v>26</v>
      </c>
      <c r="I1520" s="5">
        <v>110000000</v>
      </c>
      <c r="J1520" s="5">
        <v>173000</v>
      </c>
      <c r="K1520" s="5">
        <v>17300</v>
      </c>
      <c r="L1520" s="4" t="s">
        <v>77</v>
      </c>
      <c r="M1520" s="4" t="s">
        <v>78</v>
      </c>
      <c r="N1520" s="3">
        <v>45897</v>
      </c>
      <c r="O1520" s="4" t="s">
        <v>459</v>
      </c>
      <c r="P1520" s="2">
        <v>3000</v>
      </c>
      <c r="Q1520" s="2">
        <v>10594</v>
      </c>
      <c r="R1520" s="4" t="s">
        <v>84</v>
      </c>
      <c r="S1520" s="5">
        <v>108586000</v>
      </c>
    </row>
    <row r="1521" spans="1:19" x14ac:dyDescent="0.25">
      <c r="A1521" s="4" t="s">
        <v>61</v>
      </c>
      <c r="B1521" s="4" t="s">
        <v>59</v>
      </c>
      <c r="C1521" s="4" t="s">
        <v>62</v>
      </c>
      <c r="D1521" s="4" t="s">
        <v>63</v>
      </c>
      <c r="E1521" s="4" t="s">
        <v>103</v>
      </c>
      <c r="F1521" s="4" t="s">
        <v>104</v>
      </c>
      <c r="G1521" s="4" t="s">
        <v>105</v>
      </c>
      <c r="H1521" s="4" t="s">
        <v>26</v>
      </c>
      <c r="I1521" s="5">
        <v>155000000</v>
      </c>
      <c r="J1521" s="5">
        <v>78400</v>
      </c>
      <c r="K1521" s="5">
        <v>7840</v>
      </c>
      <c r="L1521" s="4" t="s">
        <v>26</v>
      </c>
      <c r="M1521" s="4" t="s">
        <v>26</v>
      </c>
      <c r="N1521" s="3">
        <v>45898</v>
      </c>
      <c r="O1521" s="4" t="s">
        <v>51</v>
      </c>
      <c r="P1521" s="2">
        <v>1000</v>
      </c>
      <c r="Q1521" s="2">
        <v>10604</v>
      </c>
      <c r="R1521" s="4" t="s">
        <v>749</v>
      </c>
      <c r="S1521" s="5">
        <v>150234500</v>
      </c>
    </row>
    <row r="1522" spans="1:19" x14ac:dyDescent="0.25">
      <c r="A1522" s="4" t="s">
        <v>61</v>
      </c>
      <c r="B1522" s="4" t="s">
        <v>59</v>
      </c>
      <c r="C1522" s="4" t="s">
        <v>62</v>
      </c>
      <c r="D1522" s="4" t="s">
        <v>63</v>
      </c>
      <c r="E1522" s="4" t="s">
        <v>484</v>
      </c>
      <c r="F1522" s="4" t="s">
        <v>485</v>
      </c>
      <c r="G1522" s="4" t="s">
        <v>381</v>
      </c>
      <c r="H1522" s="4" t="s">
        <v>26</v>
      </c>
      <c r="I1522" s="5">
        <v>90000000</v>
      </c>
      <c r="J1522" s="5">
        <v>45000</v>
      </c>
      <c r="K1522" s="5">
        <v>4500</v>
      </c>
      <c r="L1522" s="4" t="s">
        <v>26</v>
      </c>
      <c r="M1522" s="4" t="s">
        <v>26</v>
      </c>
      <c r="N1522" s="3">
        <v>45897</v>
      </c>
      <c r="O1522" s="4" t="s">
        <v>459</v>
      </c>
      <c r="P1522" s="2">
        <v>1000</v>
      </c>
      <c r="Q1522" s="2">
        <v>10611</v>
      </c>
      <c r="R1522" s="4" t="s">
        <v>747</v>
      </c>
      <c r="S1522" s="5">
        <v>84618000</v>
      </c>
    </row>
    <row r="1523" spans="1:19" x14ac:dyDescent="0.25">
      <c r="A1523" s="4" t="s">
        <v>61</v>
      </c>
      <c r="B1523" s="4" t="s">
        <v>59</v>
      </c>
      <c r="C1523" s="4" t="s">
        <v>62</v>
      </c>
      <c r="D1523" s="4" t="s">
        <v>63</v>
      </c>
      <c r="E1523" s="4" t="s">
        <v>484</v>
      </c>
      <c r="F1523" s="4" t="s">
        <v>485</v>
      </c>
      <c r="G1523" s="4" t="s">
        <v>381</v>
      </c>
      <c r="H1523" s="4" t="s">
        <v>26</v>
      </c>
      <c r="I1523" s="5">
        <v>90000000</v>
      </c>
      <c r="J1523" s="5">
        <v>40500</v>
      </c>
      <c r="K1523" s="5">
        <v>4050</v>
      </c>
      <c r="L1523" s="4" t="s">
        <v>26</v>
      </c>
      <c r="M1523" s="4" t="s">
        <v>26</v>
      </c>
      <c r="N1523" s="3">
        <v>45897</v>
      </c>
      <c r="O1523" s="4" t="s">
        <v>459</v>
      </c>
      <c r="P1523" s="2">
        <v>2000</v>
      </c>
      <c r="Q1523" s="2">
        <v>10611</v>
      </c>
      <c r="R1523" s="4" t="s">
        <v>747</v>
      </c>
      <c r="S1523" s="5">
        <v>84618000</v>
      </c>
    </row>
    <row r="1524" spans="1:19" x14ac:dyDescent="0.25">
      <c r="A1524" s="4" t="s">
        <v>61</v>
      </c>
      <c r="B1524" s="4" t="s">
        <v>59</v>
      </c>
      <c r="C1524" s="4" t="s">
        <v>62</v>
      </c>
      <c r="D1524" s="4" t="s">
        <v>63</v>
      </c>
      <c r="E1524" s="4" t="s">
        <v>408</v>
      </c>
      <c r="F1524" s="4" t="s">
        <v>409</v>
      </c>
      <c r="G1524" s="4" t="s">
        <v>100</v>
      </c>
      <c r="H1524" s="4" t="s">
        <v>26</v>
      </c>
      <c r="I1524" s="5">
        <v>65000000</v>
      </c>
      <c r="J1524" s="5">
        <v>50000</v>
      </c>
      <c r="K1524" s="5">
        <v>5000</v>
      </c>
      <c r="L1524" s="4" t="s">
        <v>410</v>
      </c>
      <c r="M1524" s="4" t="s">
        <v>411</v>
      </c>
      <c r="N1524" s="3">
        <v>45897</v>
      </c>
      <c r="O1524" s="4" t="s">
        <v>459</v>
      </c>
      <c r="P1524" s="2">
        <v>1000</v>
      </c>
      <c r="Q1524" s="2">
        <v>10655</v>
      </c>
      <c r="R1524" s="4" t="s">
        <v>747</v>
      </c>
      <c r="S1524" s="5">
        <v>64703500</v>
      </c>
    </row>
    <row r="1525" spans="1:19" x14ac:dyDescent="0.25">
      <c r="A1525" s="4" t="s">
        <v>61</v>
      </c>
      <c r="B1525" s="4" t="s">
        <v>59</v>
      </c>
      <c r="C1525" s="4" t="s">
        <v>62</v>
      </c>
      <c r="D1525" s="4" t="s">
        <v>63</v>
      </c>
      <c r="E1525" s="4" t="s">
        <v>148</v>
      </c>
      <c r="F1525" s="4" t="s">
        <v>149</v>
      </c>
      <c r="G1525" s="4" t="s">
        <v>50</v>
      </c>
      <c r="H1525" s="4" t="s">
        <v>26</v>
      </c>
      <c r="I1525" s="5">
        <v>65000000</v>
      </c>
      <c r="J1525" s="5">
        <v>34000</v>
      </c>
      <c r="K1525" s="5">
        <v>3400</v>
      </c>
      <c r="L1525" s="4" t="s">
        <v>26</v>
      </c>
      <c r="M1525" s="4" t="s">
        <v>26</v>
      </c>
      <c r="N1525" s="3">
        <v>45890</v>
      </c>
      <c r="O1525" s="4" t="s">
        <v>154</v>
      </c>
      <c r="P1525" s="2">
        <v>1000</v>
      </c>
      <c r="Q1525" s="2">
        <v>10673</v>
      </c>
      <c r="R1525" s="4" t="s">
        <v>84</v>
      </c>
      <c r="S1525" s="5">
        <v>58699710</v>
      </c>
    </row>
    <row r="1526" spans="1:19" x14ac:dyDescent="0.25">
      <c r="A1526" s="4" t="s">
        <v>61</v>
      </c>
      <c r="B1526" s="4" t="s">
        <v>59</v>
      </c>
      <c r="C1526" s="4" t="s">
        <v>62</v>
      </c>
      <c r="D1526" s="4" t="s">
        <v>63</v>
      </c>
      <c r="E1526" s="4" t="s">
        <v>289</v>
      </c>
      <c r="F1526" s="4" t="s">
        <v>290</v>
      </c>
      <c r="G1526" s="4" t="s">
        <v>100</v>
      </c>
      <c r="H1526" s="4" t="s">
        <v>26</v>
      </c>
      <c r="I1526" s="5">
        <v>65000000</v>
      </c>
      <c r="J1526" s="5">
        <v>53900</v>
      </c>
      <c r="K1526" s="5">
        <v>5390</v>
      </c>
      <c r="L1526" s="4" t="s">
        <v>26</v>
      </c>
      <c r="M1526" s="4" t="s">
        <v>26</v>
      </c>
      <c r="N1526" s="3">
        <v>45897</v>
      </c>
      <c r="O1526" s="4" t="s">
        <v>459</v>
      </c>
      <c r="P1526" s="2">
        <v>1000</v>
      </c>
      <c r="Q1526" s="2">
        <v>10678</v>
      </c>
      <c r="R1526" s="4" t="s">
        <v>755</v>
      </c>
      <c r="S1526" s="5">
        <v>64257350</v>
      </c>
    </row>
    <row r="1527" spans="1:19" x14ac:dyDescent="0.25">
      <c r="A1527" s="4" t="s">
        <v>61</v>
      </c>
      <c r="B1527" s="4" t="s">
        <v>59</v>
      </c>
      <c r="C1527" s="4" t="s">
        <v>62</v>
      </c>
      <c r="D1527" s="4" t="s">
        <v>63</v>
      </c>
      <c r="E1527" s="4" t="s">
        <v>289</v>
      </c>
      <c r="F1527" s="4" t="s">
        <v>290</v>
      </c>
      <c r="G1527" s="4" t="s">
        <v>100</v>
      </c>
      <c r="H1527" s="4" t="s">
        <v>26</v>
      </c>
      <c r="I1527" s="5">
        <v>65000000</v>
      </c>
      <c r="J1527" s="5">
        <v>76500</v>
      </c>
      <c r="K1527" s="5">
        <v>7650</v>
      </c>
      <c r="L1527" s="4" t="s">
        <v>26</v>
      </c>
      <c r="M1527" s="4" t="s">
        <v>26</v>
      </c>
      <c r="N1527" s="3">
        <v>45897</v>
      </c>
      <c r="O1527" s="4" t="s">
        <v>459</v>
      </c>
      <c r="P1527" s="2">
        <v>2000</v>
      </c>
      <c r="Q1527" s="2">
        <v>10678</v>
      </c>
      <c r="R1527" s="4" t="s">
        <v>749</v>
      </c>
      <c r="S1527" s="5">
        <v>64257350</v>
      </c>
    </row>
    <row r="1528" spans="1:19" x14ac:dyDescent="0.25">
      <c r="A1528" s="4" t="s">
        <v>61</v>
      </c>
      <c r="B1528" s="4" t="s">
        <v>59</v>
      </c>
      <c r="C1528" s="4" t="s">
        <v>62</v>
      </c>
      <c r="D1528" s="4" t="s">
        <v>63</v>
      </c>
      <c r="E1528" s="4" t="s">
        <v>101</v>
      </c>
      <c r="F1528" s="4" t="s">
        <v>102</v>
      </c>
      <c r="G1528" s="4" t="s">
        <v>71</v>
      </c>
      <c r="H1528" s="4" t="s">
        <v>26</v>
      </c>
      <c r="I1528" s="5">
        <v>155000000</v>
      </c>
      <c r="J1528" s="5">
        <v>99000</v>
      </c>
      <c r="K1528" s="5">
        <v>9900</v>
      </c>
      <c r="L1528" s="4" t="s">
        <v>26</v>
      </c>
      <c r="M1528" s="4" t="s">
        <v>26</v>
      </c>
      <c r="N1528" s="3">
        <v>45898</v>
      </c>
      <c r="O1528" s="4" t="s">
        <v>51</v>
      </c>
      <c r="P1528" s="2">
        <v>1000</v>
      </c>
      <c r="Q1528" s="2">
        <v>10699</v>
      </c>
      <c r="R1528" s="4" t="s">
        <v>749</v>
      </c>
      <c r="S1528" s="5">
        <v>154309700</v>
      </c>
    </row>
    <row r="1529" spans="1:19" x14ac:dyDescent="0.25">
      <c r="A1529" s="4" t="s">
        <v>61</v>
      </c>
      <c r="B1529" s="4" t="s">
        <v>59</v>
      </c>
      <c r="C1529" s="4" t="s">
        <v>62</v>
      </c>
      <c r="D1529" s="4" t="s">
        <v>63</v>
      </c>
      <c r="E1529" s="4" t="s">
        <v>103</v>
      </c>
      <c r="F1529" s="4" t="s">
        <v>104</v>
      </c>
      <c r="G1529" s="4" t="s">
        <v>105</v>
      </c>
      <c r="H1529" s="4" t="s">
        <v>26</v>
      </c>
      <c r="I1529" s="5">
        <v>155000000</v>
      </c>
      <c r="J1529" s="5">
        <v>87200</v>
      </c>
      <c r="K1529" s="5">
        <v>8720</v>
      </c>
      <c r="L1529" s="4" t="s">
        <v>26</v>
      </c>
      <c r="M1529" s="4" t="s">
        <v>26</v>
      </c>
      <c r="N1529" s="3">
        <v>45898</v>
      </c>
      <c r="O1529" s="4" t="s">
        <v>51</v>
      </c>
      <c r="P1529" s="2">
        <v>1000</v>
      </c>
      <c r="Q1529" s="2">
        <v>10704</v>
      </c>
      <c r="R1529" s="4" t="s">
        <v>749</v>
      </c>
      <c r="S1529" s="5">
        <v>150234500</v>
      </c>
    </row>
    <row r="1530" spans="1:19" x14ac:dyDescent="0.25">
      <c r="A1530" s="4" t="s">
        <v>61</v>
      </c>
      <c r="B1530" s="4" t="s">
        <v>59</v>
      </c>
      <c r="C1530" s="4" t="s">
        <v>62</v>
      </c>
      <c r="D1530" s="4" t="s">
        <v>63</v>
      </c>
      <c r="E1530" s="4" t="s">
        <v>225</v>
      </c>
      <c r="F1530" s="4" t="s">
        <v>226</v>
      </c>
      <c r="G1530" s="4" t="s">
        <v>50</v>
      </c>
      <c r="H1530" s="4" t="s">
        <v>26</v>
      </c>
      <c r="I1530" s="5">
        <v>65000000</v>
      </c>
      <c r="J1530" s="5">
        <v>42500</v>
      </c>
      <c r="K1530" s="5">
        <v>4250</v>
      </c>
      <c r="L1530" s="4" t="s">
        <v>186</v>
      </c>
      <c r="M1530" s="4" t="s">
        <v>187</v>
      </c>
      <c r="N1530" s="3">
        <v>45890</v>
      </c>
      <c r="O1530" s="4" t="s">
        <v>154</v>
      </c>
      <c r="P1530" s="2">
        <v>1000</v>
      </c>
      <c r="Q1530" s="2">
        <v>10712</v>
      </c>
      <c r="R1530" s="4" t="s">
        <v>84</v>
      </c>
      <c r="S1530" s="5">
        <v>63203100</v>
      </c>
    </row>
    <row r="1531" spans="1:19" x14ac:dyDescent="0.25">
      <c r="A1531" s="4" t="s">
        <v>61</v>
      </c>
      <c r="B1531" s="4" t="s">
        <v>59</v>
      </c>
      <c r="C1531" s="4" t="s">
        <v>62</v>
      </c>
      <c r="D1531" s="4" t="s">
        <v>63</v>
      </c>
      <c r="E1531" s="4" t="s">
        <v>227</v>
      </c>
      <c r="F1531" s="4" t="s">
        <v>228</v>
      </c>
      <c r="G1531" s="4" t="s">
        <v>100</v>
      </c>
      <c r="H1531" s="4" t="s">
        <v>26</v>
      </c>
      <c r="I1531" s="5">
        <v>65000000</v>
      </c>
      <c r="J1531" s="5">
        <v>34000</v>
      </c>
      <c r="K1531" s="5">
        <v>3400</v>
      </c>
      <c r="L1531" s="4" t="s">
        <v>26</v>
      </c>
      <c r="M1531" s="4" t="s">
        <v>26</v>
      </c>
      <c r="N1531" s="3">
        <v>45890</v>
      </c>
      <c r="O1531" s="4" t="s">
        <v>154</v>
      </c>
      <c r="P1531" s="2">
        <v>1000</v>
      </c>
      <c r="Q1531" s="2">
        <v>10721</v>
      </c>
      <c r="R1531" s="4" t="s">
        <v>84</v>
      </c>
      <c r="S1531" s="5">
        <v>62005700</v>
      </c>
    </row>
    <row r="1532" spans="1:19" x14ac:dyDescent="0.25">
      <c r="A1532" s="4" t="s">
        <v>61</v>
      </c>
      <c r="B1532" s="4" t="s">
        <v>59</v>
      </c>
      <c r="C1532" s="4" t="s">
        <v>62</v>
      </c>
      <c r="D1532" s="4" t="s">
        <v>63</v>
      </c>
      <c r="E1532" s="4" t="s">
        <v>426</v>
      </c>
      <c r="F1532" s="4" t="s">
        <v>427</v>
      </c>
      <c r="G1532" s="4" t="s">
        <v>157</v>
      </c>
      <c r="H1532" s="4" t="s">
        <v>26</v>
      </c>
      <c r="I1532" s="5">
        <v>90000000</v>
      </c>
      <c r="J1532" s="5">
        <v>99000</v>
      </c>
      <c r="K1532" s="5">
        <v>9900</v>
      </c>
      <c r="L1532" s="4" t="s">
        <v>428</v>
      </c>
      <c r="M1532" s="4" t="s">
        <v>429</v>
      </c>
      <c r="N1532" s="3">
        <v>45899</v>
      </c>
      <c r="O1532" s="4" t="s">
        <v>416</v>
      </c>
      <c r="P1532" s="2">
        <v>1000</v>
      </c>
      <c r="Q1532" s="2">
        <v>10729</v>
      </c>
      <c r="R1532" s="4" t="s">
        <v>755</v>
      </c>
      <c r="S1532" s="5">
        <v>89653500</v>
      </c>
    </row>
    <row r="1533" spans="1:19" x14ac:dyDescent="0.25">
      <c r="A1533" s="4" t="s">
        <v>61</v>
      </c>
      <c r="B1533" s="4" t="s">
        <v>59</v>
      </c>
      <c r="C1533" s="4" t="s">
        <v>62</v>
      </c>
      <c r="D1533" s="4" t="s">
        <v>63</v>
      </c>
      <c r="E1533" s="4" t="s">
        <v>95</v>
      </c>
      <c r="F1533" s="4" t="s">
        <v>96</v>
      </c>
      <c r="G1533" s="4" t="s">
        <v>97</v>
      </c>
      <c r="H1533" s="4" t="s">
        <v>26</v>
      </c>
      <c r="I1533" s="5">
        <v>155000000</v>
      </c>
      <c r="J1533" s="5">
        <v>40500</v>
      </c>
      <c r="K1533" s="5">
        <v>4050</v>
      </c>
      <c r="L1533" s="4" t="s">
        <v>26</v>
      </c>
      <c r="M1533" s="4" t="s">
        <v>26</v>
      </c>
      <c r="N1533" s="3">
        <v>45898</v>
      </c>
      <c r="O1533" s="4" t="s">
        <v>459</v>
      </c>
      <c r="P1533" s="2">
        <v>1000</v>
      </c>
      <c r="Q1533" s="2">
        <v>10748</v>
      </c>
      <c r="R1533" s="4" t="s">
        <v>747</v>
      </c>
      <c r="S1533" s="5">
        <v>154473500</v>
      </c>
    </row>
    <row r="1534" spans="1:19" x14ac:dyDescent="0.25">
      <c r="A1534" s="4" t="s">
        <v>61</v>
      </c>
      <c r="B1534" s="4" t="s">
        <v>59</v>
      </c>
      <c r="C1534" s="4" t="s">
        <v>62</v>
      </c>
      <c r="D1534" s="4" t="s">
        <v>63</v>
      </c>
      <c r="E1534" s="4" t="s">
        <v>229</v>
      </c>
      <c r="F1534" s="4" t="s">
        <v>230</v>
      </c>
      <c r="G1534" s="4" t="s">
        <v>231</v>
      </c>
      <c r="H1534" s="4" t="s">
        <v>26</v>
      </c>
      <c r="I1534" s="5">
        <v>110000000</v>
      </c>
      <c r="J1534" s="5">
        <v>34000</v>
      </c>
      <c r="K1534" s="5">
        <v>3400</v>
      </c>
      <c r="L1534" s="4" t="s">
        <v>26</v>
      </c>
      <c r="M1534" s="4" t="s">
        <v>26</v>
      </c>
      <c r="N1534" s="3">
        <v>45890</v>
      </c>
      <c r="O1534" s="4" t="s">
        <v>154</v>
      </c>
      <c r="P1534" s="2">
        <v>1000</v>
      </c>
      <c r="Q1534" s="2">
        <v>10756</v>
      </c>
      <c r="R1534" s="4" t="s">
        <v>84</v>
      </c>
      <c r="S1534" s="5">
        <v>108567750</v>
      </c>
    </row>
    <row r="1535" spans="1:19" x14ac:dyDescent="0.25">
      <c r="A1535" s="4" t="s">
        <v>61</v>
      </c>
      <c r="B1535" s="4" t="s">
        <v>59</v>
      </c>
      <c r="C1535" s="4" t="s">
        <v>62</v>
      </c>
      <c r="D1535" s="4" t="s">
        <v>63</v>
      </c>
      <c r="E1535" s="4" t="s">
        <v>202</v>
      </c>
      <c r="F1535" s="4" t="s">
        <v>203</v>
      </c>
      <c r="G1535" s="4" t="s">
        <v>100</v>
      </c>
      <c r="H1535" s="4" t="s">
        <v>26</v>
      </c>
      <c r="I1535" s="5">
        <v>65000000</v>
      </c>
      <c r="J1535" s="5">
        <v>45000</v>
      </c>
      <c r="K1535" s="5">
        <v>4500</v>
      </c>
      <c r="L1535" s="4" t="s">
        <v>26</v>
      </c>
      <c r="M1535" s="4" t="s">
        <v>26</v>
      </c>
      <c r="N1535" s="3">
        <v>45898</v>
      </c>
      <c r="O1535" s="4" t="s">
        <v>459</v>
      </c>
      <c r="P1535" s="2">
        <v>1000</v>
      </c>
      <c r="Q1535" s="2">
        <v>10771</v>
      </c>
      <c r="R1535" s="4" t="s">
        <v>747</v>
      </c>
      <c r="S1535" s="5">
        <v>63226550</v>
      </c>
    </row>
    <row r="1536" spans="1:19" x14ac:dyDescent="0.25">
      <c r="A1536" s="4" t="s">
        <v>61</v>
      </c>
      <c r="B1536" s="4" t="s">
        <v>59</v>
      </c>
      <c r="C1536" s="4" t="s">
        <v>62</v>
      </c>
      <c r="D1536" s="4" t="s">
        <v>63</v>
      </c>
      <c r="E1536" s="4" t="s">
        <v>430</v>
      </c>
      <c r="F1536" s="4" t="s">
        <v>431</v>
      </c>
      <c r="G1536" s="4" t="s">
        <v>100</v>
      </c>
      <c r="H1536" s="4" t="s">
        <v>26</v>
      </c>
      <c r="I1536" s="5">
        <v>65000000</v>
      </c>
      <c r="J1536" s="5">
        <v>152100</v>
      </c>
      <c r="K1536" s="5">
        <v>15210</v>
      </c>
      <c r="L1536" s="4" t="s">
        <v>26</v>
      </c>
      <c r="M1536" s="4" t="s">
        <v>26</v>
      </c>
      <c r="N1536" s="3">
        <v>45899</v>
      </c>
      <c r="O1536" s="4" t="s">
        <v>416</v>
      </c>
      <c r="P1536" s="2">
        <v>1000</v>
      </c>
      <c r="Q1536" s="2">
        <v>10782</v>
      </c>
      <c r="R1536" s="4" t="s">
        <v>84</v>
      </c>
      <c r="S1536" s="5">
        <v>64797900</v>
      </c>
    </row>
    <row r="1537" spans="1:19" x14ac:dyDescent="0.25">
      <c r="A1537" s="4" t="s">
        <v>61</v>
      </c>
      <c r="B1537" s="4" t="s">
        <v>59</v>
      </c>
      <c r="C1537" s="4" t="s">
        <v>62</v>
      </c>
      <c r="D1537" s="4" t="s">
        <v>63</v>
      </c>
      <c r="E1537" s="4" t="s">
        <v>301</v>
      </c>
      <c r="F1537" s="4" t="s">
        <v>302</v>
      </c>
      <c r="G1537" s="4" t="s">
        <v>157</v>
      </c>
      <c r="H1537" s="4" t="s">
        <v>26</v>
      </c>
      <c r="I1537" s="5">
        <v>90000000</v>
      </c>
      <c r="J1537" s="5">
        <v>23000</v>
      </c>
      <c r="K1537" s="5">
        <v>2300</v>
      </c>
      <c r="L1537" s="4" t="s">
        <v>303</v>
      </c>
      <c r="M1537" s="4" t="s">
        <v>304</v>
      </c>
      <c r="N1537" s="3">
        <v>45900</v>
      </c>
      <c r="O1537" s="4" t="s">
        <v>719</v>
      </c>
      <c r="P1537" s="2">
        <v>1000</v>
      </c>
      <c r="Q1537" s="2">
        <v>10814</v>
      </c>
      <c r="R1537" s="4" t="s">
        <v>769</v>
      </c>
      <c r="S1537" s="5">
        <v>86019450</v>
      </c>
    </row>
    <row r="1538" spans="1:19" x14ac:dyDescent="0.25">
      <c r="A1538" s="4" t="s">
        <v>61</v>
      </c>
      <c r="B1538" s="4" t="s">
        <v>59</v>
      </c>
      <c r="C1538" s="4" t="s">
        <v>62</v>
      </c>
      <c r="D1538" s="4" t="s">
        <v>63</v>
      </c>
      <c r="E1538" s="4" t="s">
        <v>301</v>
      </c>
      <c r="F1538" s="4" t="s">
        <v>302</v>
      </c>
      <c r="G1538" s="4" t="s">
        <v>157</v>
      </c>
      <c r="H1538" s="4" t="s">
        <v>26</v>
      </c>
      <c r="I1538" s="5">
        <v>90000000</v>
      </c>
      <c r="J1538" s="5">
        <v>22000</v>
      </c>
      <c r="K1538" s="5">
        <v>2200</v>
      </c>
      <c r="L1538" s="4" t="s">
        <v>303</v>
      </c>
      <c r="M1538" s="4" t="s">
        <v>304</v>
      </c>
      <c r="N1538" s="3">
        <v>45900</v>
      </c>
      <c r="O1538" s="4" t="s">
        <v>719</v>
      </c>
      <c r="P1538" s="2">
        <v>2000</v>
      </c>
      <c r="Q1538" s="2">
        <v>10814</v>
      </c>
      <c r="R1538" s="4" t="s">
        <v>769</v>
      </c>
      <c r="S1538" s="5">
        <v>86019450</v>
      </c>
    </row>
    <row r="1539" spans="1:19" x14ac:dyDescent="0.25">
      <c r="A1539" s="4" t="s">
        <v>61</v>
      </c>
      <c r="B1539" s="4" t="s">
        <v>59</v>
      </c>
      <c r="C1539" s="4" t="s">
        <v>62</v>
      </c>
      <c r="D1539" s="4" t="s">
        <v>63</v>
      </c>
      <c r="E1539" s="4" t="s">
        <v>232</v>
      </c>
      <c r="F1539" s="4" t="s">
        <v>233</v>
      </c>
      <c r="G1539" s="4" t="s">
        <v>81</v>
      </c>
      <c r="H1539" s="4" t="s">
        <v>26</v>
      </c>
      <c r="I1539" s="5">
        <v>65000000</v>
      </c>
      <c r="J1539" s="5">
        <v>192500</v>
      </c>
      <c r="K1539" s="5">
        <v>19250</v>
      </c>
      <c r="L1539" s="4" t="s">
        <v>234</v>
      </c>
      <c r="M1539" s="4" t="s">
        <v>235</v>
      </c>
      <c r="N1539" s="3">
        <v>45890</v>
      </c>
      <c r="O1539" s="4" t="s">
        <v>154</v>
      </c>
      <c r="P1539" s="2">
        <v>1000</v>
      </c>
      <c r="Q1539" s="2">
        <v>10867</v>
      </c>
      <c r="R1539" s="4" t="s">
        <v>749</v>
      </c>
      <c r="S1539" s="5">
        <v>56050260</v>
      </c>
    </row>
    <row r="1540" spans="1:19" x14ac:dyDescent="0.25">
      <c r="A1540" s="4" t="s">
        <v>61</v>
      </c>
      <c r="B1540" s="4" t="s">
        <v>59</v>
      </c>
      <c r="C1540" s="4" t="s">
        <v>62</v>
      </c>
      <c r="D1540" s="4" t="s">
        <v>63</v>
      </c>
      <c r="E1540" s="4" t="s">
        <v>227</v>
      </c>
      <c r="F1540" s="4" t="s">
        <v>228</v>
      </c>
      <c r="G1540" s="4" t="s">
        <v>100</v>
      </c>
      <c r="H1540" s="4" t="s">
        <v>26</v>
      </c>
      <c r="I1540" s="5">
        <v>65000000</v>
      </c>
      <c r="J1540" s="5">
        <v>88000</v>
      </c>
      <c r="K1540" s="5">
        <v>8800</v>
      </c>
      <c r="L1540" s="4" t="s">
        <v>236</v>
      </c>
      <c r="M1540" s="4" t="s">
        <v>237</v>
      </c>
      <c r="N1540" s="3">
        <v>45890</v>
      </c>
      <c r="O1540" s="4" t="s">
        <v>154</v>
      </c>
      <c r="P1540" s="2">
        <v>1000</v>
      </c>
      <c r="Q1540" s="2">
        <v>10903</v>
      </c>
      <c r="R1540" s="4" t="s">
        <v>755</v>
      </c>
      <c r="S1540" s="5">
        <v>62005700</v>
      </c>
    </row>
    <row r="1541" spans="1:19" x14ac:dyDescent="0.25">
      <c r="A1541" s="4" t="s">
        <v>61</v>
      </c>
      <c r="B1541" s="4" t="s">
        <v>59</v>
      </c>
      <c r="C1541" s="4" t="s">
        <v>62</v>
      </c>
      <c r="D1541" s="4" t="s">
        <v>63</v>
      </c>
      <c r="E1541" s="4" t="s">
        <v>468</v>
      </c>
      <c r="F1541" s="4" t="s">
        <v>469</v>
      </c>
      <c r="G1541" s="4" t="s">
        <v>76</v>
      </c>
      <c r="H1541" s="4" t="s">
        <v>26</v>
      </c>
      <c r="I1541" s="5">
        <v>110000000</v>
      </c>
      <c r="J1541" s="5">
        <v>65000</v>
      </c>
      <c r="K1541" s="5">
        <v>6500</v>
      </c>
      <c r="L1541" s="4" t="s">
        <v>470</v>
      </c>
      <c r="M1541" s="4" t="s">
        <v>471</v>
      </c>
      <c r="N1541" s="3">
        <v>45898</v>
      </c>
      <c r="O1541" s="4" t="s">
        <v>459</v>
      </c>
      <c r="P1541" s="2">
        <v>1000</v>
      </c>
      <c r="Q1541" s="2">
        <v>10920</v>
      </c>
      <c r="R1541" s="4" t="s">
        <v>26</v>
      </c>
      <c r="S1541" s="5">
        <v>109350000</v>
      </c>
    </row>
    <row r="1542" spans="1:19" x14ac:dyDescent="0.25">
      <c r="A1542" s="4" t="s">
        <v>61</v>
      </c>
      <c r="B1542" s="4" t="s">
        <v>59</v>
      </c>
      <c r="C1542" s="4" t="s">
        <v>62</v>
      </c>
      <c r="D1542" s="4" t="s">
        <v>63</v>
      </c>
      <c r="E1542" s="4" t="s">
        <v>468</v>
      </c>
      <c r="F1542" s="4" t="s">
        <v>469</v>
      </c>
      <c r="G1542" s="4" t="s">
        <v>76</v>
      </c>
      <c r="H1542" s="4" t="s">
        <v>26</v>
      </c>
      <c r="I1542" s="5">
        <v>110000000</v>
      </c>
      <c r="J1542" s="5">
        <v>90000</v>
      </c>
      <c r="K1542" s="5">
        <v>9000</v>
      </c>
      <c r="L1542" s="4" t="s">
        <v>470</v>
      </c>
      <c r="M1542" s="4" t="s">
        <v>471</v>
      </c>
      <c r="N1542" s="3">
        <v>45898</v>
      </c>
      <c r="O1542" s="4" t="s">
        <v>459</v>
      </c>
      <c r="P1542" s="2">
        <v>2000</v>
      </c>
      <c r="Q1542" s="2">
        <v>10920</v>
      </c>
      <c r="R1542" s="4" t="s">
        <v>747</v>
      </c>
      <c r="S1542" s="5">
        <v>109350000</v>
      </c>
    </row>
    <row r="1543" spans="1:19" x14ac:dyDescent="0.25">
      <c r="A1543" s="4" t="s">
        <v>61</v>
      </c>
      <c r="B1543" s="4" t="s">
        <v>59</v>
      </c>
      <c r="C1543" s="4" t="s">
        <v>62</v>
      </c>
      <c r="D1543" s="4" t="s">
        <v>63</v>
      </c>
      <c r="E1543" s="4" t="s">
        <v>528</v>
      </c>
      <c r="F1543" s="4" t="s">
        <v>529</v>
      </c>
      <c r="G1543" s="4" t="s">
        <v>144</v>
      </c>
      <c r="H1543" s="4" t="s">
        <v>26</v>
      </c>
      <c r="I1543" s="5">
        <v>90000000</v>
      </c>
      <c r="J1543" s="5">
        <v>150000</v>
      </c>
      <c r="K1543" s="5">
        <v>15000</v>
      </c>
      <c r="L1543" s="4" t="s">
        <v>530</v>
      </c>
      <c r="M1543" s="4" t="s">
        <v>531</v>
      </c>
      <c r="N1543" s="3">
        <v>45898</v>
      </c>
      <c r="O1543" s="4" t="s">
        <v>459</v>
      </c>
      <c r="P1543" s="2">
        <v>1000</v>
      </c>
      <c r="Q1543" s="2">
        <v>11002</v>
      </c>
      <c r="R1543" s="4" t="s">
        <v>26</v>
      </c>
      <c r="S1543" s="5">
        <v>88125000</v>
      </c>
    </row>
    <row r="1544" spans="1:19" x14ac:dyDescent="0.25">
      <c r="A1544" s="4" t="s">
        <v>61</v>
      </c>
      <c r="B1544" s="4" t="s">
        <v>59</v>
      </c>
      <c r="C1544" s="4" t="s">
        <v>62</v>
      </c>
      <c r="D1544" s="4" t="s">
        <v>63</v>
      </c>
      <c r="E1544" s="4" t="s">
        <v>528</v>
      </c>
      <c r="F1544" s="4" t="s">
        <v>529</v>
      </c>
      <c r="G1544" s="4" t="s">
        <v>144</v>
      </c>
      <c r="H1544" s="4" t="s">
        <v>26</v>
      </c>
      <c r="I1544" s="5">
        <v>90000000</v>
      </c>
      <c r="J1544" s="5">
        <v>96000</v>
      </c>
      <c r="K1544" s="5">
        <v>9600</v>
      </c>
      <c r="L1544" s="4" t="s">
        <v>530</v>
      </c>
      <c r="M1544" s="4" t="s">
        <v>531</v>
      </c>
      <c r="N1544" s="3">
        <v>45898</v>
      </c>
      <c r="O1544" s="4" t="s">
        <v>459</v>
      </c>
      <c r="P1544" s="2">
        <v>2000</v>
      </c>
      <c r="Q1544" s="2">
        <v>11002</v>
      </c>
      <c r="R1544" s="4" t="s">
        <v>26</v>
      </c>
      <c r="S1544" s="5">
        <v>88125000</v>
      </c>
    </row>
    <row r="1545" spans="1:19" x14ac:dyDescent="0.25">
      <c r="A1545" s="4" t="s">
        <v>61</v>
      </c>
      <c r="B1545" s="4" t="s">
        <v>59</v>
      </c>
      <c r="C1545" s="4" t="s">
        <v>62</v>
      </c>
      <c r="D1545" s="4" t="s">
        <v>63</v>
      </c>
      <c r="E1545" s="4" t="s">
        <v>238</v>
      </c>
      <c r="F1545" s="4" t="s">
        <v>239</v>
      </c>
      <c r="G1545" s="4" t="s">
        <v>190</v>
      </c>
      <c r="H1545" s="4" t="s">
        <v>26</v>
      </c>
      <c r="I1545" s="5">
        <v>90000000</v>
      </c>
      <c r="J1545" s="5">
        <v>400000</v>
      </c>
      <c r="K1545" s="5">
        <v>40000</v>
      </c>
      <c r="L1545" s="4" t="s">
        <v>240</v>
      </c>
      <c r="M1545" s="4" t="s">
        <v>241</v>
      </c>
      <c r="N1545" s="3">
        <v>45891</v>
      </c>
      <c r="O1545" s="4" t="s">
        <v>154</v>
      </c>
      <c r="P1545" s="2">
        <v>1000</v>
      </c>
      <c r="Q1545" s="2">
        <v>11087</v>
      </c>
      <c r="R1545" s="4" t="s">
        <v>26</v>
      </c>
      <c r="S1545" s="5">
        <v>88561500</v>
      </c>
    </row>
    <row r="1546" spans="1:19" x14ac:dyDescent="0.25">
      <c r="A1546" s="4" t="s">
        <v>61</v>
      </c>
      <c r="B1546" s="4" t="s">
        <v>59</v>
      </c>
      <c r="C1546" s="4" t="s">
        <v>62</v>
      </c>
      <c r="D1546" s="4" t="s">
        <v>63</v>
      </c>
      <c r="E1546" s="4" t="s">
        <v>238</v>
      </c>
      <c r="F1546" s="4" t="s">
        <v>239</v>
      </c>
      <c r="G1546" s="4" t="s">
        <v>190</v>
      </c>
      <c r="H1546" s="4" t="s">
        <v>26</v>
      </c>
      <c r="I1546" s="5">
        <v>90000000</v>
      </c>
      <c r="J1546" s="5">
        <v>500000</v>
      </c>
      <c r="K1546" s="5">
        <v>50000</v>
      </c>
      <c r="L1546" s="4" t="s">
        <v>240</v>
      </c>
      <c r="M1546" s="4" t="s">
        <v>241</v>
      </c>
      <c r="N1546" s="3">
        <v>45891</v>
      </c>
      <c r="O1546" s="4" t="s">
        <v>154</v>
      </c>
      <c r="P1546" s="2">
        <v>2000</v>
      </c>
      <c r="Q1546" s="2">
        <v>11087</v>
      </c>
      <c r="R1546" s="4" t="s">
        <v>26</v>
      </c>
      <c r="S1546" s="5">
        <v>88561500</v>
      </c>
    </row>
    <row r="1547" spans="1:19" x14ac:dyDescent="0.25">
      <c r="A1547" s="4" t="s">
        <v>61</v>
      </c>
      <c r="B1547" s="4" t="s">
        <v>59</v>
      </c>
      <c r="C1547" s="4" t="s">
        <v>62</v>
      </c>
      <c r="D1547" s="4" t="s">
        <v>63</v>
      </c>
      <c r="E1547" s="4" t="s">
        <v>111</v>
      </c>
      <c r="F1547" s="4" t="s">
        <v>112</v>
      </c>
      <c r="G1547" s="4" t="s">
        <v>81</v>
      </c>
      <c r="H1547" s="4" t="s">
        <v>26</v>
      </c>
      <c r="I1547" s="5">
        <v>65000000</v>
      </c>
      <c r="J1547" s="5">
        <v>23100</v>
      </c>
      <c r="K1547" s="5">
        <v>2310</v>
      </c>
      <c r="L1547" s="4" t="s">
        <v>242</v>
      </c>
      <c r="M1547" s="4" t="s">
        <v>243</v>
      </c>
      <c r="N1547" s="3">
        <v>45891</v>
      </c>
      <c r="O1547" s="4" t="s">
        <v>154</v>
      </c>
      <c r="P1547" s="2">
        <v>1000</v>
      </c>
      <c r="Q1547" s="2">
        <v>11088</v>
      </c>
      <c r="R1547" s="4" t="s">
        <v>749</v>
      </c>
      <c r="S1547" s="5">
        <v>61345000</v>
      </c>
    </row>
    <row r="1548" spans="1:19" x14ac:dyDescent="0.25">
      <c r="A1548" s="4" t="s">
        <v>61</v>
      </c>
      <c r="B1548" s="4" t="s">
        <v>59</v>
      </c>
      <c r="C1548" s="4" t="s">
        <v>62</v>
      </c>
      <c r="D1548" s="4" t="s">
        <v>63</v>
      </c>
      <c r="E1548" s="4" t="s">
        <v>111</v>
      </c>
      <c r="F1548" s="4" t="s">
        <v>112</v>
      </c>
      <c r="G1548" s="4" t="s">
        <v>81</v>
      </c>
      <c r="H1548" s="4" t="s">
        <v>26</v>
      </c>
      <c r="I1548" s="5">
        <v>65000000</v>
      </c>
      <c r="J1548" s="5">
        <v>41300</v>
      </c>
      <c r="K1548" s="5">
        <v>4130</v>
      </c>
      <c r="L1548" s="4" t="s">
        <v>242</v>
      </c>
      <c r="M1548" s="4" t="s">
        <v>243</v>
      </c>
      <c r="N1548" s="3">
        <v>45891</v>
      </c>
      <c r="O1548" s="4" t="s">
        <v>154</v>
      </c>
      <c r="P1548" s="2">
        <v>2000</v>
      </c>
      <c r="Q1548" s="2">
        <v>11088</v>
      </c>
      <c r="R1548" s="4" t="s">
        <v>749</v>
      </c>
      <c r="S1548" s="5">
        <v>61345000</v>
      </c>
    </row>
    <row r="1549" spans="1:19" x14ac:dyDescent="0.25">
      <c r="A1549" s="4" t="s">
        <v>61</v>
      </c>
      <c r="B1549" s="4" t="s">
        <v>59</v>
      </c>
      <c r="C1549" s="4" t="s">
        <v>62</v>
      </c>
      <c r="D1549" s="4" t="s">
        <v>63</v>
      </c>
      <c r="E1549" s="4" t="s">
        <v>111</v>
      </c>
      <c r="F1549" s="4" t="s">
        <v>112</v>
      </c>
      <c r="G1549" s="4" t="s">
        <v>81</v>
      </c>
      <c r="H1549" s="4" t="s">
        <v>26</v>
      </c>
      <c r="I1549" s="5">
        <v>65000000</v>
      </c>
      <c r="J1549" s="5">
        <v>41300</v>
      </c>
      <c r="K1549" s="5">
        <v>4130</v>
      </c>
      <c r="L1549" s="4" t="s">
        <v>242</v>
      </c>
      <c r="M1549" s="4" t="s">
        <v>243</v>
      </c>
      <c r="N1549" s="3">
        <v>45891</v>
      </c>
      <c r="O1549" s="4" t="s">
        <v>154</v>
      </c>
      <c r="P1549" s="2">
        <v>3000</v>
      </c>
      <c r="Q1549" s="2">
        <v>11088</v>
      </c>
      <c r="R1549" s="4" t="s">
        <v>749</v>
      </c>
      <c r="S1549" s="5">
        <v>61345000</v>
      </c>
    </row>
    <row r="1550" spans="1:19" x14ac:dyDescent="0.25">
      <c r="A1550" s="4" t="s">
        <v>61</v>
      </c>
      <c r="B1550" s="4" t="s">
        <v>59</v>
      </c>
      <c r="C1550" s="4" t="s">
        <v>62</v>
      </c>
      <c r="D1550" s="4" t="s">
        <v>63</v>
      </c>
      <c r="E1550" s="4" t="s">
        <v>95</v>
      </c>
      <c r="F1550" s="4" t="s">
        <v>96</v>
      </c>
      <c r="G1550" s="4" t="s">
        <v>97</v>
      </c>
      <c r="H1550" s="4" t="s">
        <v>26</v>
      </c>
      <c r="I1550" s="5">
        <v>155000000</v>
      </c>
      <c r="J1550" s="5">
        <v>40500</v>
      </c>
      <c r="K1550" s="5">
        <v>4050</v>
      </c>
      <c r="L1550" s="4" t="s">
        <v>26</v>
      </c>
      <c r="M1550" s="4" t="s">
        <v>26</v>
      </c>
      <c r="N1550" s="3">
        <v>45899</v>
      </c>
      <c r="O1550" s="4" t="s">
        <v>459</v>
      </c>
      <c r="P1550" s="2">
        <v>1000</v>
      </c>
      <c r="Q1550" s="2">
        <v>11097</v>
      </c>
      <c r="R1550" s="4" t="s">
        <v>747</v>
      </c>
      <c r="S1550" s="5">
        <v>154473500</v>
      </c>
    </row>
    <row r="1551" spans="1:19" x14ac:dyDescent="0.25">
      <c r="A1551" s="4" t="s">
        <v>61</v>
      </c>
      <c r="B1551" s="4" t="s">
        <v>59</v>
      </c>
      <c r="C1551" s="4" t="s">
        <v>62</v>
      </c>
      <c r="D1551" s="4" t="s">
        <v>63</v>
      </c>
      <c r="E1551" s="4" t="s">
        <v>131</v>
      </c>
      <c r="F1551" s="4" t="s">
        <v>132</v>
      </c>
      <c r="G1551" s="4" t="s">
        <v>100</v>
      </c>
      <c r="H1551" s="4" t="s">
        <v>26</v>
      </c>
      <c r="I1551" s="5">
        <v>65000000</v>
      </c>
      <c r="J1551" s="5">
        <v>46200</v>
      </c>
      <c r="K1551" s="5">
        <v>4620</v>
      </c>
      <c r="L1551" s="4" t="s">
        <v>26</v>
      </c>
      <c r="M1551" s="4" t="s">
        <v>26</v>
      </c>
      <c r="N1551" s="3">
        <v>45900</v>
      </c>
      <c r="O1551" s="4" t="s">
        <v>416</v>
      </c>
      <c r="P1551" s="2">
        <v>1000</v>
      </c>
      <c r="Q1551" s="2">
        <v>11100</v>
      </c>
      <c r="R1551" s="4" t="s">
        <v>755</v>
      </c>
      <c r="S1551" s="5">
        <v>63739700</v>
      </c>
    </row>
    <row r="1552" spans="1:19" x14ac:dyDescent="0.25">
      <c r="A1552" s="4" t="s">
        <v>61</v>
      </c>
      <c r="B1552" s="4" t="s">
        <v>59</v>
      </c>
      <c r="C1552" s="4" t="s">
        <v>62</v>
      </c>
      <c r="D1552" s="4" t="s">
        <v>63</v>
      </c>
      <c r="E1552" s="4" t="s">
        <v>193</v>
      </c>
      <c r="F1552" s="4" t="s">
        <v>194</v>
      </c>
      <c r="G1552" s="4" t="s">
        <v>105</v>
      </c>
      <c r="H1552" s="4" t="s">
        <v>26</v>
      </c>
      <c r="I1552" s="5">
        <v>155000000</v>
      </c>
      <c r="J1552" s="5">
        <v>49500</v>
      </c>
      <c r="K1552" s="5">
        <v>4950</v>
      </c>
      <c r="L1552" s="4" t="s">
        <v>195</v>
      </c>
      <c r="M1552" s="4" t="s">
        <v>196</v>
      </c>
      <c r="N1552" s="3">
        <v>45899</v>
      </c>
      <c r="O1552" s="4" t="s">
        <v>459</v>
      </c>
      <c r="P1552" s="2">
        <v>1000</v>
      </c>
      <c r="Q1552" s="2">
        <v>11240</v>
      </c>
      <c r="R1552" s="4" t="s">
        <v>747</v>
      </c>
      <c r="S1552" s="5">
        <v>149540330</v>
      </c>
    </row>
    <row r="1553" spans="1:19" x14ac:dyDescent="0.25">
      <c r="A1553" s="4" t="s">
        <v>61</v>
      </c>
      <c r="B1553" s="4" t="s">
        <v>59</v>
      </c>
      <c r="C1553" s="4" t="s">
        <v>62</v>
      </c>
      <c r="D1553" s="4" t="s">
        <v>63</v>
      </c>
      <c r="E1553" s="4" t="s">
        <v>103</v>
      </c>
      <c r="F1553" s="4" t="s">
        <v>104</v>
      </c>
      <c r="G1553" s="4" t="s">
        <v>105</v>
      </c>
      <c r="H1553" s="4" t="s">
        <v>26</v>
      </c>
      <c r="I1553" s="5">
        <v>155000000</v>
      </c>
      <c r="J1553" s="5">
        <v>39200</v>
      </c>
      <c r="K1553" s="5">
        <v>3920</v>
      </c>
      <c r="L1553" s="4" t="s">
        <v>26</v>
      </c>
      <c r="M1553" s="4" t="s">
        <v>26</v>
      </c>
      <c r="N1553" s="3">
        <v>45900</v>
      </c>
      <c r="O1553" s="4" t="s">
        <v>51</v>
      </c>
      <c r="P1553" s="2">
        <v>1000</v>
      </c>
      <c r="Q1553" s="2">
        <v>11252</v>
      </c>
      <c r="R1553" s="4" t="s">
        <v>749</v>
      </c>
      <c r="S1553" s="5">
        <v>150234500</v>
      </c>
    </row>
    <row r="1554" spans="1:19" x14ac:dyDescent="0.25">
      <c r="A1554" s="4" t="s">
        <v>61</v>
      </c>
      <c r="B1554" s="4" t="s">
        <v>59</v>
      </c>
      <c r="C1554" s="4" t="s">
        <v>62</v>
      </c>
      <c r="D1554" s="4" t="s">
        <v>63</v>
      </c>
      <c r="E1554" s="4" t="s">
        <v>69</v>
      </c>
      <c r="F1554" s="4" t="s">
        <v>70</v>
      </c>
      <c r="G1554" s="4" t="s">
        <v>71</v>
      </c>
      <c r="H1554" s="4" t="s">
        <v>26</v>
      </c>
      <c r="I1554" s="5">
        <v>155000000</v>
      </c>
      <c r="J1554" s="5">
        <v>16500</v>
      </c>
      <c r="K1554" s="5">
        <v>1650</v>
      </c>
      <c r="L1554" s="4" t="s">
        <v>72</v>
      </c>
      <c r="M1554" s="4" t="s">
        <v>73</v>
      </c>
      <c r="N1554" s="3">
        <v>45900</v>
      </c>
      <c r="O1554" s="4" t="s">
        <v>51</v>
      </c>
      <c r="P1554" s="2">
        <v>1000</v>
      </c>
      <c r="Q1554" s="2">
        <v>11253</v>
      </c>
      <c r="R1554" s="4" t="s">
        <v>749</v>
      </c>
      <c r="S1554" s="5">
        <v>143018000</v>
      </c>
    </row>
    <row r="1555" spans="1:19" x14ac:dyDescent="0.25">
      <c r="A1555" s="4" t="s">
        <v>61</v>
      </c>
      <c r="B1555" s="4" t="s">
        <v>59</v>
      </c>
      <c r="C1555" s="4" t="s">
        <v>62</v>
      </c>
      <c r="D1555" s="4" t="s">
        <v>63</v>
      </c>
      <c r="E1555" s="4" t="s">
        <v>69</v>
      </c>
      <c r="F1555" s="4" t="s">
        <v>70</v>
      </c>
      <c r="G1555" s="4" t="s">
        <v>71</v>
      </c>
      <c r="H1555" s="4" t="s">
        <v>26</v>
      </c>
      <c r="I1555" s="5">
        <v>155000000</v>
      </c>
      <c r="J1555" s="5">
        <v>36500</v>
      </c>
      <c r="K1555" s="5">
        <v>3650</v>
      </c>
      <c r="L1555" s="4" t="s">
        <v>72</v>
      </c>
      <c r="M1555" s="4" t="s">
        <v>73</v>
      </c>
      <c r="N1555" s="3">
        <v>45900</v>
      </c>
      <c r="O1555" s="4" t="s">
        <v>51</v>
      </c>
      <c r="P1555" s="2">
        <v>2000</v>
      </c>
      <c r="Q1555" s="2">
        <v>11253</v>
      </c>
      <c r="R1555" s="4" t="s">
        <v>749</v>
      </c>
      <c r="S1555" s="5">
        <v>143018000</v>
      </c>
    </row>
    <row r="1556" spans="1:19" x14ac:dyDescent="0.25">
      <c r="A1556" s="4" t="s">
        <v>61</v>
      </c>
      <c r="B1556" s="4" t="s">
        <v>59</v>
      </c>
      <c r="C1556" s="4" t="s">
        <v>62</v>
      </c>
      <c r="D1556" s="4" t="s">
        <v>63</v>
      </c>
      <c r="E1556" s="4" t="s">
        <v>69</v>
      </c>
      <c r="F1556" s="4" t="s">
        <v>70</v>
      </c>
      <c r="G1556" s="4" t="s">
        <v>71</v>
      </c>
      <c r="H1556" s="4" t="s">
        <v>26</v>
      </c>
      <c r="I1556" s="5">
        <v>155000000</v>
      </c>
      <c r="J1556" s="5">
        <v>29500</v>
      </c>
      <c r="K1556" s="5">
        <v>2950</v>
      </c>
      <c r="L1556" s="4" t="s">
        <v>72</v>
      </c>
      <c r="M1556" s="4" t="s">
        <v>73</v>
      </c>
      <c r="N1556" s="3">
        <v>45900</v>
      </c>
      <c r="O1556" s="4" t="s">
        <v>51</v>
      </c>
      <c r="P1556" s="2">
        <v>3000</v>
      </c>
      <c r="Q1556" s="2">
        <v>11253</v>
      </c>
      <c r="R1556" s="4" t="s">
        <v>749</v>
      </c>
      <c r="S1556" s="5">
        <v>143018000</v>
      </c>
    </row>
    <row r="1557" spans="1:19" x14ac:dyDescent="0.25">
      <c r="A1557" s="4" t="s">
        <v>61</v>
      </c>
      <c r="B1557" s="4" t="s">
        <v>59</v>
      </c>
      <c r="C1557" s="4" t="s">
        <v>62</v>
      </c>
      <c r="D1557" s="4" t="s">
        <v>63</v>
      </c>
      <c r="E1557" s="4" t="s">
        <v>412</v>
      </c>
      <c r="F1557" s="4" t="s">
        <v>413</v>
      </c>
      <c r="G1557" s="4" t="s">
        <v>157</v>
      </c>
      <c r="H1557" s="4" t="s">
        <v>26</v>
      </c>
      <c r="I1557" s="5">
        <v>90000000</v>
      </c>
      <c r="J1557" s="5">
        <v>58500</v>
      </c>
      <c r="K1557" s="5">
        <v>5850</v>
      </c>
      <c r="L1557" s="4" t="s">
        <v>414</v>
      </c>
      <c r="M1557" s="4" t="s">
        <v>415</v>
      </c>
      <c r="N1557" s="3">
        <v>45899</v>
      </c>
      <c r="O1557" s="4" t="s">
        <v>459</v>
      </c>
      <c r="P1557" s="2">
        <v>1000</v>
      </c>
      <c r="Q1557" s="2">
        <v>11320</v>
      </c>
      <c r="R1557" s="4" t="s">
        <v>747</v>
      </c>
      <c r="S1557" s="5">
        <v>87613200</v>
      </c>
    </row>
    <row r="1558" spans="1:19" x14ac:dyDescent="0.25">
      <c r="A1558" s="4" t="s">
        <v>61</v>
      </c>
      <c r="B1558" s="4" t="s">
        <v>59</v>
      </c>
      <c r="C1558" s="4" t="s">
        <v>62</v>
      </c>
      <c r="D1558" s="4" t="s">
        <v>63</v>
      </c>
      <c r="E1558" s="4" t="s">
        <v>155</v>
      </c>
      <c r="F1558" s="4" t="s">
        <v>156</v>
      </c>
      <c r="G1558" s="4" t="s">
        <v>157</v>
      </c>
      <c r="H1558" s="4" t="s">
        <v>26</v>
      </c>
      <c r="I1558" s="5">
        <v>90000000</v>
      </c>
      <c r="J1558" s="5">
        <v>58500</v>
      </c>
      <c r="K1558" s="5">
        <v>5850</v>
      </c>
      <c r="L1558" s="4" t="s">
        <v>26</v>
      </c>
      <c r="M1558" s="4" t="s">
        <v>26</v>
      </c>
      <c r="N1558" s="3">
        <v>45899</v>
      </c>
      <c r="O1558" s="4" t="s">
        <v>459</v>
      </c>
      <c r="P1558" s="2">
        <v>1000</v>
      </c>
      <c r="Q1558" s="2">
        <v>11325</v>
      </c>
      <c r="R1558" s="4" t="s">
        <v>747</v>
      </c>
      <c r="S1558" s="5">
        <v>87868500</v>
      </c>
    </row>
    <row r="1559" spans="1:19" x14ac:dyDescent="0.25">
      <c r="A1559" s="4" t="s">
        <v>61</v>
      </c>
      <c r="B1559" s="4" t="s">
        <v>59</v>
      </c>
      <c r="C1559" s="4" t="s">
        <v>62</v>
      </c>
      <c r="D1559" s="4" t="s">
        <v>63</v>
      </c>
      <c r="E1559" s="4" t="s">
        <v>244</v>
      </c>
      <c r="F1559" s="4" t="s">
        <v>245</v>
      </c>
      <c r="G1559" s="4" t="s">
        <v>246</v>
      </c>
      <c r="H1559" s="4" t="s">
        <v>26</v>
      </c>
      <c r="I1559" s="5">
        <v>155000000</v>
      </c>
      <c r="J1559" s="5">
        <v>190000</v>
      </c>
      <c r="K1559" s="5">
        <v>19000</v>
      </c>
      <c r="L1559" s="4" t="s">
        <v>247</v>
      </c>
      <c r="M1559" s="4" t="s">
        <v>248</v>
      </c>
      <c r="N1559" s="3">
        <v>45891</v>
      </c>
      <c r="O1559" s="4" t="s">
        <v>154</v>
      </c>
      <c r="P1559" s="2">
        <v>1000</v>
      </c>
      <c r="Q1559" s="2">
        <v>11412</v>
      </c>
      <c r="R1559" s="4" t="s">
        <v>84</v>
      </c>
      <c r="S1559" s="5">
        <v>151077800</v>
      </c>
    </row>
    <row r="1560" spans="1:19" x14ac:dyDescent="0.25">
      <c r="A1560" s="4" t="s">
        <v>61</v>
      </c>
      <c r="B1560" s="4" t="s">
        <v>59</v>
      </c>
      <c r="C1560" s="4" t="s">
        <v>62</v>
      </c>
      <c r="D1560" s="4" t="s">
        <v>63</v>
      </c>
      <c r="E1560" s="4" t="s">
        <v>244</v>
      </c>
      <c r="F1560" s="4" t="s">
        <v>245</v>
      </c>
      <c r="G1560" s="4" t="s">
        <v>246</v>
      </c>
      <c r="H1560" s="4" t="s">
        <v>26</v>
      </c>
      <c r="I1560" s="5">
        <v>155000000</v>
      </c>
      <c r="J1560" s="5">
        <v>170000</v>
      </c>
      <c r="K1560" s="5">
        <v>17000</v>
      </c>
      <c r="L1560" s="4" t="s">
        <v>247</v>
      </c>
      <c r="M1560" s="4" t="s">
        <v>248</v>
      </c>
      <c r="N1560" s="3">
        <v>45891</v>
      </c>
      <c r="O1560" s="4" t="s">
        <v>154</v>
      </c>
      <c r="P1560" s="2">
        <v>2000</v>
      </c>
      <c r="Q1560" s="2">
        <v>11412</v>
      </c>
      <c r="R1560" s="4" t="s">
        <v>84</v>
      </c>
      <c r="S1560" s="5">
        <v>151077800</v>
      </c>
    </row>
    <row r="1561" spans="1:19" x14ac:dyDescent="0.25">
      <c r="A1561" s="4" t="s">
        <v>61</v>
      </c>
      <c r="B1561" s="4" t="s">
        <v>59</v>
      </c>
      <c r="C1561" s="4" t="s">
        <v>62</v>
      </c>
      <c r="D1561" s="4" t="s">
        <v>63</v>
      </c>
      <c r="E1561" s="4" t="s">
        <v>135</v>
      </c>
      <c r="F1561" s="4" t="s">
        <v>136</v>
      </c>
      <c r="G1561" s="4" t="s">
        <v>50</v>
      </c>
      <c r="H1561" s="4" t="s">
        <v>26</v>
      </c>
      <c r="I1561" s="5">
        <v>65000000</v>
      </c>
      <c r="J1561" s="5">
        <v>67500</v>
      </c>
      <c r="K1561" s="5">
        <v>6750</v>
      </c>
      <c r="L1561" s="4" t="s">
        <v>137</v>
      </c>
      <c r="M1561" s="4" t="s">
        <v>138</v>
      </c>
      <c r="N1561" s="3">
        <v>45900</v>
      </c>
      <c r="O1561" s="4" t="s">
        <v>51</v>
      </c>
      <c r="P1561" s="2">
        <v>1000</v>
      </c>
      <c r="Q1561" s="2">
        <v>11493</v>
      </c>
      <c r="R1561" s="4" t="s">
        <v>26</v>
      </c>
      <c r="S1561" s="5">
        <v>64643700</v>
      </c>
    </row>
    <row r="1562" spans="1:19" x14ac:dyDescent="0.25">
      <c r="A1562" s="4" t="s">
        <v>61</v>
      </c>
      <c r="B1562" s="4" t="s">
        <v>59</v>
      </c>
      <c r="C1562" s="4" t="s">
        <v>62</v>
      </c>
      <c r="D1562" s="4" t="s">
        <v>63</v>
      </c>
      <c r="E1562" s="4" t="s">
        <v>135</v>
      </c>
      <c r="F1562" s="4" t="s">
        <v>136</v>
      </c>
      <c r="G1562" s="4" t="s">
        <v>50</v>
      </c>
      <c r="H1562" s="4" t="s">
        <v>26</v>
      </c>
      <c r="I1562" s="5">
        <v>65000000</v>
      </c>
      <c r="J1562" s="5">
        <v>76500</v>
      </c>
      <c r="K1562" s="5">
        <v>7650</v>
      </c>
      <c r="L1562" s="4" t="s">
        <v>137</v>
      </c>
      <c r="M1562" s="4" t="s">
        <v>138</v>
      </c>
      <c r="N1562" s="3">
        <v>45900</v>
      </c>
      <c r="O1562" s="4" t="s">
        <v>51</v>
      </c>
      <c r="P1562" s="2">
        <v>2000</v>
      </c>
      <c r="Q1562" s="2">
        <v>11493</v>
      </c>
      <c r="R1562" s="4" t="s">
        <v>26</v>
      </c>
      <c r="S1562" s="5">
        <v>64643700</v>
      </c>
    </row>
    <row r="1563" spans="1:19" x14ac:dyDescent="0.25">
      <c r="A1563" s="4" t="s">
        <v>61</v>
      </c>
      <c r="B1563" s="4" t="s">
        <v>59</v>
      </c>
      <c r="C1563" s="4" t="s">
        <v>62</v>
      </c>
      <c r="D1563" s="4" t="s">
        <v>63</v>
      </c>
      <c r="E1563" s="4" t="s">
        <v>103</v>
      </c>
      <c r="F1563" s="4" t="s">
        <v>104</v>
      </c>
      <c r="G1563" s="4" t="s">
        <v>105</v>
      </c>
      <c r="H1563" s="4" t="s">
        <v>26</v>
      </c>
      <c r="I1563" s="5">
        <v>155000000</v>
      </c>
      <c r="J1563" s="5">
        <v>157500</v>
      </c>
      <c r="K1563" s="5">
        <v>15750</v>
      </c>
      <c r="L1563" s="4" t="s">
        <v>26</v>
      </c>
      <c r="M1563" s="4" t="s">
        <v>26</v>
      </c>
      <c r="N1563" s="3">
        <v>45900</v>
      </c>
      <c r="O1563" s="4" t="s">
        <v>459</v>
      </c>
      <c r="P1563" s="2">
        <v>1000</v>
      </c>
      <c r="Q1563" s="2">
        <v>11597</v>
      </c>
      <c r="R1563" s="4" t="s">
        <v>755</v>
      </c>
      <c r="S1563" s="5">
        <v>150234500</v>
      </c>
    </row>
    <row r="1564" spans="1:19" x14ac:dyDescent="0.25">
      <c r="A1564" s="4" t="s">
        <v>61</v>
      </c>
      <c r="B1564" s="4" t="s">
        <v>59</v>
      </c>
      <c r="C1564" s="4" t="s">
        <v>62</v>
      </c>
      <c r="D1564" s="4" t="s">
        <v>63</v>
      </c>
      <c r="E1564" s="4" t="s">
        <v>103</v>
      </c>
      <c r="F1564" s="4" t="s">
        <v>104</v>
      </c>
      <c r="G1564" s="4" t="s">
        <v>105</v>
      </c>
      <c r="H1564" s="4" t="s">
        <v>26</v>
      </c>
      <c r="I1564" s="5">
        <v>155000000</v>
      </c>
      <c r="J1564" s="5">
        <v>152100</v>
      </c>
      <c r="K1564" s="5">
        <v>15210</v>
      </c>
      <c r="L1564" s="4" t="s">
        <v>26</v>
      </c>
      <c r="M1564" s="4" t="s">
        <v>26</v>
      </c>
      <c r="N1564" s="3">
        <v>45900</v>
      </c>
      <c r="O1564" s="4" t="s">
        <v>459</v>
      </c>
      <c r="P1564" s="2">
        <v>2000</v>
      </c>
      <c r="Q1564" s="2">
        <v>11597</v>
      </c>
      <c r="R1564" s="4" t="s">
        <v>755</v>
      </c>
      <c r="S1564" s="5">
        <v>150234500</v>
      </c>
    </row>
    <row r="1565" spans="1:19" x14ac:dyDescent="0.25">
      <c r="A1565" s="4" t="s">
        <v>61</v>
      </c>
      <c r="B1565" s="4" t="s">
        <v>59</v>
      </c>
      <c r="C1565" s="4" t="s">
        <v>62</v>
      </c>
      <c r="D1565" s="4" t="s">
        <v>63</v>
      </c>
      <c r="E1565" s="4" t="s">
        <v>103</v>
      </c>
      <c r="F1565" s="4" t="s">
        <v>104</v>
      </c>
      <c r="G1565" s="4" t="s">
        <v>105</v>
      </c>
      <c r="H1565" s="4" t="s">
        <v>26</v>
      </c>
      <c r="I1565" s="5">
        <v>155000000</v>
      </c>
      <c r="J1565" s="5">
        <v>5400</v>
      </c>
      <c r="K1565" s="5">
        <v>540</v>
      </c>
      <c r="L1565" s="4" t="s">
        <v>26</v>
      </c>
      <c r="M1565" s="4" t="s">
        <v>26</v>
      </c>
      <c r="N1565" s="3">
        <v>45900</v>
      </c>
      <c r="O1565" s="4" t="s">
        <v>459</v>
      </c>
      <c r="P1565" s="2">
        <v>3000</v>
      </c>
      <c r="Q1565" s="2">
        <v>11597</v>
      </c>
      <c r="R1565" s="4" t="s">
        <v>26</v>
      </c>
      <c r="S1565" s="5">
        <v>150234500</v>
      </c>
    </row>
    <row r="1566" spans="1:19" x14ac:dyDescent="0.25">
      <c r="A1566" s="4" t="s">
        <v>61</v>
      </c>
      <c r="B1566" s="4" t="s">
        <v>59</v>
      </c>
      <c r="C1566" s="4" t="s">
        <v>62</v>
      </c>
      <c r="D1566" s="4" t="s">
        <v>63</v>
      </c>
      <c r="E1566" s="4" t="s">
        <v>103</v>
      </c>
      <c r="F1566" s="4" t="s">
        <v>104</v>
      </c>
      <c r="G1566" s="4" t="s">
        <v>105</v>
      </c>
      <c r="H1566" s="4" t="s">
        <v>26</v>
      </c>
      <c r="I1566" s="5">
        <v>155000000</v>
      </c>
      <c r="J1566" s="5">
        <v>22500</v>
      </c>
      <c r="K1566" s="5">
        <v>2250</v>
      </c>
      <c r="L1566" s="4" t="s">
        <v>26</v>
      </c>
      <c r="M1566" s="4" t="s">
        <v>26</v>
      </c>
      <c r="N1566" s="3">
        <v>45900</v>
      </c>
      <c r="O1566" s="4" t="s">
        <v>459</v>
      </c>
      <c r="P1566" s="2">
        <v>4000</v>
      </c>
      <c r="Q1566" s="2">
        <v>11597</v>
      </c>
      <c r="R1566" s="4" t="s">
        <v>755</v>
      </c>
      <c r="S1566" s="5">
        <v>150234500</v>
      </c>
    </row>
    <row r="1567" spans="1:19" x14ac:dyDescent="0.25">
      <c r="A1567" s="4" t="s">
        <v>61</v>
      </c>
      <c r="B1567" s="4" t="s">
        <v>59</v>
      </c>
      <c r="C1567" s="4" t="s">
        <v>62</v>
      </c>
      <c r="D1567" s="4" t="s">
        <v>63</v>
      </c>
      <c r="E1567" s="4" t="s">
        <v>229</v>
      </c>
      <c r="F1567" s="4" t="s">
        <v>230</v>
      </c>
      <c r="G1567" s="4" t="s">
        <v>231</v>
      </c>
      <c r="H1567" s="4" t="s">
        <v>26</v>
      </c>
      <c r="I1567" s="5">
        <v>110000000</v>
      </c>
      <c r="J1567" s="5">
        <v>50000</v>
      </c>
      <c r="K1567" s="5">
        <v>5000</v>
      </c>
      <c r="L1567" s="4" t="s">
        <v>26</v>
      </c>
      <c r="M1567" s="4" t="s">
        <v>26</v>
      </c>
      <c r="N1567" s="3">
        <v>45900</v>
      </c>
      <c r="O1567" s="4" t="s">
        <v>459</v>
      </c>
      <c r="P1567" s="2">
        <v>1000</v>
      </c>
      <c r="Q1567" s="2">
        <v>11675</v>
      </c>
      <c r="R1567" s="4" t="s">
        <v>747</v>
      </c>
      <c r="S1567" s="5">
        <v>108567750</v>
      </c>
    </row>
    <row r="1568" spans="1:19" x14ac:dyDescent="0.25">
      <c r="A1568" s="4" t="s">
        <v>61</v>
      </c>
      <c r="B1568" s="4" t="s">
        <v>59</v>
      </c>
      <c r="C1568" s="4" t="s">
        <v>62</v>
      </c>
      <c r="D1568" s="4" t="s">
        <v>63</v>
      </c>
      <c r="E1568" s="4" t="s">
        <v>244</v>
      </c>
      <c r="F1568" s="4" t="s">
        <v>245</v>
      </c>
      <c r="G1568" s="4" t="s">
        <v>246</v>
      </c>
      <c r="H1568" s="4" t="s">
        <v>26</v>
      </c>
      <c r="I1568" s="5">
        <v>155000000</v>
      </c>
      <c r="J1568" s="5">
        <v>49500</v>
      </c>
      <c r="K1568" s="5">
        <v>4950</v>
      </c>
      <c r="L1568" s="4" t="s">
        <v>247</v>
      </c>
      <c r="M1568" s="4" t="s">
        <v>248</v>
      </c>
      <c r="N1568" s="3">
        <v>45900</v>
      </c>
      <c r="O1568" s="4" t="s">
        <v>459</v>
      </c>
      <c r="P1568" s="2">
        <v>1000</v>
      </c>
      <c r="Q1568" s="2">
        <v>11714</v>
      </c>
      <c r="R1568" s="4" t="s">
        <v>747</v>
      </c>
      <c r="S1568" s="5">
        <v>151077800</v>
      </c>
    </row>
    <row r="1569" spans="1:19" x14ac:dyDescent="0.25">
      <c r="A1569" s="4" t="s">
        <v>61</v>
      </c>
      <c r="B1569" s="4" t="s">
        <v>59</v>
      </c>
      <c r="C1569" s="4" t="s">
        <v>62</v>
      </c>
      <c r="D1569" s="4" t="s">
        <v>63</v>
      </c>
      <c r="E1569" s="4" t="s">
        <v>139</v>
      </c>
      <c r="F1569" s="4" t="s">
        <v>140</v>
      </c>
      <c r="G1569" s="4" t="s">
        <v>141</v>
      </c>
      <c r="H1569" s="4" t="s">
        <v>26</v>
      </c>
      <c r="I1569" s="5">
        <v>65000000</v>
      </c>
      <c r="J1569" s="5">
        <v>96000</v>
      </c>
      <c r="K1569" s="5">
        <v>9600</v>
      </c>
      <c r="L1569" s="4" t="s">
        <v>186</v>
      </c>
      <c r="M1569" s="4" t="s">
        <v>187</v>
      </c>
      <c r="N1569" s="3">
        <v>45900</v>
      </c>
      <c r="O1569" s="4" t="s">
        <v>459</v>
      </c>
      <c r="P1569" s="2">
        <v>1000</v>
      </c>
      <c r="Q1569" s="2">
        <v>11754</v>
      </c>
      <c r="R1569" s="4" t="s">
        <v>84</v>
      </c>
      <c r="S1569" s="5">
        <v>64247200</v>
      </c>
    </row>
    <row r="1570" spans="1:19" x14ac:dyDescent="0.25">
      <c r="A1570" s="4" t="s">
        <v>61</v>
      </c>
      <c r="B1570" s="4" t="s">
        <v>59</v>
      </c>
      <c r="C1570" s="4" t="s">
        <v>62</v>
      </c>
      <c r="D1570" s="4" t="s">
        <v>63</v>
      </c>
      <c r="E1570" s="4" t="s">
        <v>139</v>
      </c>
      <c r="F1570" s="4" t="s">
        <v>140</v>
      </c>
      <c r="G1570" s="4" t="s">
        <v>141</v>
      </c>
      <c r="H1570" s="4" t="s">
        <v>26</v>
      </c>
      <c r="I1570" s="5">
        <v>65000000</v>
      </c>
      <c r="J1570" s="5">
        <v>51000</v>
      </c>
      <c r="K1570" s="5">
        <v>5100</v>
      </c>
      <c r="L1570" s="4" t="s">
        <v>182</v>
      </c>
      <c r="M1570" s="4" t="s">
        <v>183</v>
      </c>
      <c r="N1570" s="3">
        <v>45900</v>
      </c>
      <c r="O1570" s="4" t="s">
        <v>459</v>
      </c>
      <c r="P1570" s="2">
        <v>1000</v>
      </c>
      <c r="Q1570" s="2">
        <v>11755</v>
      </c>
      <c r="R1570" s="4" t="s">
        <v>84</v>
      </c>
      <c r="S1570" s="5">
        <v>64247200</v>
      </c>
    </row>
    <row r="1571" spans="1:19" x14ac:dyDescent="0.25">
      <c r="A1571" s="4" t="s">
        <v>61</v>
      </c>
      <c r="B1571" s="4" t="s">
        <v>59</v>
      </c>
      <c r="C1571" s="4" t="s">
        <v>62</v>
      </c>
      <c r="D1571" s="4" t="s">
        <v>63</v>
      </c>
      <c r="E1571" s="4" t="s">
        <v>139</v>
      </c>
      <c r="F1571" s="4" t="s">
        <v>140</v>
      </c>
      <c r="G1571" s="4" t="s">
        <v>141</v>
      </c>
      <c r="H1571" s="4" t="s">
        <v>26</v>
      </c>
      <c r="I1571" s="5">
        <v>65000000</v>
      </c>
      <c r="J1571" s="5">
        <v>40500</v>
      </c>
      <c r="K1571" s="5">
        <v>4050</v>
      </c>
      <c r="L1571" s="4" t="s">
        <v>26</v>
      </c>
      <c r="M1571" s="4" t="s">
        <v>26</v>
      </c>
      <c r="N1571" s="3">
        <v>45900</v>
      </c>
      <c r="O1571" s="4" t="s">
        <v>51</v>
      </c>
      <c r="P1571" s="2">
        <v>1000</v>
      </c>
      <c r="Q1571" s="2">
        <v>11756</v>
      </c>
      <c r="R1571" s="4" t="s">
        <v>749</v>
      </c>
      <c r="S1571" s="5">
        <v>64247200</v>
      </c>
    </row>
    <row r="1572" spans="1:19" x14ac:dyDescent="0.25">
      <c r="A1572" s="4" t="s">
        <v>61</v>
      </c>
      <c r="B1572" s="4" t="s">
        <v>59</v>
      </c>
      <c r="C1572" s="4" t="s">
        <v>62</v>
      </c>
      <c r="D1572" s="4" t="s">
        <v>63</v>
      </c>
      <c r="E1572" s="4" t="s">
        <v>142</v>
      </c>
      <c r="F1572" s="4" t="s">
        <v>143</v>
      </c>
      <c r="G1572" s="4" t="s">
        <v>144</v>
      </c>
      <c r="H1572" s="4" t="s">
        <v>26</v>
      </c>
      <c r="I1572" s="5">
        <v>90000000</v>
      </c>
      <c r="J1572" s="5">
        <v>440000</v>
      </c>
      <c r="K1572" s="5">
        <v>44000</v>
      </c>
      <c r="L1572" s="4" t="s">
        <v>145</v>
      </c>
      <c r="M1572" s="4" t="s">
        <v>146</v>
      </c>
      <c r="N1572" s="3">
        <v>45900</v>
      </c>
      <c r="O1572" s="4" t="s">
        <v>51</v>
      </c>
      <c r="P1572" s="2">
        <v>1000</v>
      </c>
      <c r="Q1572" s="2">
        <v>11770</v>
      </c>
      <c r="R1572" s="4" t="s">
        <v>26</v>
      </c>
      <c r="S1572" s="5">
        <v>83720070</v>
      </c>
    </row>
    <row r="1573" spans="1:19" x14ac:dyDescent="0.25">
      <c r="A1573" s="4" t="s">
        <v>61</v>
      </c>
      <c r="B1573" s="4" t="s">
        <v>59</v>
      </c>
      <c r="C1573" s="4" t="s">
        <v>62</v>
      </c>
      <c r="D1573" s="4" t="s">
        <v>63</v>
      </c>
      <c r="E1573" s="4" t="s">
        <v>249</v>
      </c>
      <c r="F1573" s="4" t="s">
        <v>250</v>
      </c>
      <c r="G1573" s="4" t="s">
        <v>190</v>
      </c>
      <c r="H1573" s="4" t="s">
        <v>26</v>
      </c>
      <c r="I1573" s="5">
        <v>90000000</v>
      </c>
      <c r="J1573" s="5">
        <v>60000</v>
      </c>
      <c r="K1573" s="5">
        <v>6000</v>
      </c>
      <c r="L1573" s="4" t="s">
        <v>26</v>
      </c>
      <c r="M1573" s="4" t="s">
        <v>26</v>
      </c>
      <c r="N1573" s="3">
        <v>45892</v>
      </c>
      <c r="O1573" s="4" t="s">
        <v>154</v>
      </c>
      <c r="P1573" s="2">
        <v>1000</v>
      </c>
      <c r="Q1573" s="2">
        <v>11901</v>
      </c>
      <c r="R1573" s="4" t="s">
        <v>747</v>
      </c>
      <c r="S1573" s="5">
        <v>89940000</v>
      </c>
    </row>
    <row r="1574" spans="1:19" x14ac:dyDescent="0.25">
      <c r="A1574" s="4" t="s">
        <v>61</v>
      </c>
      <c r="B1574" s="4" t="s">
        <v>59</v>
      </c>
      <c r="C1574" s="4" t="s">
        <v>62</v>
      </c>
      <c r="D1574" s="4" t="s">
        <v>63</v>
      </c>
      <c r="E1574" s="4" t="s">
        <v>251</v>
      </c>
      <c r="F1574" s="4" t="s">
        <v>252</v>
      </c>
      <c r="G1574" s="4" t="s">
        <v>222</v>
      </c>
      <c r="H1574" s="4" t="s">
        <v>26</v>
      </c>
      <c r="I1574" s="5">
        <v>110000000</v>
      </c>
      <c r="J1574" s="5">
        <v>250000</v>
      </c>
      <c r="K1574" s="5">
        <v>25000</v>
      </c>
      <c r="L1574" s="4" t="s">
        <v>253</v>
      </c>
      <c r="M1574" s="4" t="s">
        <v>254</v>
      </c>
      <c r="N1574" s="3">
        <v>45892</v>
      </c>
      <c r="O1574" s="4" t="s">
        <v>154</v>
      </c>
      <c r="P1574" s="2">
        <v>1000</v>
      </c>
      <c r="Q1574" s="2">
        <v>12019</v>
      </c>
      <c r="R1574" s="4" t="s">
        <v>757</v>
      </c>
      <c r="S1574" s="5">
        <v>108445000</v>
      </c>
    </row>
    <row r="1575" spans="1:19" x14ac:dyDescent="0.25">
      <c r="A1575" s="4" t="s">
        <v>61</v>
      </c>
      <c r="B1575" s="4" t="s">
        <v>59</v>
      </c>
      <c r="C1575" s="4" t="s">
        <v>62</v>
      </c>
      <c r="D1575" s="4" t="s">
        <v>63</v>
      </c>
      <c r="E1575" s="4" t="s">
        <v>255</v>
      </c>
      <c r="F1575" s="4" t="s">
        <v>256</v>
      </c>
      <c r="G1575" s="4" t="s">
        <v>144</v>
      </c>
      <c r="H1575" s="4" t="s">
        <v>26</v>
      </c>
      <c r="I1575" s="5">
        <v>90000000</v>
      </c>
      <c r="J1575" s="5">
        <v>244000</v>
      </c>
      <c r="K1575" s="5">
        <v>24400</v>
      </c>
      <c r="L1575" s="4" t="s">
        <v>257</v>
      </c>
      <c r="M1575" s="4" t="s">
        <v>258</v>
      </c>
      <c r="N1575" s="3">
        <v>45892</v>
      </c>
      <c r="O1575" s="4" t="s">
        <v>154</v>
      </c>
      <c r="P1575" s="2">
        <v>1000</v>
      </c>
      <c r="Q1575" s="2">
        <v>12027</v>
      </c>
      <c r="R1575" s="4" t="s">
        <v>84</v>
      </c>
      <c r="S1575" s="5">
        <v>81505500</v>
      </c>
    </row>
    <row r="1576" spans="1:19" x14ac:dyDescent="0.25">
      <c r="A1576" s="4" t="s">
        <v>61</v>
      </c>
      <c r="B1576" s="4" t="s">
        <v>59</v>
      </c>
      <c r="C1576" s="4" t="s">
        <v>62</v>
      </c>
      <c r="D1576" s="4" t="s">
        <v>63</v>
      </c>
      <c r="E1576" s="4" t="s">
        <v>255</v>
      </c>
      <c r="F1576" s="4" t="s">
        <v>256</v>
      </c>
      <c r="G1576" s="4" t="s">
        <v>144</v>
      </c>
      <c r="H1576" s="4" t="s">
        <v>26</v>
      </c>
      <c r="I1576" s="5">
        <v>90000000</v>
      </c>
      <c r="J1576" s="5">
        <v>150000</v>
      </c>
      <c r="K1576" s="5">
        <v>15000</v>
      </c>
      <c r="L1576" s="4" t="s">
        <v>257</v>
      </c>
      <c r="M1576" s="4" t="s">
        <v>258</v>
      </c>
      <c r="N1576" s="3">
        <v>45892</v>
      </c>
      <c r="O1576" s="4" t="s">
        <v>154</v>
      </c>
      <c r="P1576" s="2">
        <v>2000</v>
      </c>
      <c r="Q1576" s="2">
        <v>12027</v>
      </c>
      <c r="R1576" s="4" t="s">
        <v>84</v>
      </c>
      <c r="S1576" s="5">
        <v>81505500</v>
      </c>
    </row>
    <row r="1577" spans="1:19" x14ac:dyDescent="0.25">
      <c r="A1577" s="4" t="s">
        <v>61</v>
      </c>
      <c r="B1577" s="4" t="s">
        <v>59</v>
      </c>
      <c r="C1577" s="4" t="s">
        <v>62</v>
      </c>
      <c r="D1577" s="4" t="s">
        <v>63</v>
      </c>
      <c r="E1577" s="4" t="s">
        <v>197</v>
      </c>
      <c r="F1577" s="4" t="s">
        <v>198</v>
      </c>
      <c r="G1577" s="4" t="s">
        <v>199</v>
      </c>
      <c r="H1577" s="4" t="s">
        <v>26</v>
      </c>
      <c r="I1577" s="5">
        <v>65000000</v>
      </c>
      <c r="J1577" s="5">
        <v>44000</v>
      </c>
      <c r="K1577" s="5">
        <v>4400</v>
      </c>
      <c r="L1577" s="4" t="s">
        <v>26</v>
      </c>
      <c r="M1577" s="4" t="s">
        <v>26</v>
      </c>
      <c r="N1577" s="3">
        <v>45893</v>
      </c>
      <c r="O1577" s="4" t="s">
        <v>154</v>
      </c>
      <c r="P1577" s="2">
        <v>1000</v>
      </c>
      <c r="Q1577" s="2">
        <v>12077</v>
      </c>
      <c r="R1577" s="4" t="s">
        <v>749</v>
      </c>
      <c r="S1577" s="5">
        <v>64626000</v>
      </c>
    </row>
    <row r="1578" spans="1:19" x14ac:dyDescent="0.25">
      <c r="A1578" s="4" t="s">
        <v>61</v>
      </c>
      <c r="B1578" s="4" t="s">
        <v>59</v>
      </c>
      <c r="C1578" s="4" t="s">
        <v>62</v>
      </c>
      <c r="D1578" s="4" t="s">
        <v>63</v>
      </c>
      <c r="E1578" s="4" t="s">
        <v>148</v>
      </c>
      <c r="F1578" s="4" t="s">
        <v>149</v>
      </c>
      <c r="G1578" s="4" t="s">
        <v>50</v>
      </c>
      <c r="H1578" s="4" t="s">
        <v>26</v>
      </c>
      <c r="I1578" s="5">
        <v>65000000</v>
      </c>
      <c r="J1578" s="5">
        <v>138600</v>
      </c>
      <c r="K1578" s="5">
        <v>13860</v>
      </c>
      <c r="L1578" s="4" t="s">
        <v>150</v>
      </c>
      <c r="M1578" s="4" t="s">
        <v>151</v>
      </c>
      <c r="N1578" s="3">
        <v>45893</v>
      </c>
      <c r="O1578" s="4" t="s">
        <v>154</v>
      </c>
      <c r="P1578" s="2">
        <v>1000</v>
      </c>
      <c r="Q1578" s="2">
        <v>12541</v>
      </c>
      <c r="R1578" s="4" t="s">
        <v>755</v>
      </c>
      <c r="S1578" s="5">
        <v>58699710</v>
      </c>
    </row>
    <row r="1579" spans="1:19" x14ac:dyDescent="0.25">
      <c r="A1579" s="4" t="s">
        <v>61</v>
      </c>
      <c r="B1579" s="4" t="s">
        <v>59</v>
      </c>
      <c r="C1579" s="4" t="s">
        <v>62</v>
      </c>
      <c r="D1579" s="4" t="s">
        <v>63</v>
      </c>
      <c r="E1579" s="4" t="s">
        <v>259</v>
      </c>
      <c r="F1579" s="4" t="s">
        <v>260</v>
      </c>
      <c r="G1579" s="4" t="s">
        <v>144</v>
      </c>
      <c r="H1579" s="4" t="s">
        <v>26</v>
      </c>
      <c r="I1579" s="5">
        <v>90000000</v>
      </c>
      <c r="J1579" s="5">
        <v>152000</v>
      </c>
      <c r="K1579" s="5">
        <v>15200</v>
      </c>
      <c r="L1579" s="4" t="s">
        <v>261</v>
      </c>
      <c r="M1579" s="4" t="s">
        <v>262</v>
      </c>
      <c r="N1579" s="3">
        <v>45894</v>
      </c>
      <c r="O1579" s="4" t="s">
        <v>154</v>
      </c>
      <c r="P1579" s="2">
        <v>1000</v>
      </c>
      <c r="Q1579" s="2">
        <v>12843</v>
      </c>
      <c r="R1579" s="4" t="s">
        <v>84</v>
      </c>
      <c r="S1579" s="5">
        <v>86406230</v>
      </c>
    </row>
    <row r="1580" spans="1:19" x14ac:dyDescent="0.25">
      <c r="A1580" s="4" t="s">
        <v>61</v>
      </c>
      <c r="B1580" s="4" t="s">
        <v>59</v>
      </c>
      <c r="C1580" s="4" t="s">
        <v>62</v>
      </c>
      <c r="D1580" s="4" t="s">
        <v>63</v>
      </c>
      <c r="E1580" s="4" t="s">
        <v>259</v>
      </c>
      <c r="F1580" s="4" t="s">
        <v>260</v>
      </c>
      <c r="G1580" s="4" t="s">
        <v>144</v>
      </c>
      <c r="H1580" s="4" t="s">
        <v>26</v>
      </c>
      <c r="I1580" s="5">
        <v>90000000</v>
      </c>
      <c r="J1580" s="5">
        <v>177000</v>
      </c>
      <c r="K1580" s="5">
        <v>17700</v>
      </c>
      <c r="L1580" s="4" t="s">
        <v>261</v>
      </c>
      <c r="M1580" s="4" t="s">
        <v>262</v>
      </c>
      <c r="N1580" s="3">
        <v>45894</v>
      </c>
      <c r="O1580" s="4" t="s">
        <v>154</v>
      </c>
      <c r="P1580" s="2">
        <v>2000</v>
      </c>
      <c r="Q1580" s="2">
        <v>12843</v>
      </c>
      <c r="R1580" s="4" t="s">
        <v>84</v>
      </c>
      <c r="S1580" s="5">
        <v>86406230</v>
      </c>
    </row>
    <row r="1581" spans="1:19" x14ac:dyDescent="0.25">
      <c r="A1581" s="4" t="s">
        <v>61</v>
      </c>
      <c r="B1581" s="4" t="s">
        <v>59</v>
      </c>
      <c r="C1581" s="4" t="s">
        <v>62</v>
      </c>
      <c r="D1581" s="4" t="s">
        <v>63</v>
      </c>
      <c r="E1581" s="4" t="s">
        <v>259</v>
      </c>
      <c r="F1581" s="4" t="s">
        <v>260</v>
      </c>
      <c r="G1581" s="4" t="s">
        <v>144</v>
      </c>
      <c r="H1581" s="4" t="s">
        <v>26</v>
      </c>
      <c r="I1581" s="5">
        <v>90000000</v>
      </c>
      <c r="J1581" s="5">
        <v>150000</v>
      </c>
      <c r="K1581" s="5">
        <v>15000</v>
      </c>
      <c r="L1581" s="4" t="s">
        <v>261</v>
      </c>
      <c r="M1581" s="4" t="s">
        <v>262</v>
      </c>
      <c r="N1581" s="3">
        <v>45894</v>
      </c>
      <c r="O1581" s="4" t="s">
        <v>154</v>
      </c>
      <c r="P1581" s="2">
        <v>3000</v>
      </c>
      <c r="Q1581" s="2">
        <v>12843</v>
      </c>
      <c r="R1581" s="4" t="s">
        <v>84</v>
      </c>
      <c r="S1581" s="5">
        <v>86406230</v>
      </c>
    </row>
    <row r="1582" spans="1:19" x14ac:dyDescent="0.25">
      <c r="A1582" s="4" t="s">
        <v>61</v>
      </c>
      <c r="B1582" s="4" t="s">
        <v>59</v>
      </c>
      <c r="C1582" s="4" t="s">
        <v>62</v>
      </c>
      <c r="D1582" s="4" t="s">
        <v>63</v>
      </c>
      <c r="E1582" s="4" t="s">
        <v>263</v>
      </c>
      <c r="F1582" s="4" t="s">
        <v>264</v>
      </c>
      <c r="G1582" s="4" t="s">
        <v>81</v>
      </c>
      <c r="H1582" s="4" t="s">
        <v>26</v>
      </c>
      <c r="I1582" s="5">
        <v>65000000</v>
      </c>
      <c r="J1582" s="5">
        <v>38500</v>
      </c>
      <c r="K1582" s="5">
        <v>3850</v>
      </c>
      <c r="L1582" s="4" t="s">
        <v>26</v>
      </c>
      <c r="M1582" s="4" t="s">
        <v>26</v>
      </c>
      <c r="N1582" s="3">
        <v>45895</v>
      </c>
      <c r="O1582" s="4" t="s">
        <v>154</v>
      </c>
      <c r="P1582" s="2">
        <v>1000</v>
      </c>
      <c r="Q1582" s="2">
        <v>13315</v>
      </c>
      <c r="R1582" s="4" t="s">
        <v>755</v>
      </c>
      <c r="S1582" s="5">
        <v>54808900</v>
      </c>
    </row>
    <row r="1583" spans="1:19" x14ac:dyDescent="0.25">
      <c r="A1583" s="4" t="s">
        <v>61</v>
      </c>
      <c r="B1583" s="4" t="s">
        <v>59</v>
      </c>
      <c r="C1583" s="4" t="s">
        <v>62</v>
      </c>
      <c r="D1583" s="4" t="s">
        <v>63</v>
      </c>
      <c r="E1583" s="4" t="s">
        <v>263</v>
      </c>
      <c r="F1583" s="4" t="s">
        <v>264</v>
      </c>
      <c r="G1583" s="4" t="s">
        <v>81</v>
      </c>
      <c r="H1583" s="4" t="s">
        <v>26</v>
      </c>
      <c r="I1583" s="5">
        <v>65000000</v>
      </c>
      <c r="J1583" s="5">
        <v>46200</v>
      </c>
      <c r="K1583" s="5">
        <v>4620</v>
      </c>
      <c r="L1583" s="4" t="s">
        <v>26</v>
      </c>
      <c r="M1583" s="4" t="s">
        <v>26</v>
      </c>
      <c r="N1583" s="3">
        <v>45895</v>
      </c>
      <c r="O1583" s="4" t="s">
        <v>154</v>
      </c>
      <c r="P1583" s="2">
        <v>2000</v>
      </c>
      <c r="Q1583" s="2">
        <v>13315</v>
      </c>
      <c r="R1583" s="4" t="s">
        <v>755</v>
      </c>
      <c r="S1583" s="5">
        <v>54808900</v>
      </c>
    </row>
    <row r="1584" spans="1:19" x14ac:dyDescent="0.25">
      <c r="A1584" s="4" t="s">
        <v>61</v>
      </c>
      <c r="B1584" s="4" t="s">
        <v>59</v>
      </c>
      <c r="C1584" s="4" t="s">
        <v>62</v>
      </c>
      <c r="D1584" s="4" t="s">
        <v>63</v>
      </c>
      <c r="E1584" s="4" t="s">
        <v>69</v>
      </c>
      <c r="F1584" s="4" t="s">
        <v>70</v>
      </c>
      <c r="G1584" s="4" t="s">
        <v>71</v>
      </c>
      <c r="H1584" s="4" t="s">
        <v>26</v>
      </c>
      <c r="I1584" s="5">
        <v>155000000</v>
      </c>
      <c r="J1584" s="5">
        <v>41300</v>
      </c>
      <c r="K1584" s="5">
        <v>4130</v>
      </c>
      <c r="L1584" s="4" t="s">
        <v>72</v>
      </c>
      <c r="M1584" s="4" t="s">
        <v>73</v>
      </c>
      <c r="N1584" s="3">
        <v>45896</v>
      </c>
      <c r="O1584" s="4" t="s">
        <v>154</v>
      </c>
      <c r="P1584" s="2">
        <v>1000</v>
      </c>
      <c r="Q1584" s="2">
        <v>13430</v>
      </c>
      <c r="R1584" s="4" t="s">
        <v>749</v>
      </c>
      <c r="S1584" s="5">
        <v>143018000</v>
      </c>
    </row>
    <row r="1585" spans="1:19" x14ac:dyDescent="0.25">
      <c r="A1585" s="4" t="s">
        <v>61</v>
      </c>
      <c r="B1585" s="4" t="s">
        <v>59</v>
      </c>
      <c r="C1585" s="4" t="s">
        <v>62</v>
      </c>
      <c r="D1585" s="4" t="s">
        <v>63</v>
      </c>
      <c r="E1585" s="4" t="s">
        <v>265</v>
      </c>
      <c r="F1585" s="4" t="s">
        <v>266</v>
      </c>
      <c r="G1585" s="4" t="s">
        <v>71</v>
      </c>
      <c r="H1585" s="4" t="s">
        <v>26</v>
      </c>
      <c r="I1585" s="5">
        <v>155000000</v>
      </c>
      <c r="J1585" s="5">
        <v>371120</v>
      </c>
      <c r="K1585" s="5">
        <v>37112</v>
      </c>
      <c r="L1585" s="4" t="s">
        <v>267</v>
      </c>
      <c r="M1585" s="4" t="s">
        <v>268</v>
      </c>
      <c r="N1585" s="3">
        <v>45897</v>
      </c>
      <c r="O1585" s="4" t="s">
        <v>154</v>
      </c>
      <c r="P1585" s="2">
        <v>1000</v>
      </c>
      <c r="Q1585" s="2">
        <v>13958</v>
      </c>
      <c r="R1585" s="4" t="s">
        <v>755</v>
      </c>
      <c r="S1585" s="5">
        <v>151606650</v>
      </c>
    </row>
    <row r="1586" spans="1:19" x14ac:dyDescent="0.25">
      <c r="A1586" s="4" t="s">
        <v>61</v>
      </c>
      <c r="B1586" s="4" t="s">
        <v>59</v>
      </c>
      <c r="C1586" s="4" t="s">
        <v>62</v>
      </c>
      <c r="D1586" s="4" t="s">
        <v>63</v>
      </c>
      <c r="E1586" s="4" t="s">
        <v>265</v>
      </c>
      <c r="F1586" s="4" t="s">
        <v>266</v>
      </c>
      <c r="G1586" s="4" t="s">
        <v>71</v>
      </c>
      <c r="H1586" s="4" t="s">
        <v>26</v>
      </c>
      <c r="I1586" s="5">
        <v>155000000</v>
      </c>
      <c r="J1586" s="5">
        <v>125380</v>
      </c>
      <c r="K1586" s="5">
        <v>12538</v>
      </c>
      <c r="L1586" s="4" t="s">
        <v>267</v>
      </c>
      <c r="M1586" s="4" t="s">
        <v>268</v>
      </c>
      <c r="N1586" s="3">
        <v>45897</v>
      </c>
      <c r="O1586" s="4" t="s">
        <v>154</v>
      </c>
      <c r="P1586" s="2">
        <v>2000</v>
      </c>
      <c r="Q1586" s="2">
        <v>13958</v>
      </c>
      <c r="R1586" s="4" t="s">
        <v>755</v>
      </c>
      <c r="S1586" s="5">
        <v>151606650</v>
      </c>
    </row>
    <row r="1587" spans="1:19" x14ac:dyDescent="0.25">
      <c r="A1587" s="4" t="s">
        <v>61</v>
      </c>
      <c r="B1587" s="4" t="s">
        <v>59</v>
      </c>
      <c r="C1587" s="4" t="s">
        <v>62</v>
      </c>
      <c r="D1587" s="4" t="s">
        <v>63</v>
      </c>
      <c r="E1587" s="4" t="s">
        <v>265</v>
      </c>
      <c r="F1587" s="4" t="s">
        <v>266</v>
      </c>
      <c r="G1587" s="4" t="s">
        <v>71</v>
      </c>
      <c r="H1587" s="4" t="s">
        <v>26</v>
      </c>
      <c r="I1587" s="5">
        <v>155000000</v>
      </c>
      <c r="J1587" s="5">
        <v>19630</v>
      </c>
      <c r="K1587" s="5">
        <v>1963</v>
      </c>
      <c r="L1587" s="4" t="s">
        <v>267</v>
      </c>
      <c r="M1587" s="4" t="s">
        <v>268</v>
      </c>
      <c r="N1587" s="3">
        <v>45897</v>
      </c>
      <c r="O1587" s="4" t="s">
        <v>154</v>
      </c>
      <c r="P1587" s="2">
        <v>3000</v>
      </c>
      <c r="Q1587" s="2">
        <v>13958</v>
      </c>
      <c r="R1587" s="4" t="s">
        <v>755</v>
      </c>
      <c r="S1587" s="5">
        <v>151606650</v>
      </c>
    </row>
    <row r="1588" spans="1:19" x14ac:dyDescent="0.25">
      <c r="A1588" s="4" t="s">
        <v>61</v>
      </c>
      <c r="B1588" s="4" t="s">
        <v>59</v>
      </c>
      <c r="C1588" s="4" t="s">
        <v>62</v>
      </c>
      <c r="D1588" s="4" t="s">
        <v>63</v>
      </c>
      <c r="E1588" s="4" t="s">
        <v>265</v>
      </c>
      <c r="F1588" s="4" t="s">
        <v>266</v>
      </c>
      <c r="G1588" s="4" t="s">
        <v>71</v>
      </c>
      <c r="H1588" s="4" t="s">
        <v>26</v>
      </c>
      <c r="I1588" s="5">
        <v>155000000</v>
      </c>
      <c r="J1588" s="5">
        <v>159050</v>
      </c>
      <c r="K1588" s="5">
        <v>15905</v>
      </c>
      <c r="L1588" s="4" t="s">
        <v>267</v>
      </c>
      <c r="M1588" s="4" t="s">
        <v>268</v>
      </c>
      <c r="N1588" s="3">
        <v>45897</v>
      </c>
      <c r="O1588" s="4" t="s">
        <v>154</v>
      </c>
      <c r="P1588" s="2">
        <v>1000</v>
      </c>
      <c r="Q1588" s="2">
        <v>13959</v>
      </c>
      <c r="R1588" s="4" t="s">
        <v>755</v>
      </c>
      <c r="S1588" s="5">
        <v>151606650</v>
      </c>
    </row>
    <row r="1589" spans="1:19" x14ac:dyDescent="0.25">
      <c r="A1589" s="4" t="s">
        <v>61</v>
      </c>
      <c r="B1589" s="4" t="s">
        <v>59</v>
      </c>
      <c r="C1589" s="4" t="s">
        <v>62</v>
      </c>
      <c r="D1589" s="4" t="s">
        <v>63</v>
      </c>
      <c r="E1589" s="4" t="s">
        <v>265</v>
      </c>
      <c r="F1589" s="4" t="s">
        <v>266</v>
      </c>
      <c r="G1589" s="4" t="s">
        <v>71</v>
      </c>
      <c r="H1589" s="4" t="s">
        <v>26</v>
      </c>
      <c r="I1589" s="5">
        <v>155000000</v>
      </c>
      <c r="J1589" s="5">
        <v>19630</v>
      </c>
      <c r="K1589" s="5">
        <v>1963</v>
      </c>
      <c r="L1589" s="4" t="s">
        <v>267</v>
      </c>
      <c r="M1589" s="4" t="s">
        <v>268</v>
      </c>
      <c r="N1589" s="3">
        <v>45897</v>
      </c>
      <c r="O1589" s="4" t="s">
        <v>154</v>
      </c>
      <c r="P1589" s="2">
        <v>2000</v>
      </c>
      <c r="Q1589" s="2">
        <v>13959</v>
      </c>
      <c r="R1589" s="4" t="s">
        <v>755</v>
      </c>
      <c r="S1589" s="5">
        <v>151606650</v>
      </c>
    </row>
    <row r="1590" spans="1:19" x14ac:dyDescent="0.25">
      <c r="A1590" s="4" t="s">
        <v>61</v>
      </c>
      <c r="B1590" s="4" t="s">
        <v>59</v>
      </c>
      <c r="C1590" s="4" t="s">
        <v>62</v>
      </c>
      <c r="D1590" s="4" t="s">
        <v>63</v>
      </c>
      <c r="E1590" s="4" t="s">
        <v>269</v>
      </c>
      <c r="F1590" s="4" t="s">
        <v>270</v>
      </c>
      <c r="G1590" s="4" t="s">
        <v>124</v>
      </c>
      <c r="H1590" s="4" t="s">
        <v>26</v>
      </c>
      <c r="I1590" s="5">
        <v>65000000</v>
      </c>
      <c r="J1590" s="5">
        <v>180500</v>
      </c>
      <c r="K1590" s="5">
        <v>18050</v>
      </c>
      <c r="L1590" s="4" t="s">
        <v>26</v>
      </c>
      <c r="M1590" s="4" t="s">
        <v>26</v>
      </c>
      <c r="N1590" s="3">
        <v>45897</v>
      </c>
      <c r="O1590" s="4" t="s">
        <v>154</v>
      </c>
      <c r="P1590" s="2">
        <v>1000</v>
      </c>
      <c r="Q1590" s="2">
        <v>13978</v>
      </c>
      <c r="R1590" s="4" t="s">
        <v>749</v>
      </c>
      <c r="S1590" s="5">
        <v>63917000</v>
      </c>
    </row>
    <row r="1591" spans="1:19" x14ac:dyDescent="0.25">
      <c r="A1591" s="4" t="s">
        <v>61</v>
      </c>
      <c r="B1591" s="4" t="s">
        <v>59</v>
      </c>
      <c r="C1591" s="4" t="s">
        <v>62</v>
      </c>
      <c r="D1591" s="4" t="s">
        <v>63</v>
      </c>
      <c r="E1591" s="4" t="s">
        <v>269</v>
      </c>
      <c r="F1591" s="4" t="s">
        <v>270</v>
      </c>
      <c r="G1591" s="4" t="s">
        <v>124</v>
      </c>
      <c r="H1591" s="4" t="s">
        <v>26</v>
      </c>
      <c r="I1591" s="5">
        <v>65000000</v>
      </c>
      <c r="J1591" s="5">
        <v>902500</v>
      </c>
      <c r="K1591" s="5">
        <v>90250</v>
      </c>
      <c r="L1591" s="4" t="s">
        <v>26</v>
      </c>
      <c r="M1591" s="4" t="s">
        <v>26</v>
      </c>
      <c r="N1591" s="3">
        <v>45897</v>
      </c>
      <c r="O1591" s="4" t="s">
        <v>154</v>
      </c>
      <c r="P1591" s="2">
        <v>2000</v>
      </c>
      <c r="Q1591" s="2">
        <v>13978</v>
      </c>
      <c r="R1591" s="4" t="s">
        <v>749</v>
      </c>
      <c r="S1591" s="5">
        <v>63917000</v>
      </c>
    </row>
    <row r="1592" spans="1:19" x14ac:dyDescent="0.25">
      <c r="A1592" s="4" t="s">
        <v>61</v>
      </c>
      <c r="B1592" s="4" t="s">
        <v>59</v>
      </c>
      <c r="C1592" s="4" t="s">
        <v>62</v>
      </c>
      <c r="D1592" s="4" t="s">
        <v>63</v>
      </c>
      <c r="E1592" s="4" t="s">
        <v>271</v>
      </c>
      <c r="F1592" s="4" t="s">
        <v>272</v>
      </c>
      <c r="G1592" s="4" t="s">
        <v>115</v>
      </c>
      <c r="H1592" s="4" t="s">
        <v>26</v>
      </c>
      <c r="I1592" s="5">
        <v>65000000</v>
      </c>
      <c r="J1592" s="5">
        <v>130000</v>
      </c>
      <c r="K1592" s="5">
        <v>13000</v>
      </c>
      <c r="L1592" s="4" t="s">
        <v>26</v>
      </c>
      <c r="M1592" s="4" t="s">
        <v>26</v>
      </c>
      <c r="N1592" s="3">
        <v>45898</v>
      </c>
      <c r="O1592" s="4" t="s">
        <v>154</v>
      </c>
      <c r="P1592" s="2">
        <v>1000</v>
      </c>
      <c r="Q1592" s="2">
        <v>14433</v>
      </c>
      <c r="R1592" s="4" t="s">
        <v>747</v>
      </c>
      <c r="S1592" s="5">
        <v>64027000</v>
      </c>
    </row>
    <row r="1593" spans="1:19" x14ac:dyDescent="0.25">
      <c r="A1593" s="4" t="s">
        <v>61</v>
      </c>
      <c r="B1593" s="4" t="s">
        <v>59</v>
      </c>
      <c r="C1593" s="4" t="s">
        <v>62</v>
      </c>
      <c r="D1593" s="4" t="s">
        <v>63</v>
      </c>
      <c r="E1593" s="4" t="s">
        <v>142</v>
      </c>
      <c r="F1593" s="4" t="s">
        <v>143</v>
      </c>
      <c r="G1593" s="4" t="s">
        <v>144</v>
      </c>
      <c r="H1593" s="4" t="s">
        <v>26</v>
      </c>
      <c r="I1593" s="5">
        <v>90000000</v>
      </c>
      <c r="J1593" s="5">
        <v>211000</v>
      </c>
      <c r="K1593" s="5">
        <v>21100</v>
      </c>
      <c r="L1593" s="4" t="s">
        <v>273</v>
      </c>
      <c r="M1593" s="4" t="s">
        <v>274</v>
      </c>
      <c r="N1593" s="3">
        <v>45898</v>
      </c>
      <c r="O1593" s="4" t="s">
        <v>154</v>
      </c>
      <c r="P1593" s="2">
        <v>1000</v>
      </c>
      <c r="Q1593" s="2">
        <v>14529</v>
      </c>
      <c r="R1593" s="4" t="s">
        <v>84</v>
      </c>
      <c r="S1593" s="5">
        <v>83720070</v>
      </c>
    </row>
    <row r="1594" spans="1:19" x14ac:dyDescent="0.25">
      <c r="A1594" s="4" t="s">
        <v>61</v>
      </c>
      <c r="B1594" s="4" t="s">
        <v>59</v>
      </c>
      <c r="C1594" s="4" t="s">
        <v>62</v>
      </c>
      <c r="D1594" s="4" t="s">
        <v>63</v>
      </c>
      <c r="E1594" s="4" t="s">
        <v>142</v>
      </c>
      <c r="F1594" s="4" t="s">
        <v>143</v>
      </c>
      <c r="G1594" s="4" t="s">
        <v>144</v>
      </c>
      <c r="H1594" s="4" t="s">
        <v>26</v>
      </c>
      <c r="I1594" s="5">
        <v>90000000</v>
      </c>
      <c r="J1594" s="5">
        <v>177000</v>
      </c>
      <c r="K1594" s="5">
        <v>17700</v>
      </c>
      <c r="L1594" s="4" t="s">
        <v>273</v>
      </c>
      <c r="M1594" s="4" t="s">
        <v>274</v>
      </c>
      <c r="N1594" s="3">
        <v>45898</v>
      </c>
      <c r="O1594" s="4" t="s">
        <v>154</v>
      </c>
      <c r="P1594" s="2">
        <v>2000</v>
      </c>
      <c r="Q1594" s="2">
        <v>14529</v>
      </c>
      <c r="R1594" s="4" t="s">
        <v>84</v>
      </c>
      <c r="S1594" s="5">
        <v>83720070</v>
      </c>
    </row>
    <row r="1595" spans="1:19" x14ac:dyDescent="0.25">
      <c r="A1595" s="4" t="s">
        <v>61</v>
      </c>
      <c r="B1595" s="4" t="s">
        <v>59</v>
      </c>
      <c r="C1595" s="4" t="s">
        <v>62</v>
      </c>
      <c r="D1595" s="4" t="s">
        <v>63</v>
      </c>
      <c r="E1595" s="4" t="s">
        <v>142</v>
      </c>
      <c r="F1595" s="4" t="s">
        <v>143</v>
      </c>
      <c r="G1595" s="4" t="s">
        <v>144</v>
      </c>
      <c r="H1595" s="4" t="s">
        <v>26</v>
      </c>
      <c r="I1595" s="5">
        <v>90000000</v>
      </c>
      <c r="J1595" s="5">
        <v>150000</v>
      </c>
      <c r="K1595" s="5">
        <v>15000</v>
      </c>
      <c r="L1595" s="4" t="s">
        <v>273</v>
      </c>
      <c r="M1595" s="4" t="s">
        <v>274</v>
      </c>
      <c r="N1595" s="3">
        <v>45898</v>
      </c>
      <c r="O1595" s="4" t="s">
        <v>154</v>
      </c>
      <c r="P1595" s="2">
        <v>3000</v>
      </c>
      <c r="Q1595" s="2">
        <v>14529</v>
      </c>
      <c r="R1595" s="4" t="s">
        <v>84</v>
      </c>
      <c r="S1595" s="5">
        <v>83720070</v>
      </c>
    </row>
    <row r="1596" spans="1:19" x14ac:dyDescent="0.25">
      <c r="A1596" s="4" t="s">
        <v>61</v>
      </c>
      <c r="B1596" s="4" t="s">
        <v>59</v>
      </c>
      <c r="C1596" s="4" t="s">
        <v>62</v>
      </c>
      <c r="D1596" s="4" t="s">
        <v>63</v>
      </c>
      <c r="E1596" s="4" t="s">
        <v>142</v>
      </c>
      <c r="F1596" s="4" t="s">
        <v>143</v>
      </c>
      <c r="G1596" s="4" t="s">
        <v>144</v>
      </c>
      <c r="H1596" s="4" t="s">
        <v>26</v>
      </c>
      <c r="I1596" s="5">
        <v>90000000</v>
      </c>
      <c r="J1596" s="5">
        <v>165000</v>
      </c>
      <c r="K1596" s="5">
        <v>16500</v>
      </c>
      <c r="L1596" s="4" t="s">
        <v>273</v>
      </c>
      <c r="M1596" s="4" t="s">
        <v>274</v>
      </c>
      <c r="N1596" s="3">
        <v>45898</v>
      </c>
      <c r="O1596" s="4" t="s">
        <v>154</v>
      </c>
      <c r="P1596" s="2">
        <v>4000</v>
      </c>
      <c r="Q1596" s="2">
        <v>14529</v>
      </c>
      <c r="R1596" s="4" t="s">
        <v>84</v>
      </c>
      <c r="S1596" s="5">
        <v>83720070</v>
      </c>
    </row>
    <row r="1597" spans="1:19" x14ac:dyDescent="0.25">
      <c r="A1597" s="4" t="s">
        <v>61</v>
      </c>
      <c r="B1597" s="4" t="s">
        <v>59</v>
      </c>
      <c r="C1597" s="4" t="s">
        <v>62</v>
      </c>
      <c r="D1597" s="4" t="s">
        <v>63</v>
      </c>
      <c r="E1597" s="4" t="s">
        <v>275</v>
      </c>
      <c r="F1597" s="4" t="s">
        <v>276</v>
      </c>
      <c r="G1597" s="4" t="s">
        <v>115</v>
      </c>
      <c r="H1597" s="4" t="s">
        <v>26</v>
      </c>
      <c r="I1597" s="5">
        <v>65000000</v>
      </c>
      <c r="J1597" s="5">
        <v>55250</v>
      </c>
      <c r="K1597" s="5">
        <v>5525</v>
      </c>
      <c r="L1597" s="4" t="s">
        <v>26</v>
      </c>
      <c r="M1597" s="4" t="s">
        <v>26</v>
      </c>
      <c r="N1597" s="3">
        <v>45898</v>
      </c>
      <c r="O1597" s="4" t="s">
        <v>154</v>
      </c>
      <c r="P1597" s="2">
        <v>1000</v>
      </c>
      <c r="Q1597" s="2">
        <v>14551</v>
      </c>
      <c r="R1597" s="4" t="s">
        <v>747</v>
      </c>
      <c r="S1597" s="5">
        <v>63302500</v>
      </c>
    </row>
    <row r="1598" spans="1:19" x14ac:dyDescent="0.25">
      <c r="A1598" s="4" t="s">
        <v>61</v>
      </c>
      <c r="B1598" s="4" t="s">
        <v>59</v>
      </c>
      <c r="C1598" s="4" t="s">
        <v>62</v>
      </c>
      <c r="D1598" s="4" t="s">
        <v>63</v>
      </c>
      <c r="E1598" s="4" t="s">
        <v>275</v>
      </c>
      <c r="F1598" s="4" t="s">
        <v>276</v>
      </c>
      <c r="G1598" s="4" t="s">
        <v>115</v>
      </c>
      <c r="H1598" s="4" t="s">
        <v>26</v>
      </c>
      <c r="I1598" s="5">
        <v>65000000</v>
      </c>
      <c r="J1598" s="5">
        <v>96000</v>
      </c>
      <c r="K1598" s="5">
        <v>9600</v>
      </c>
      <c r="L1598" s="4" t="s">
        <v>26</v>
      </c>
      <c r="M1598" s="4" t="s">
        <v>26</v>
      </c>
      <c r="N1598" s="3">
        <v>45898</v>
      </c>
      <c r="O1598" s="4" t="s">
        <v>154</v>
      </c>
      <c r="P1598" s="2">
        <v>1000</v>
      </c>
      <c r="Q1598" s="2">
        <v>14552</v>
      </c>
      <c r="R1598" s="4" t="s">
        <v>84</v>
      </c>
      <c r="S1598" s="5">
        <v>63302500</v>
      </c>
    </row>
    <row r="1599" spans="1:19" x14ac:dyDescent="0.25">
      <c r="A1599" s="4" t="s">
        <v>61</v>
      </c>
      <c r="B1599" s="4" t="s">
        <v>59</v>
      </c>
      <c r="C1599" s="4" t="s">
        <v>62</v>
      </c>
      <c r="D1599" s="4" t="s">
        <v>63</v>
      </c>
      <c r="E1599" s="4" t="s">
        <v>275</v>
      </c>
      <c r="F1599" s="4" t="s">
        <v>276</v>
      </c>
      <c r="G1599" s="4" t="s">
        <v>115</v>
      </c>
      <c r="H1599" s="4" t="s">
        <v>26</v>
      </c>
      <c r="I1599" s="5">
        <v>65000000</v>
      </c>
      <c r="J1599" s="5">
        <v>105000</v>
      </c>
      <c r="K1599" s="5">
        <v>10500</v>
      </c>
      <c r="L1599" s="4" t="s">
        <v>26</v>
      </c>
      <c r="M1599" s="4" t="s">
        <v>26</v>
      </c>
      <c r="N1599" s="3">
        <v>45898</v>
      </c>
      <c r="O1599" s="4" t="s">
        <v>154</v>
      </c>
      <c r="P1599" s="2">
        <v>2000</v>
      </c>
      <c r="Q1599" s="2">
        <v>14552</v>
      </c>
      <c r="R1599" s="4" t="s">
        <v>84</v>
      </c>
      <c r="S1599" s="5">
        <v>63302500</v>
      </c>
    </row>
    <row r="1600" spans="1:19" x14ac:dyDescent="0.25">
      <c r="A1600" s="4" t="s">
        <v>61</v>
      </c>
      <c r="B1600" s="4" t="s">
        <v>59</v>
      </c>
      <c r="C1600" s="4" t="s">
        <v>62</v>
      </c>
      <c r="D1600" s="4" t="s">
        <v>63</v>
      </c>
      <c r="E1600" s="4" t="s">
        <v>193</v>
      </c>
      <c r="F1600" s="4" t="s">
        <v>194</v>
      </c>
      <c r="G1600" s="4" t="s">
        <v>105</v>
      </c>
      <c r="H1600" s="4" t="s">
        <v>26</v>
      </c>
      <c r="I1600" s="5">
        <v>155000000</v>
      </c>
      <c r="J1600" s="5">
        <v>70690</v>
      </c>
      <c r="K1600" s="5">
        <v>7069</v>
      </c>
      <c r="L1600" s="4" t="s">
        <v>195</v>
      </c>
      <c r="M1600" s="4" t="s">
        <v>196</v>
      </c>
      <c r="N1600" s="3">
        <v>45898</v>
      </c>
      <c r="O1600" s="4" t="s">
        <v>154</v>
      </c>
      <c r="P1600" s="2">
        <v>1000</v>
      </c>
      <c r="Q1600" s="2">
        <v>14600</v>
      </c>
      <c r="R1600" s="4" t="s">
        <v>26</v>
      </c>
      <c r="S1600" s="5">
        <v>149540330</v>
      </c>
    </row>
    <row r="1601" spans="1:19" x14ac:dyDescent="0.25">
      <c r="A1601" s="4" t="s">
        <v>61</v>
      </c>
      <c r="B1601" s="4" t="s">
        <v>59</v>
      </c>
      <c r="C1601" s="4" t="s">
        <v>62</v>
      </c>
      <c r="D1601" s="4" t="s">
        <v>63</v>
      </c>
      <c r="E1601" s="4" t="s">
        <v>193</v>
      </c>
      <c r="F1601" s="4" t="s">
        <v>194</v>
      </c>
      <c r="G1601" s="4" t="s">
        <v>105</v>
      </c>
      <c r="H1601" s="4" t="s">
        <v>26</v>
      </c>
      <c r="I1601" s="5">
        <v>155000000</v>
      </c>
      <c r="J1601" s="5">
        <v>81490</v>
      </c>
      <c r="K1601" s="5">
        <v>8149</v>
      </c>
      <c r="L1601" s="4" t="s">
        <v>195</v>
      </c>
      <c r="M1601" s="4" t="s">
        <v>196</v>
      </c>
      <c r="N1601" s="3">
        <v>45898</v>
      </c>
      <c r="O1601" s="4" t="s">
        <v>154</v>
      </c>
      <c r="P1601" s="2">
        <v>2000</v>
      </c>
      <c r="Q1601" s="2">
        <v>14600</v>
      </c>
      <c r="R1601" s="4" t="s">
        <v>26</v>
      </c>
      <c r="S1601" s="5">
        <v>149540330</v>
      </c>
    </row>
    <row r="1602" spans="1:19" x14ac:dyDescent="0.25">
      <c r="A1602" s="4" t="s">
        <v>61</v>
      </c>
      <c r="B1602" s="4" t="s">
        <v>59</v>
      </c>
      <c r="C1602" s="4" t="s">
        <v>62</v>
      </c>
      <c r="D1602" s="4" t="s">
        <v>63</v>
      </c>
      <c r="E1602" s="4" t="s">
        <v>193</v>
      </c>
      <c r="F1602" s="4" t="s">
        <v>194</v>
      </c>
      <c r="G1602" s="4" t="s">
        <v>105</v>
      </c>
      <c r="H1602" s="4" t="s">
        <v>26</v>
      </c>
      <c r="I1602" s="5">
        <v>155000000</v>
      </c>
      <c r="J1602" s="5">
        <v>146290</v>
      </c>
      <c r="K1602" s="5">
        <v>14629</v>
      </c>
      <c r="L1602" s="4" t="s">
        <v>195</v>
      </c>
      <c r="M1602" s="4" t="s">
        <v>196</v>
      </c>
      <c r="N1602" s="3">
        <v>45898</v>
      </c>
      <c r="O1602" s="4" t="s">
        <v>154</v>
      </c>
      <c r="P1602" s="2">
        <v>3000</v>
      </c>
      <c r="Q1602" s="2">
        <v>14600</v>
      </c>
      <c r="R1602" s="4" t="s">
        <v>26</v>
      </c>
      <c r="S1602" s="5">
        <v>149540330</v>
      </c>
    </row>
    <row r="1603" spans="1:19" x14ac:dyDescent="0.25">
      <c r="A1603" s="4" t="s">
        <v>61</v>
      </c>
      <c r="B1603" s="4" t="s">
        <v>59</v>
      </c>
      <c r="C1603" s="4" t="s">
        <v>62</v>
      </c>
      <c r="D1603" s="4" t="s">
        <v>63</v>
      </c>
      <c r="E1603" s="4" t="s">
        <v>193</v>
      </c>
      <c r="F1603" s="4" t="s">
        <v>194</v>
      </c>
      <c r="G1603" s="4" t="s">
        <v>105</v>
      </c>
      <c r="H1603" s="4" t="s">
        <v>26</v>
      </c>
      <c r="I1603" s="5">
        <v>155000000</v>
      </c>
      <c r="J1603" s="5">
        <v>19630</v>
      </c>
      <c r="K1603" s="5">
        <v>1963</v>
      </c>
      <c r="L1603" s="4" t="s">
        <v>195</v>
      </c>
      <c r="M1603" s="4" t="s">
        <v>196</v>
      </c>
      <c r="N1603" s="3">
        <v>45898</v>
      </c>
      <c r="O1603" s="4" t="s">
        <v>154</v>
      </c>
      <c r="P1603" s="2">
        <v>4000</v>
      </c>
      <c r="Q1603" s="2">
        <v>14600</v>
      </c>
      <c r="R1603" s="4" t="s">
        <v>26</v>
      </c>
      <c r="S1603" s="5">
        <v>149540330</v>
      </c>
    </row>
    <row r="1604" spans="1:19" x14ac:dyDescent="0.25">
      <c r="A1604" s="4" t="s">
        <v>61</v>
      </c>
      <c r="B1604" s="4" t="s">
        <v>59</v>
      </c>
      <c r="C1604" s="4" t="s">
        <v>62</v>
      </c>
      <c r="D1604" s="4" t="s">
        <v>63</v>
      </c>
      <c r="E1604" s="4" t="s">
        <v>277</v>
      </c>
      <c r="F1604" s="4" t="s">
        <v>278</v>
      </c>
      <c r="G1604" s="4" t="s">
        <v>50</v>
      </c>
      <c r="H1604" s="4" t="s">
        <v>26</v>
      </c>
      <c r="I1604" s="5">
        <v>65000000</v>
      </c>
      <c r="J1604" s="5">
        <v>38500</v>
      </c>
      <c r="K1604" s="5">
        <v>3850</v>
      </c>
      <c r="L1604" s="4" t="s">
        <v>26</v>
      </c>
      <c r="M1604" s="4" t="s">
        <v>26</v>
      </c>
      <c r="N1604" s="3">
        <v>45898</v>
      </c>
      <c r="O1604" s="4" t="s">
        <v>154</v>
      </c>
      <c r="P1604" s="2">
        <v>1000</v>
      </c>
      <c r="Q1604" s="2">
        <v>14703</v>
      </c>
      <c r="R1604" s="4" t="s">
        <v>755</v>
      </c>
      <c r="S1604" s="5">
        <v>64145800</v>
      </c>
    </row>
    <row r="1605" spans="1:19" x14ac:dyDescent="0.25">
      <c r="A1605" s="4" t="s">
        <v>61</v>
      </c>
      <c r="B1605" s="4" t="s">
        <v>59</v>
      </c>
      <c r="C1605" s="4" t="s">
        <v>62</v>
      </c>
      <c r="D1605" s="4" t="s">
        <v>63</v>
      </c>
      <c r="E1605" s="4" t="s">
        <v>227</v>
      </c>
      <c r="F1605" s="4" t="s">
        <v>228</v>
      </c>
      <c r="G1605" s="4" t="s">
        <v>100</v>
      </c>
      <c r="H1605" s="4" t="s">
        <v>26</v>
      </c>
      <c r="I1605" s="5">
        <v>65000000</v>
      </c>
      <c r="J1605" s="5">
        <v>70550</v>
      </c>
      <c r="K1605" s="5">
        <v>7055</v>
      </c>
      <c r="L1605" s="4" t="s">
        <v>279</v>
      </c>
      <c r="M1605" s="4" t="s">
        <v>280</v>
      </c>
      <c r="N1605" s="3">
        <v>45899</v>
      </c>
      <c r="O1605" s="4" t="s">
        <v>154</v>
      </c>
      <c r="P1605" s="2">
        <v>1000</v>
      </c>
      <c r="Q1605" s="2">
        <v>15091</v>
      </c>
      <c r="R1605" s="4" t="s">
        <v>755</v>
      </c>
      <c r="S1605" s="5">
        <v>62005700</v>
      </c>
    </row>
    <row r="1606" spans="1:19" x14ac:dyDescent="0.25">
      <c r="A1606" s="4" t="s">
        <v>61</v>
      </c>
      <c r="B1606" s="4" t="s">
        <v>59</v>
      </c>
      <c r="C1606" s="4" t="s">
        <v>62</v>
      </c>
      <c r="D1606" s="4" t="s">
        <v>63</v>
      </c>
      <c r="E1606" s="4" t="s">
        <v>227</v>
      </c>
      <c r="F1606" s="4" t="s">
        <v>228</v>
      </c>
      <c r="G1606" s="4" t="s">
        <v>100</v>
      </c>
      <c r="H1606" s="4" t="s">
        <v>26</v>
      </c>
      <c r="I1606" s="5">
        <v>65000000</v>
      </c>
      <c r="J1606" s="5">
        <v>18700</v>
      </c>
      <c r="K1606" s="5">
        <v>1870</v>
      </c>
      <c r="L1606" s="4" t="s">
        <v>279</v>
      </c>
      <c r="M1606" s="4" t="s">
        <v>280</v>
      </c>
      <c r="N1606" s="3">
        <v>45899</v>
      </c>
      <c r="O1606" s="4" t="s">
        <v>154</v>
      </c>
      <c r="P1606" s="2">
        <v>2000</v>
      </c>
      <c r="Q1606" s="2">
        <v>15091</v>
      </c>
      <c r="R1606" s="4" t="s">
        <v>755</v>
      </c>
      <c r="S1606" s="5">
        <v>62005700</v>
      </c>
    </row>
    <row r="1607" spans="1:19" x14ac:dyDescent="0.25">
      <c r="A1607" s="4" t="s">
        <v>61</v>
      </c>
      <c r="B1607" s="4" t="s">
        <v>59</v>
      </c>
      <c r="C1607" s="4" t="s">
        <v>62</v>
      </c>
      <c r="D1607" s="4" t="s">
        <v>63</v>
      </c>
      <c r="E1607" s="4" t="s">
        <v>227</v>
      </c>
      <c r="F1607" s="4" t="s">
        <v>228</v>
      </c>
      <c r="G1607" s="4" t="s">
        <v>100</v>
      </c>
      <c r="H1607" s="4" t="s">
        <v>26</v>
      </c>
      <c r="I1607" s="5">
        <v>65000000</v>
      </c>
      <c r="J1607" s="5">
        <v>23800</v>
      </c>
      <c r="K1607" s="5">
        <v>2380</v>
      </c>
      <c r="L1607" s="4" t="s">
        <v>279</v>
      </c>
      <c r="M1607" s="4" t="s">
        <v>280</v>
      </c>
      <c r="N1607" s="3">
        <v>45899</v>
      </c>
      <c r="O1607" s="4" t="s">
        <v>154</v>
      </c>
      <c r="P1607" s="2">
        <v>3000</v>
      </c>
      <c r="Q1607" s="2">
        <v>15091</v>
      </c>
      <c r="R1607" s="4" t="s">
        <v>755</v>
      </c>
      <c r="S1607" s="5">
        <v>62005700</v>
      </c>
    </row>
    <row r="1608" spans="1:19" x14ac:dyDescent="0.25">
      <c r="A1608" s="4" t="s">
        <v>61</v>
      </c>
      <c r="B1608" s="4" t="s">
        <v>59</v>
      </c>
      <c r="C1608" s="4" t="s">
        <v>62</v>
      </c>
      <c r="D1608" s="4" t="s">
        <v>63</v>
      </c>
      <c r="E1608" s="4" t="s">
        <v>227</v>
      </c>
      <c r="F1608" s="4" t="s">
        <v>228</v>
      </c>
      <c r="G1608" s="4" t="s">
        <v>100</v>
      </c>
      <c r="H1608" s="4" t="s">
        <v>26</v>
      </c>
      <c r="I1608" s="5">
        <v>65000000</v>
      </c>
      <c r="J1608" s="5">
        <v>33150</v>
      </c>
      <c r="K1608" s="5">
        <v>3315</v>
      </c>
      <c r="L1608" s="4" t="s">
        <v>279</v>
      </c>
      <c r="M1608" s="4" t="s">
        <v>280</v>
      </c>
      <c r="N1608" s="3">
        <v>45899</v>
      </c>
      <c r="O1608" s="4" t="s">
        <v>154</v>
      </c>
      <c r="P1608" s="2">
        <v>4000</v>
      </c>
      <c r="Q1608" s="2">
        <v>15091</v>
      </c>
      <c r="R1608" s="4" t="s">
        <v>755</v>
      </c>
      <c r="S1608" s="5">
        <v>62005700</v>
      </c>
    </row>
    <row r="1609" spans="1:19" x14ac:dyDescent="0.25">
      <c r="A1609" s="4" t="s">
        <v>61</v>
      </c>
      <c r="B1609" s="4" t="s">
        <v>59</v>
      </c>
      <c r="C1609" s="4" t="s">
        <v>62</v>
      </c>
      <c r="D1609" s="4" t="s">
        <v>63</v>
      </c>
      <c r="E1609" s="4" t="s">
        <v>227</v>
      </c>
      <c r="F1609" s="4" t="s">
        <v>228</v>
      </c>
      <c r="G1609" s="4" t="s">
        <v>100</v>
      </c>
      <c r="H1609" s="4" t="s">
        <v>26</v>
      </c>
      <c r="I1609" s="5">
        <v>65000000</v>
      </c>
      <c r="J1609" s="5">
        <v>4250</v>
      </c>
      <c r="K1609" s="5">
        <v>425</v>
      </c>
      <c r="L1609" s="4" t="s">
        <v>279</v>
      </c>
      <c r="M1609" s="4" t="s">
        <v>280</v>
      </c>
      <c r="N1609" s="3">
        <v>45899</v>
      </c>
      <c r="O1609" s="4" t="s">
        <v>154</v>
      </c>
      <c r="P1609" s="2">
        <v>5000</v>
      </c>
      <c r="Q1609" s="2">
        <v>15091</v>
      </c>
      <c r="R1609" s="4" t="s">
        <v>755</v>
      </c>
      <c r="S1609" s="5">
        <v>62005700</v>
      </c>
    </row>
    <row r="1610" spans="1:19" x14ac:dyDescent="0.25">
      <c r="A1610" s="4" t="s">
        <v>61</v>
      </c>
      <c r="B1610" s="4" t="s">
        <v>59</v>
      </c>
      <c r="C1610" s="4" t="s">
        <v>62</v>
      </c>
      <c r="D1610" s="4" t="s">
        <v>63</v>
      </c>
      <c r="E1610" s="4" t="s">
        <v>225</v>
      </c>
      <c r="F1610" s="4" t="s">
        <v>226</v>
      </c>
      <c r="G1610" s="4" t="s">
        <v>50</v>
      </c>
      <c r="H1610" s="4" t="s">
        <v>26</v>
      </c>
      <c r="I1610" s="5">
        <v>65000000</v>
      </c>
      <c r="J1610" s="5">
        <v>89250</v>
      </c>
      <c r="K1610" s="5">
        <v>8925</v>
      </c>
      <c r="L1610" s="4" t="s">
        <v>166</v>
      </c>
      <c r="M1610" s="4" t="s">
        <v>167</v>
      </c>
      <c r="N1610" s="3">
        <v>45899</v>
      </c>
      <c r="O1610" s="4" t="s">
        <v>154</v>
      </c>
      <c r="P1610" s="2">
        <v>1000</v>
      </c>
      <c r="Q1610" s="2">
        <v>15094</v>
      </c>
      <c r="R1610" s="4" t="s">
        <v>26</v>
      </c>
      <c r="S1610" s="5">
        <v>63203100</v>
      </c>
    </row>
    <row r="1611" spans="1:19" x14ac:dyDescent="0.25">
      <c r="A1611" s="4" t="s">
        <v>61</v>
      </c>
      <c r="B1611" s="4" t="s">
        <v>59</v>
      </c>
      <c r="C1611" s="4" t="s">
        <v>62</v>
      </c>
      <c r="D1611" s="4" t="s">
        <v>63</v>
      </c>
      <c r="E1611" s="4" t="s">
        <v>225</v>
      </c>
      <c r="F1611" s="4" t="s">
        <v>226</v>
      </c>
      <c r="G1611" s="4" t="s">
        <v>50</v>
      </c>
      <c r="H1611" s="4" t="s">
        <v>26</v>
      </c>
      <c r="I1611" s="5">
        <v>65000000</v>
      </c>
      <c r="J1611" s="5">
        <v>23800</v>
      </c>
      <c r="K1611" s="5">
        <v>2380</v>
      </c>
      <c r="L1611" s="4" t="s">
        <v>166</v>
      </c>
      <c r="M1611" s="4" t="s">
        <v>167</v>
      </c>
      <c r="N1611" s="3">
        <v>45899</v>
      </c>
      <c r="O1611" s="4" t="s">
        <v>154</v>
      </c>
      <c r="P1611" s="2">
        <v>2000</v>
      </c>
      <c r="Q1611" s="2">
        <v>15094</v>
      </c>
      <c r="R1611" s="4" t="s">
        <v>26</v>
      </c>
      <c r="S1611" s="5">
        <v>63203100</v>
      </c>
    </row>
    <row r="1612" spans="1:19" x14ac:dyDescent="0.25">
      <c r="A1612" s="4" t="s">
        <v>61</v>
      </c>
      <c r="B1612" s="4" t="s">
        <v>59</v>
      </c>
      <c r="C1612" s="4" t="s">
        <v>62</v>
      </c>
      <c r="D1612" s="4" t="s">
        <v>63</v>
      </c>
      <c r="E1612" s="4" t="s">
        <v>225</v>
      </c>
      <c r="F1612" s="4" t="s">
        <v>226</v>
      </c>
      <c r="G1612" s="4" t="s">
        <v>50</v>
      </c>
      <c r="H1612" s="4" t="s">
        <v>26</v>
      </c>
      <c r="I1612" s="5">
        <v>65000000</v>
      </c>
      <c r="J1612" s="5">
        <v>141100</v>
      </c>
      <c r="K1612" s="5">
        <v>14110</v>
      </c>
      <c r="L1612" s="4" t="s">
        <v>166</v>
      </c>
      <c r="M1612" s="4" t="s">
        <v>167</v>
      </c>
      <c r="N1612" s="3">
        <v>45899</v>
      </c>
      <c r="O1612" s="4" t="s">
        <v>154</v>
      </c>
      <c r="P1612" s="2">
        <v>3000</v>
      </c>
      <c r="Q1612" s="2">
        <v>15094</v>
      </c>
      <c r="R1612" s="4" t="s">
        <v>26</v>
      </c>
      <c r="S1612" s="5">
        <v>63203100</v>
      </c>
    </row>
    <row r="1613" spans="1:19" x14ac:dyDescent="0.25">
      <c r="A1613" s="4" t="s">
        <v>61</v>
      </c>
      <c r="B1613" s="4" t="s">
        <v>59</v>
      </c>
      <c r="C1613" s="4" t="s">
        <v>62</v>
      </c>
      <c r="D1613" s="4" t="s">
        <v>63</v>
      </c>
      <c r="E1613" s="4" t="s">
        <v>225</v>
      </c>
      <c r="F1613" s="4" t="s">
        <v>226</v>
      </c>
      <c r="G1613" s="4" t="s">
        <v>50</v>
      </c>
      <c r="H1613" s="4" t="s">
        <v>26</v>
      </c>
      <c r="I1613" s="5">
        <v>65000000</v>
      </c>
      <c r="J1613" s="5">
        <v>70550</v>
      </c>
      <c r="K1613" s="5">
        <v>7055</v>
      </c>
      <c r="L1613" s="4" t="s">
        <v>166</v>
      </c>
      <c r="M1613" s="4" t="s">
        <v>167</v>
      </c>
      <c r="N1613" s="3">
        <v>45899</v>
      </c>
      <c r="O1613" s="4" t="s">
        <v>154</v>
      </c>
      <c r="P1613" s="2">
        <v>4000</v>
      </c>
      <c r="Q1613" s="2">
        <v>15094</v>
      </c>
      <c r="R1613" s="4" t="s">
        <v>26</v>
      </c>
      <c r="S1613" s="5">
        <v>63203100</v>
      </c>
    </row>
    <row r="1614" spans="1:19" x14ac:dyDescent="0.25">
      <c r="A1614" s="4" t="s">
        <v>61</v>
      </c>
      <c r="B1614" s="4" t="s">
        <v>59</v>
      </c>
      <c r="C1614" s="4" t="s">
        <v>62</v>
      </c>
      <c r="D1614" s="4" t="s">
        <v>63</v>
      </c>
      <c r="E1614" s="4" t="s">
        <v>142</v>
      </c>
      <c r="F1614" s="4" t="s">
        <v>143</v>
      </c>
      <c r="G1614" s="4" t="s">
        <v>144</v>
      </c>
      <c r="H1614" s="4" t="s">
        <v>26</v>
      </c>
      <c r="I1614" s="5">
        <v>90000000</v>
      </c>
      <c r="J1614" s="5">
        <v>140000</v>
      </c>
      <c r="K1614" s="5">
        <v>14000</v>
      </c>
      <c r="L1614" s="4" t="s">
        <v>72</v>
      </c>
      <c r="M1614" s="4" t="s">
        <v>73</v>
      </c>
      <c r="N1614" s="3">
        <v>45900</v>
      </c>
      <c r="O1614" s="4" t="s">
        <v>154</v>
      </c>
      <c r="P1614" s="2">
        <v>1000</v>
      </c>
      <c r="Q1614" s="2">
        <v>15489</v>
      </c>
      <c r="R1614" s="4" t="s">
        <v>84</v>
      </c>
      <c r="S1614" s="5">
        <v>83720070</v>
      </c>
    </row>
    <row r="1615" spans="1:19" x14ac:dyDescent="0.25">
      <c r="A1615" s="4" t="s">
        <v>61</v>
      </c>
      <c r="B1615" s="4" t="s">
        <v>59</v>
      </c>
      <c r="C1615" s="4" t="s">
        <v>62</v>
      </c>
      <c r="D1615" s="4" t="s">
        <v>63</v>
      </c>
      <c r="E1615" s="4" t="s">
        <v>142</v>
      </c>
      <c r="F1615" s="4" t="s">
        <v>143</v>
      </c>
      <c r="G1615" s="4" t="s">
        <v>144</v>
      </c>
      <c r="H1615" s="4" t="s">
        <v>26</v>
      </c>
      <c r="I1615" s="5">
        <v>90000000</v>
      </c>
      <c r="J1615" s="5">
        <v>130000</v>
      </c>
      <c r="K1615" s="5">
        <v>13000</v>
      </c>
      <c r="L1615" s="4" t="s">
        <v>72</v>
      </c>
      <c r="M1615" s="4" t="s">
        <v>73</v>
      </c>
      <c r="N1615" s="3">
        <v>45900</v>
      </c>
      <c r="O1615" s="4" t="s">
        <v>154</v>
      </c>
      <c r="P1615" s="2">
        <v>2000</v>
      </c>
      <c r="Q1615" s="2">
        <v>15489</v>
      </c>
      <c r="R1615" s="4" t="s">
        <v>84</v>
      </c>
      <c r="S1615" s="5">
        <v>83720070</v>
      </c>
    </row>
    <row r="1616" spans="1:19" x14ac:dyDescent="0.25">
      <c r="A1616" s="4" t="s">
        <v>61</v>
      </c>
      <c r="B1616" s="4" t="s">
        <v>59</v>
      </c>
      <c r="C1616" s="4" t="s">
        <v>62</v>
      </c>
      <c r="D1616" s="4" t="s">
        <v>63</v>
      </c>
      <c r="E1616" s="4" t="s">
        <v>142</v>
      </c>
      <c r="F1616" s="4" t="s">
        <v>143</v>
      </c>
      <c r="G1616" s="4" t="s">
        <v>144</v>
      </c>
      <c r="H1616" s="4" t="s">
        <v>26</v>
      </c>
      <c r="I1616" s="5">
        <v>90000000</v>
      </c>
      <c r="J1616" s="5">
        <v>145000</v>
      </c>
      <c r="K1616" s="5">
        <v>14500</v>
      </c>
      <c r="L1616" s="4" t="s">
        <v>72</v>
      </c>
      <c r="M1616" s="4" t="s">
        <v>73</v>
      </c>
      <c r="N1616" s="3">
        <v>45900</v>
      </c>
      <c r="O1616" s="4" t="s">
        <v>154</v>
      </c>
      <c r="P1616" s="2">
        <v>3000</v>
      </c>
      <c r="Q1616" s="2">
        <v>15489</v>
      </c>
      <c r="R1616" s="4" t="s">
        <v>84</v>
      </c>
      <c r="S1616" s="5">
        <v>83720070</v>
      </c>
    </row>
    <row r="1617" spans="1:19" x14ac:dyDescent="0.25">
      <c r="A1617" s="4" t="s">
        <v>61</v>
      </c>
      <c r="B1617" s="4" t="s">
        <v>59</v>
      </c>
      <c r="C1617" s="4" t="s">
        <v>62</v>
      </c>
      <c r="D1617" s="4" t="s">
        <v>63</v>
      </c>
      <c r="E1617" s="4" t="s">
        <v>142</v>
      </c>
      <c r="F1617" s="4" t="s">
        <v>143</v>
      </c>
      <c r="G1617" s="4" t="s">
        <v>144</v>
      </c>
      <c r="H1617" s="4" t="s">
        <v>26</v>
      </c>
      <c r="I1617" s="5">
        <v>90000000</v>
      </c>
      <c r="J1617" s="5">
        <v>131000</v>
      </c>
      <c r="K1617" s="5">
        <v>13100</v>
      </c>
      <c r="L1617" s="4" t="s">
        <v>72</v>
      </c>
      <c r="M1617" s="4" t="s">
        <v>73</v>
      </c>
      <c r="N1617" s="3">
        <v>45900</v>
      </c>
      <c r="O1617" s="4" t="s">
        <v>154</v>
      </c>
      <c r="P1617" s="2">
        <v>4000</v>
      </c>
      <c r="Q1617" s="2">
        <v>15489</v>
      </c>
      <c r="R1617" s="4" t="s">
        <v>84</v>
      </c>
      <c r="S1617" s="5">
        <v>83720070</v>
      </c>
    </row>
    <row r="1618" spans="1:19" x14ac:dyDescent="0.25">
      <c r="A1618" s="4" t="s">
        <v>61</v>
      </c>
      <c r="B1618" s="4" t="s">
        <v>59</v>
      </c>
      <c r="C1618" s="4" t="s">
        <v>62</v>
      </c>
      <c r="D1618" s="4" t="s">
        <v>63</v>
      </c>
      <c r="E1618" s="4" t="s">
        <v>142</v>
      </c>
      <c r="F1618" s="4" t="s">
        <v>143</v>
      </c>
      <c r="G1618" s="4" t="s">
        <v>144</v>
      </c>
      <c r="H1618" s="4" t="s">
        <v>26</v>
      </c>
      <c r="I1618" s="5">
        <v>90000000</v>
      </c>
      <c r="J1618" s="5">
        <v>145000</v>
      </c>
      <c r="K1618" s="5">
        <v>14500</v>
      </c>
      <c r="L1618" s="4" t="s">
        <v>72</v>
      </c>
      <c r="M1618" s="4" t="s">
        <v>73</v>
      </c>
      <c r="N1618" s="3">
        <v>45900</v>
      </c>
      <c r="O1618" s="4" t="s">
        <v>154</v>
      </c>
      <c r="P1618" s="2">
        <v>5000</v>
      </c>
      <c r="Q1618" s="2">
        <v>15489</v>
      </c>
      <c r="R1618" s="4" t="s">
        <v>84</v>
      </c>
      <c r="S1618" s="5">
        <v>83720070</v>
      </c>
    </row>
    <row r="1619" spans="1:19" x14ac:dyDescent="0.25">
      <c r="A1619" s="4" t="s">
        <v>61</v>
      </c>
      <c r="B1619" s="4" t="s">
        <v>59</v>
      </c>
      <c r="C1619" s="4" t="s">
        <v>62</v>
      </c>
      <c r="D1619" s="4" t="s">
        <v>63</v>
      </c>
      <c r="E1619" s="4" t="s">
        <v>142</v>
      </c>
      <c r="F1619" s="4" t="s">
        <v>143</v>
      </c>
      <c r="G1619" s="4" t="s">
        <v>144</v>
      </c>
      <c r="H1619" s="4" t="s">
        <v>26</v>
      </c>
      <c r="I1619" s="5">
        <v>90000000</v>
      </c>
      <c r="J1619" s="5">
        <v>130000</v>
      </c>
      <c r="K1619" s="5">
        <v>13000</v>
      </c>
      <c r="L1619" s="4" t="s">
        <v>72</v>
      </c>
      <c r="M1619" s="4" t="s">
        <v>73</v>
      </c>
      <c r="N1619" s="3">
        <v>45900</v>
      </c>
      <c r="O1619" s="4" t="s">
        <v>154</v>
      </c>
      <c r="P1619" s="2">
        <v>6000</v>
      </c>
      <c r="Q1619" s="2">
        <v>15489</v>
      </c>
      <c r="R1619" s="4" t="s">
        <v>84</v>
      </c>
      <c r="S1619" s="5">
        <v>83720070</v>
      </c>
    </row>
    <row r="1620" spans="1:19" x14ac:dyDescent="0.25">
      <c r="A1620" s="4" t="s">
        <v>61</v>
      </c>
      <c r="B1620" s="4" t="s">
        <v>59</v>
      </c>
      <c r="C1620" s="4" t="s">
        <v>62</v>
      </c>
      <c r="D1620" s="4" t="s">
        <v>63</v>
      </c>
      <c r="E1620" s="4" t="s">
        <v>142</v>
      </c>
      <c r="F1620" s="4" t="s">
        <v>143</v>
      </c>
      <c r="G1620" s="4" t="s">
        <v>144</v>
      </c>
      <c r="H1620" s="4" t="s">
        <v>26</v>
      </c>
      <c r="I1620" s="5">
        <v>90000000</v>
      </c>
      <c r="J1620" s="5">
        <v>127000</v>
      </c>
      <c r="K1620" s="5">
        <v>12700</v>
      </c>
      <c r="L1620" s="4" t="s">
        <v>72</v>
      </c>
      <c r="M1620" s="4" t="s">
        <v>73</v>
      </c>
      <c r="N1620" s="3">
        <v>45900</v>
      </c>
      <c r="O1620" s="4" t="s">
        <v>154</v>
      </c>
      <c r="P1620" s="2">
        <v>7000</v>
      </c>
      <c r="Q1620" s="2">
        <v>15489</v>
      </c>
      <c r="R1620" s="4" t="s">
        <v>84</v>
      </c>
      <c r="S1620" s="5">
        <v>83720070</v>
      </c>
    </row>
    <row r="1621" spans="1:19" x14ac:dyDescent="0.25">
      <c r="A1621" s="4" t="s">
        <v>61</v>
      </c>
      <c r="B1621" s="4" t="s">
        <v>59</v>
      </c>
      <c r="C1621" s="4" t="s">
        <v>62</v>
      </c>
      <c r="D1621" s="4" t="s">
        <v>63</v>
      </c>
      <c r="E1621" s="4" t="s">
        <v>142</v>
      </c>
      <c r="F1621" s="4" t="s">
        <v>143</v>
      </c>
      <c r="G1621" s="4" t="s">
        <v>144</v>
      </c>
      <c r="H1621" s="4" t="s">
        <v>26</v>
      </c>
      <c r="I1621" s="5">
        <v>90000000</v>
      </c>
      <c r="J1621" s="5">
        <v>114000</v>
      </c>
      <c r="K1621" s="5">
        <v>11400</v>
      </c>
      <c r="L1621" s="4" t="s">
        <v>72</v>
      </c>
      <c r="M1621" s="4" t="s">
        <v>73</v>
      </c>
      <c r="N1621" s="3">
        <v>45900</v>
      </c>
      <c r="O1621" s="4" t="s">
        <v>154</v>
      </c>
      <c r="P1621" s="2">
        <v>8000</v>
      </c>
      <c r="Q1621" s="2">
        <v>15489</v>
      </c>
      <c r="R1621" s="4" t="s">
        <v>84</v>
      </c>
      <c r="S1621" s="5">
        <v>83720070</v>
      </c>
    </row>
    <row r="1622" spans="1:19" x14ac:dyDescent="0.25">
      <c r="A1622" s="4" t="s">
        <v>61</v>
      </c>
      <c r="B1622" s="4" t="s">
        <v>59</v>
      </c>
      <c r="C1622" s="4" t="s">
        <v>62</v>
      </c>
      <c r="D1622" s="4" t="s">
        <v>63</v>
      </c>
      <c r="E1622" s="4" t="s">
        <v>142</v>
      </c>
      <c r="F1622" s="4" t="s">
        <v>143</v>
      </c>
      <c r="G1622" s="4" t="s">
        <v>144</v>
      </c>
      <c r="H1622" s="4" t="s">
        <v>26</v>
      </c>
      <c r="I1622" s="5">
        <v>90000000</v>
      </c>
      <c r="J1622" s="5">
        <v>131000</v>
      </c>
      <c r="K1622" s="5">
        <v>13100</v>
      </c>
      <c r="L1622" s="4" t="s">
        <v>72</v>
      </c>
      <c r="M1622" s="4" t="s">
        <v>73</v>
      </c>
      <c r="N1622" s="3">
        <v>45900</v>
      </c>
      <c r="O1622" s="4" t="s">
        <v>154</v>
      </c>
      <c r="P1622" s="2">
        <v>9000</v>
      </c>
      <c r="Q1622" s="2">
        <v>15489</v>
      </c>
      <c r="R1622" s="4" t="s">
        <v>84</v>
      </c>
      <c r="S1622" s="5">
        <v>83720070</v>
      </c>
    </row>
    <row r="1623" spans="1:19" x14ac:dyDescent="0.25">
      <c r="A1623" s="4" t="s">
        <v>61</v>
      </c>
      <c r="B1623" s="4" t="s">
        <v>59</v>
      </c>
      <c r="C1623" s="4" t="s">
        <v>62</v>
      </c>
      <c r="D1623" s="4" t="s">
        <v>63</v>
      </c>
      <c r="E1623" s="4" t="s">
        <v>142</v>
      </c>
      <c r="F1623" s="4" t="s">
        <v>143</v>
      </c>
      <c r="G1623" s="4" t="s">
        <v>144</v>
      </c>
      <c r="H1623" s="4" t="s">
        <v>26</v>
      </c>
      <c r="I1623" s="5">
        <v>90000000</v>
      </c>
      <c r="J1623" s="5">
        <v>130000</v>
      </c>
      <c r="K1623" s="5">
        <v>13000</v>
      </c>
      <c r="L1623" s="4" t="s">
        <v>72</v>
      </c>
      <c r="M1623" s="4" t="s">
        <v>73</v>
      </c>
      <c r="N1623" s="3">
        <v>45900</v>
      </c>
      <c r="O1623" s="4" t="s">
        <v>154</v>
      </c>
      <c r="P1623" s="2">
        <v>10000</v>
      </c>
      <c r="Q1623" s="2">
        <v>15489</v>
      </c>
      <c r="R1623" s="4" t="s">
        <v>84</v>
      </c>
      <c r="S1623" s="5">
        <v>83720070</v>
      </c>
    </row>
    <row r="1624" spans="1:19" x14ac:dyDescent="0.25">
      <c r="A1624" s="4" t="s">
        <v>61</v>
      </c>
      <c r="B1624" s="4" t="s">
        <v>59</v>
      </c>
      <c r="C1624" s="4" t="s">
        <v>62</v>
      </c>
      <c r="D1624" s="4" t="s">
        <v>63</v>
      </c>
      <c r="E1624" s="4" t="s">
        <v>142</v>
      </c>
      <c r="F1624" s="4" t="s">
        <v>143</v>
      </c>
      <c r="G1624" s="4" t="s">
        <v>144</v>
      </c>
      <c r="H1624" s="4" t="s">
        <v>26</v>
      </c>
      <c r="I1624" s="5">
        <v>90000000</v>
      </c>
      <c r="J1624" s="5">
        <v>114000</v>
      </c>
      <c r="K1624" s="5">
        <v>11400</v>
      </c>
      <c r="L1624" s="4" t="s">
        <v>72</v>
      </c>
      <c r="M1624" s="4" t="s">
        <v>73</v>
      </c>
      <c r="N1624" s="3">
        <v>45900</v>
      </c>
      <c r="O1624" s="4" t="s">
        <v>154</v>
      </c>
      <c r="P1624" s="2">
        <v>11000</v>
      </c>
      <c r="Q1624" s="2">
        <v>15489</v>
      </c>
      <c r="R1624" s="4" t="s">
        <v>84</v>
      </c>
      <c r="S1624" s="5">
        <v>83720070</v>
      </c>
    </row>
    <row r="1625" spans="1:19" x14ac:dyDescent="0.25">
      <c r="A1625" s="4" t="s">
        <v>61</v>
      </c>
      <c r="B1625" s="4" t="s">
        <v>59</v>
      </c>
      <c r="C1625" s="4" t="s">
        <v>62</v>
      </c>
      <c r="D1625" s="4" t="s">
        <v>63</v>
      </c>
      <c r="E1625" s="4" t="s">
        <v>142</v>
      </c>
      <c r="F1625" s="4" t="s">
        <v>143</v>
      </c>
      <c r="G1625" s="4" t="s">
        <v>144</v>
      </c>
      <c r="H1625" s="4" t="s">
        <v>26</v>
      </c>
      <c r="I1625" s="5">
        <v>90000000</v>
      </c>
      <c r="J1625" s="5">
        <v>145000</v>
      </c>
      <c r="K1625" s="5">
        <v>14500</v>
      </c>
      <c r="L1625" s="4" t="s">
        <v>72</v>
      </c>
      <c r="M1625" s="4" t="s">
        <v>73</v>
      </c>
      <c r="N1625" s="3">
        <v>45900</v>
      </c>
      <c r="O1625" s="4" t="s">
        <v>154</v>
      </c>
      <c r="P1625" s="2">
        <v>12000</v>
      </c>
      <c r="Q1625" s="2">
        <v>15489</v>
      </c>
      <c r="R1625" s="4" t="s">
        <v>84</v>
      </c>
      <c r="S1625" s="5">
        <v>83720070</v>
      </c>
    </row>
    <row r="1626" spans="1:19" x14ac:dyDescent="0.25">
      <c r="A1626" s="4" t="s">
        <v>61</v>
      </c>
      <c r="B1626" s="4" t="s">
        <v>59</v>
      </c>
      <c r="C1626" s="4" t="s">
        <v>62</v>
      </c>
      <c r="D1626" s="4" t="s">
        <v>63</v>
      </c>
      <c r="E1626" s="4" t="s">
        <v>142</v>
      </c>
      <c r="F1626" s="4" t="s">
        <v>143</v>
      </c>
      <c r="G1626" s="4" t="s">
        <v>144</v>
      </c>
      <c r="H1626" s="4" t="s">
        <v>26</v>
      </c>
      <c r="I1626" s="5">
        <v>90000000</v>
      </c>
      <c r="J1626" s="5">
        <v>136000</v>
      </c>
      <c r="K1626" s="5">
        <v>13600</v>
      </c>
      <c r="L1626" s="4" t="s">
        <v>72</v>
      </c>
      <c r="M1626" s="4" t="s">
        <v>73</v>
      </c>
      <c r="N1626" s="3">
        <v>45900</v>
      </c>
      <c r="O1626" s="4" t="s">
        <v>154</v>
      </c>
      <c r="P1626" s="2">
        <v>13000</v>
      </c>
      <c r="Q1626" s="2">
        <v>15489</v>
      </c>
      <c r="R1626" s="4" t="s">
        <v>84</v>
      </c>
      <c r="S1626" s="5">
        <v>83720070</v>
      </c>
    </row>
    <row r="1627" spans="1:19" x14ac:dyDescent="0.25">
      <c r="A1627" s="4" t="s">
        <v>61</v>
      </c>
      <c r="B1627" s="4" t="s">
        <v>59</v>
      </c>
      <c r="C1627" s="4" t="s">
        <v>62</v>
      </c>
      <c r="D1627" s="4" t="s">
        <v>63</v>
      </c>
      <c r="E1627" s="4" t="s">
        <v>142</v>
      </c>
      <c r="F1627" s="4" t="s">
        <v>143</v>
      </c>
      <c r="G1627" s="4" t="s">
        <v>144</v>
      </c>
      <c r="H1627" s="4" t="s">
        <v>26</v>
      </c>
      <c r="I1627" s="5">
        <v>90000000</v>
      </c>
      <c r="J1627" s="5">
        <v>150000</v>
      </c>
      <c r="K1627" s="5">
        <v>15000</v>
      </c>
      <c r="L1627" s="4" t="s">
        <v>72</v>
      </c>
      <c r="M1627" s="4" t="s">
        <v>73</v>
      </c>
      <c r="N1627" s="3">
        <v>45900</v>
      </c>
      <c r="O1627" s="4" t="s">
        <v>154</v>
      </c>
      <c r="P1627" s="2">
        <v>14000</v>
      </c>
      <c r="Q1627" s="2">
        <v>15489</v>
      </c>
      <c r="R1627" s="4" t="s">
        <v>84</v>
      </c>
      <c r="S1627" s="5">
        <v>83720070</v>
      </c>
    </row>
    <row r="1628" spans="1:19" x14ac:dyDescent="0.25">
      <c r="A1628" s="4" t="s">
        <v>61</v>
      </c>
      <c r="B1628" s="4" t="s">
        <v>59</v>
      </c>
      <c r="C1628" s="4" t="s">
        <v>62</v>
      </c>
      <c r="D1628" s="4" t="s">
        <v>63</v>
      </c>
      <c r="E1628" s="4" t="s">
        <v>142</v>
      </c>
      <c r="F1628" s="4" t="s">
        <v>143</v>
      </c>
      <c r="G1628" s="4" t="s">
        <v>144</v>
      </c>
      <c r="H1628" s="4" t="s">
        <v>26</v>
      </c>
      <c r="I1628" s="5">
        <v>90000000</v>
      </c>
      <c r="J1628" s="5">
        <v>114000</v>
      </c>
      <c r="K1628" s="5">
        <v>11400</v>
      </c>
      <c r="L1628" s="4" t="s">
        <v>72</v>
      </c>
      <c r="M1628" s="4" t="s">
        <v>73</v>
      </c>
      <c r="N1628" s="3">
        <v>45900</v>
      </c>
      <c r="O1628" s="4" t="s">
        <v>154</v>
      </c>
      <c r="P1628" s="2">
        <v>15000</v>
      </c>
      <c r="Q1628" s="2">
        <v>15489</v>
      </c>
      <c r="R1628" s="4" t="s">
        <v>84</v>
      </c>
      <c r="S1628" s="5">
        <v>83720070</v>
      </c>
    </row>
    <row r="1629" spans="1:19" x14ac:dyDescent="0.25">
      <c r="A1629" s="4" t="s">
        <v>61</v>
      </c>
      <c r="B1629" s="4" t="s">
        <v>59</v>
      </c>
      <c r="C1629" s="4" t="s">
        <v>62</v>
      </c>
      <c r="D1629" s="4" t="s">
        <v>63</v>
      </c>
      <c r="E1629" s="4" t="s">
        <v>142</v>
      </c>
      <c r="F1629" s="4" t="s">
        <v>143</v>
      </c>
      <c r="G1629" s="4" t="s">
        <v>144</v>
      </c>
      <c r="H1629" s="4" t="s">
        <v>26</v>
      </c>
      <c r="I1629" s="5">
        <v>90000000</v>
      </c>
      <c r="J1629" s="5">
        <v>127000</v>
      </c>
      <c r="K1629" s="5">
        <v>12700</v>
      </c>
      <c r="L1629" s="4" t="s">
        <v>72</v>
      </c>
      <c r="M1629" s="4" t="s">
        <v>73</v>
      </c>
      <c r="N1629" s="3">
        <v>45900</v>
      </c>
      <c r="O1629" s="4" t="s">
        <v>154</v>
      </c>
      <c r="P1629" s="2">
        <v>16000</v>
      </c>
      <c r="Q1629" s="2">
        <v>15489</v>
      </c>
      <c r="R1629" s="4" t="s">
        <v>84</v>
      </c>
      <c r="S1629" s="5">
        <v>83720070</v>
      </c>
    </row>
    <row r="1630" spans="1:19" x14ac:dyDescent="0.25">
      <c r="A1630" s="4" t="s">
        <v>61</v>
      </c>
      <c r="B1630" s="4" t="s">
        <v>59</v>
      </c>
      <c r="C1630" s="4" t="s">
        <v>62</v>
      </c>
      <c r="D1630" s="4" t="s">
        <v>63</v>
      </c>
      <c r="E1630" s="4" t="s">
        <v>142</v>
      </c>
      <c r="F1630" s="4" t="s">
        <v>143</v>
      </c>
      <c r="G1630" s="4" t="s">
        <v>144</v>
      </c>
      <c r="H1630" s="4" t="s">
        <v>26</v>
      </c>
      <c r="I1630" s="5">
        <v>90000000</v>
      </c>
      <c r="J1630" s="5">
        <v>120000</v>
      </c>
      <c r="K1630" s="5">
        <v>12000</v>
      </c>
      <c r="L1630" s="4" t="s">
        <v>72</v>
      </c>
      <c r="M1630" s="4" t="s">
        <v>73</v>
      </c>
      <c r="N1630" s="3">
        <v>45900</v>
      </c>
      <c r="O1630" s="4" t="s">
        <v>154</v>
      </c>
      <c r="P1630" s="2">
        <v>17000</v>
      </c>
      <c r="Q1630" s="2">
        <v>15489</v>
      </c>
      <c r="R1630" s="4" t="s">
        <v>84</v>
      </c>
      <c r="S1630" s="5">
        <v>83720070</v>
      </c>
    </row>
    <row r="1631" spans="1:19" x14ac:dyDescent="0.25">
      <c r="A1631" s="4" t="s">
        <v>61</v>
      </c>
      <c r="B1631" s="4" t="s">
        <v>59</v>
      </c>
      <c r="C1631" s="4" t="s">
        <v>62</v>
      </c>
      <c r="D1631" s="4" t="s">
        <v>63</v>
      </c>
      <c r="E1631" s="4" t="s">
        <v>142</v>
      </c>
      <c r="F1631" s="4" t="s">
        <v>143</v>
      </c>
      <c r="G1631" s="4" t="s">
        <v>144</v>
      </c>
      <c r="H1631" s="4" t="s">
        <v>26</v>
      </c>
      <c r="I1631" s="5">
        <v>90000000</v>
      </c>
      <c r="J1631" s="5">
        <v>108000</v>
      </c>
      <c r="K1631" s="5">
        <v>10800</v>
      </c>
      <c r="L1631" s="4" t="s">
        <v>72</v>
      </c>
      <c r="M1631" s="4" t="s">
        <v>73</v>
      </c>
      <c r="N1631" s="3">
        <v>45900</v>
      </c>
      <c r="O1631" s="4" t="s">
        <v>154</v>
      </c>
      <c r="P1631" s="2">
        <v>18000</v>
      </c>
      <c r="Q1631" s="2">
        <v>15489</v>
      </c>
      <c r="R1631" s="4" t="s">
        <v>84</v>
      </c>
      <c r="S1631" s="5">
        <v>83720070</v>
      </c>
    </row>
    <row r="1632" spans="1:19" x14ac:dyDescent="0.25">
      <c r="A1632" s="4" t="s">
        <v>61</v>
      </c>
      <c r="B1632" s="4" t="s">
        <v>59</v>
      </c>
      <c r="C1632" s="4" t="s">
        <v>62</v>
      </c>
      <c r="D1632" s="4" t="s">
        <v>63</v>
      </c>
      <c r="E1632" s="4" t="s">
        <v>142</v>
      </c>
      <c r="F1632" s="4" t="s">
        <v>143</v>
      </c>
      <c r="G1632" s="4" t="s">
        <v>144</v>
      </c>
      <c r="H1632" s="4" t="s">
        <v>26</v>
      </c>
      <c r="I1632" s="5">
        <v>90000000</v>
      </c>
      <c r="J1632" s="5">
        <v>108000</v>
      </c>
      <c r="K1632" s="5">
        <v>10800</v>
      </c>
      <c r="L1632" s="4" t="s">
        <v>72</v>
      </c>
      <c r="M1632" s="4" t="s">
        <v>73</v>
      </c>
      <c r="N1632" s="3">
        <v>45900</v>
      </c>
      <c r="O1632" s="4" t="s">
        <v>154</v>
      </c>
      <c r="P1632" s="2">
        <v>19000</v>
      </c>
      <c r="Q1632" s="2">
        <v>15489</v>
      </c>
      <c r="R1632" s="4" t="s">
        <v>84</v>
      </c>
      <c r="S1632" s="5">
        <v>83720070</v>
      </c>
    </row>
    <row r="1633" spans="1:19" x14ac:dyDescent="0.25">
      <c r="A1633" s="4" t="s">
        <v>61</v>
      </c>
      <c r="B1633" s="4" t="s">
        <v>59</v>
      </c>
      <c r="C1633" s="4" t="s">
        <v>62</v>
      </c>
      <c r="D1633" s="4" t="s">
        <v>63</v>
      </c>
      <c r="E1633" s="4" t="s">
        <v>142</v>
      </c>
      <c r="F1633" s="4" t="s">
        <v>143</v>
      </c>
      <c r="G1633" s="4" t="s">
        <v>144</v>
      </c>
      <c r="H1633" s="4" t="s">
        <v>26</v>
      </c>
      <c r="I1633" s="5">
        <v>90000000</v>
      </c>
      <c r="J1633" s="5">
        <v>96000</v>
      </c>
      <c r="K1633" s="5">
        <v>9600</v>
      </c>
      <c r="L1633" s="4" t="s">
        <v>72</v>
      </c>
      <c r="M1633" s="4" t="s">
        <v>73</v>
      </c>
      <c r="N1633" s="3">
        <v>45900</v>
      </c>
      <c r="O1633" s="4" t="s">
        <v>154</v>
      </c>
      <c r="P1633" s="2">
        <v>20000</v>
      </c>
      <c r="Q1633" s="2">
        <v>15489</v>
      </c>
      <c r="R1633" s="4" t="s">
        <v>84</v>
      </c>
      <c r="S1633" s="5">
        <v>83720070</v>
      </c>
    </row>
    <row r="1634" spans="1:19" x14ac:dyDescent="0.25">
      <c r="A1634" s="4" t="s">
        <v>61</v>
      </c>
      <c r="B1634" s="4" t="s">
        <v>59</v>
      </c>
      <c r="C1634" s="4" t="s">
        <v>62</v>
      </c>
      <c r="D1634" s="4" t="s">
        <v>63</v>
      </c>
      <c r="E1634" s="4" t="s">
        <v>142</v>
      </c>
      <c r="F1634" s="4" t="s">
        <v>143</v>
      </c>
      <c r="G1634" s="4" t="s">
        <v>144</v>
      </c>
      <c r="H1634" s="4" t="s">
        <v>26</v>
      </c>
      <c r="I1634" s="5">
        <v>90000000</v>
      </c>
      <c r="J1634" s="5">
        <v>177000</v>
      </c>
      <c r="K1634" s="5">
        <v>17700</v>
      </c>
      <c r="L1634" s="4" t="s">
        <v>72</v>
      </c>
      <c r="M1634" s="4" t="s">
        <v>73</v>
      </c>
      <c r="N1634" s="3">
        <v>45900</v>
      </c>
      <c r="O1634" s="4" t="s">
        <v>154</v>
      </c>
      <c r="P1634" s="2">
        <v>21000</v>
      </c>
      <c r="Q1634" s="2">
        <v>15489</v>
      </c>
      <c r="R1634" s="4" t="s">
        <v>84</v>
      </c>
      <c r="S1634" s="5">
        <v>83720070</v>
      </c>
    </row>
    <row r="1635" spans="1:19" x14ac:dyDescent="0.25">
      <c r="A1635" s="4" t="s">
        <v>61</v>
      </c>
      <c r="B1635" s="4" t="s">
        <v>59</v>
      </c>
      <c r="C1635" s="4" t="s">
        <v>62</v>
      </c>
      <c r="D1635" s="4" t="s">
        <v>63</v>
      </c>
      <c r="E1635" s="4" t="s">
        <v>142</v>
      </c>
      <c r="F1635" s="4" t="s">
        <v>143</v>
      </c>
      <c r="G1635" s="4" t="s">
        <v>144</v>
      </c>
      <c r="H1635" s="4" t="s">
        <v>26</v>
      </c>
      <c r="I1635" s="5">
        <v>90000000</v>
      </c>
      <c r="J1635" s="5">
        <v>211000</v>
      </c>
      <c r="K1635" s="5">
        <v>21100</v>
      </c>
      <c r="L1635" s="4" t="s">
        <v>72</v>
      </c>
      <c r="M1635" s="4" t="s">
        <v>73</v>
      </c>
      <c r="N1635" s="3">
        <v>45900</v>
      </c>
      <c r="O1635" s="4" t="s">
        <v>154</v>
      </c>
      <c r="P1635" s="2">
        <v>22000</v>
      </c>
      <c r="Q1635" s="2">
        <v>15489</v>
      </c>
      <c r="R1635" s="4" t="s">
        <v>84</v>
      </c>
      <c r="S1635" s="5">
        <v>83720070</v>
      </c>
    </row>
    <row r="1636" spans="1:19" x14ac:dyDescent="0.25">
      <c r="A1636" s="4" t="s">
        <v>61</v>
      </c>
      <c r="B1636" s="4" t="s">
        <v>59</v>
      </c>
      <c r="C1636" s="4" t="s">
        <v>62</v>
      </c>
      <c r="D1636" s="4" t="s">
        <v>63</v>
      </c>
      <c r="E1636" s="4" t="s">
        <v>142</v>
      </c>
      <c r="F1636" s="4" t="s">
        <v>143</v>
      </c>
      <c r="G1636" s="4" t="s">
        <v>144</v>
      </c>
      <c r="H1636" s="4" t="s">
        <v>26</v>
      </c>
      <c r="I1636" s="5">
        <v>90000000</v>
      </c>
      <c r="J1636" s="5">
        <v>150000</v>
      </c>
      <c r="K1636" s="5">
        <v>15000</v>
      </c>
      <c r="L1636" s="4" t="s">
        <v>72</v>
      </c>
      <c r="M1636" s="4" t="s">
        <v>73</v>
      </c>
      <c r="N1636" s="3">
        <v>45900</v>
      </c>
      <c r="O1636" s="4" t="s">
        <v>154</v>
      </c>
      <c r="P1636" s="2">
        <v>23000</v>
      </c>
      <c r="Q1636" s="2">
        <v>15489</v>
      </c>
      <c r="R1636" s="4" t="s">
        <v>84</v>
      </c>
      <c r="S1636" s="5">
        <v>83720070</v>
      </c>
    </row>
    <row r="1637" spans="1:19" x14ac:dyDescent="0.25">
      <c r="A1637" s="4" t="s">
        <v>61</v>
      </c>
      <c r="B1637" s="4" t="s">
        <v>59</v>
      </c>
      <c r="C1637" s="4" t="s">
        <v>62</v>
      </c>
      <c r="D1637" s="4" t="s">
        <v>63</v>
      </c>
      <c r="E1637" s="4" t="s">
        <v>142</v>
      </c>
      <c r="F1637" s="4" t="s">
        <v>143</v>
      </c>
      <c r="G1637" s="4" t="s">
        <v>144</v>
      </c>
      <c r="H1637" s="4" t="s">
        <v>26</v>
      </c>
      <c r="I1637" s="5">
        <v>90000000</v>
      </c>
      <c r="J1637" s="5">
        <v>154000</v>
      </c>
      <c r="K1637" s="5">
        <v>15400</v>
      </c>
      <c r="L1637" s="4" t="s">
        <v>72</v>
      </c>
      <c r="M1637" s="4" t="s">
        <v>73</v>
      </c>
      <c r="N1637" s="3">
        <v>45900</v>
      </c>
      <c r="O1637" s="4" t="s">
        <v>154</v>
      </c>
      <c r="P1637" s="2">
        <v>24000</v>
      </c>
      <c r="Q1637" s="2">
        <v>15489</v>
      </c>
      <c r="R1637" s="4" t="s">
        <v>84</v>
      </c>
      <c r="S1637" s="5">
        <v>83720070</v>
      </c>
    </row>
    <row r="1638" spans="1:19" x14ac:dyDescent="0.25">
      <c r="A1638" s="4" t="s">
        <v>61</v>
      </c>
      <c r="B1638" s="4" t="s">
        <v>59</v>
      </c>
      <c r="C1638" s="4" t="s">
        <v>62</v>
      </c>
      <c r="D1638" s="4" t="s">
        <v>63</v>
      </c>
      <c r="E1638" s="4" t="s">
        <v>255</v>
      </c>
      <c r="F1638" s="4" t="s">
        <v>256</v>
      </c>
      <c r="G1638" s="4" t="s">
        <v>144</v>
      </c>
      <c r="H1638" s="4" t="s">
        <v>26</v>
      </c>
      <c r="I1638" s="5">
        <v>90000000</v>
      </c>
      <c r="J1638" s="5">
        <v>51000</v>
      </c>
      <c r="K1638" s="5">
        <v>5100</v>
      </c>
      <c r="L1638" s="4" t="s">
        <v>281</v>
      </c>
      <c r="M1638" s="4" t="s">
        <v>282</v>
      </c>
      <c r="N1638" s="3">
        <v>45900</v>
      </c>
      <c r="O1638" s="4" t="s">
        <v>154</v>
      </c>
      <c r="P1638" s="2">
        <v>1000</v>
      </c>
      <c r="Q1638" s="2">
        <v>15551</v>
      </c>
      <c r="R1638" s="4" t="s">
        <v>747</v>
      </c>
      <c r="S1638" s="5">
        <v>81505500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cols>
    <col min="1" max="1" width="25" customWidth="1"/>
    <col min="2" max="2" width="40" customWidth="1"/>
  </cols>
  <sheetData>
    <row r="1" spans="1:2" x14ac:dyDescent="0.25">
      <c r="A1" s="1" t="s">
        <v>54</v>
      </c>
      <c r="B1" s="1" t="s">
        <v>55</v>
      </c>
    </row>
    <row r="2" spans="1:2" x14ac:dyDescent="0.25">
      <c r="A2" t="s">
        <v>26</v>
      </c>
      <c r="B2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cols>
    <col min="1" max="2" width="25" customWidth="1"/>
    <col min="3" max="3" width="40" customWidth="1"/>
  </cols>
  <sheetData>
    <row r="1" spans="1:3" x14ac:dyDescent="0.25">
      <c r="A1" s="1" t="s">
        <v>56</v>
      </c>
      <c r="B1" s="1" t="s">
        <v>0</v>
      </c>
      <c r="C1" s="1" t="s">
        <v>55</v>
      </c>
    </row>
    <row r="2" spans="1:3" x14ac:dyDescent="0.25">
      <c r="A2" t="s">
        <v>26</v>
      </c>
      <c r="B2" t="s">
        <v>26</v>
      </c>
      <c r="C2" t="s">
        <v>26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Aggregated Metadata</vt:lpstr>
      <vt:lpstr>Master Report</vt:lpstr>
      <vt:lpstr>Data</vt:lpstr>
      <vt:lpstr>CaptionData</vt:lpstr>
      <vt:lpstr>TranslationData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đức hòa</cp:lastModifiedBy>
  <dcterms:modified xsi:type="dcterms:W3CDTF">2025-09-04T11:20:54Z</dcterms:modified>
</cp:coreProperties>
</file>